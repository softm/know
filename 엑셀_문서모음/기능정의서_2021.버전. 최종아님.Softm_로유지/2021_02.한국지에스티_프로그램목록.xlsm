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-108" yWindow="-108" windowWidth="23256" windowHeight="12576" tabRatio="880" activeTab="1"/>
  </bookViews>
  <sheets>
    <sheet name="일정" sheetId="24" r:id="rId1"/>
    <sheet name="프로그램목록" sheetId="34" r:id="rId2"/>
    <sheet name="new_dic" sheetId="7" r:id="rId3"/>
    <sheet name="화면정의서_정리목록" sheetId="25" r:id="rId4"/>
    <sheet name="프로그램목록_back" sheetId="29" r:id="rId5"/>
    <sheet name="포털및모바일-임신출산모바일앱" sheetId="23" r:id="rId6"/>
    <sheet name="프로그램목록_신고서" sheetId="22" r:id="rId7"/>
    <sheet name="Data" sheetId="6" r:id="rId8"/>
  </sheets>
  <definedNames>
    <definedName name="_xlnm._FilterDatabase" localSheetId="5" hidden="1">'포털및모바일-임신출산모바일앱'!$A$9:$AM$100</definedName>
    <definedName name="_xlnm._FilterDatabase" localSheetId="1" hidden="1">프로그램목록!$A$1:$AJ$1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24" l="1"/>
  <c r="E9" i="24"/>
  <c r="E11" i="24"/>
  <c r="F11" i="24"/>
  <c r="E12" i="24"/>
  <c r="F12" i="24"/>
  <c r="E13" i="24"/>
  <c r="F13" i="24"/>
  <c r="E14" i="24"/>
  <c r="F14" i="24"/>
  <c r="E16" i="24"/>
  <c r="F16" i="24"/>
  <c r="E17" i="24"/>
  <c r="F17" i="24"/>
  <c r="E18" i="24"/>
  <c r="F18" i="24"/>
  <c r="E19" i="24"/>
  <c r="F19" i="24"/>
  <c r="E20" i="24"/>
  <c r="F20" i="24"/>
  <c r="E21" i="24"/>
  <c r="F21" i="24"/>
  <c r="E22" i="24"/>
  <c r="F22" i="24"/>
  <c r="E23" i="24"/>
  <c r="F23" i="24"/>
  <c r="E24" i="24"/>
  <c r="F24" i="24"/>
  <c r="E25" i="24"/>
  <c r="F25" i="24"/>
  <c r="E26" i="24"/>
  <c r="F26" i="24"/>
  <c r="E27" i="24"/>
  <c r="F27" i="24"/>
  <c r="E28" i="24"/>
  <c r="F28" i="24"/>
  <c r="E29" i="24"/>
  <c r="F29" i="24"/>
  <c r="E30" i="24"/>
  <c r="F30" i="24"/>
  <c r="E31" i="24"/>
  <c r="F31" i="24"/>
  <c r="E32" i="24"/>
  <c r="F32" i="24"/>
  <c r="E33" i="24"/>
  <c r="F33" i="24"/>
  <c r="E34" i="24"/>
  <c r="F34" i="24"/>
  <c r="E35" i="24"/>
  <c r="F35" i="24"/>
  <c r="E36" i="24"/>
  <c r="F36" i="24"/>
  <c r="E37" i="24"/>
  <c r="F37" i="24"/>
  <c r="E38" i="24"/>
  <c r="F38" i="24"/>
  <c r="E39" i="24"/>
  <c r="F39" i="24"/>
  <c r="E40" i="24"/>
  <c r="F40" i="24"/>
  <c r="E41" i="24"/>
  <c r="F41" i="24"/>
  <c r="E42" i="24"/>
  <c r="F42" i="24"/>
  <c r="E43" i="24"/>
  <c r="F43" i="24"/>
  <c r="E44" i="24"/>
  <c r="F44" i="24"/>
  <c r="E45" i="24"/>
  <c r="F45" i="24"/>
  <c r="E46" i="24"/>
  <c r="F46" i="24"/>
  <c r="E47" i="24"/>
  <c r="F47" i="24"/>
  <c r="E48" i="24"/>
  <c r="F48" i="24"/>
  <c r="E49" i="24"/>
  <c r="F49" i="24"/>
  <c r="E50" i="24"/>
  <c r="F50" i="24"/>
  <c r="E10" i="24"/>
  <c r="F10" i="24"/>
  <c r="AA64" i="29" a="1"/>
  <c r="AA3" i="29" a="1"/>
  <c r="D165" i="34"/>
  <c r="D164" i="34"/>
  <c r="AA164" i="34" s="1"/>
  <c r="AB164" i="34"/>
  <c r="AA160" i="34"/>
  <c r="D157" i="34"/>
  <c r="AB145" i="34"/>
  <c r="D9" i="34"/>
  <c r="AB153" i="34"/>
  <c r="D203" i="34"/>
  <c r="D171" i="34"/>
  <c r="D101" i="34"/>
  <c r="D54" i="34"/>
  <c r="AB101" i="34"/>
  <c r="D89" i="34"/>
  <c r="AB152" i="34"/>
  <c r="D76" i="34"/>
  <c r="D106" i="34"/>
  <c r="D108" i="34"/>
  <c r="D166" i="34"/>
  <c r="D191" i="34"/>
  <c r="D58" i="34"/>
  <c r="D12" i="34"/>
  <c r="D35" i="34"/>
  <c r="AB54" i="34"/>
  <c r="D80" i="34"/>
  <c r="D56" i="34"/>
  <c r="AA128" i="34"/>
  <c r="AA203" i="34"/>
  <c r="D46" i="34"/>
  <c r="D36" i="34"/>
  <c r="D190" i="34"/>
  <c r="D206" i="34"/>
  <c r="AA46" i="34"/>
  <c r="D24" i="34"/>
  <c r="AA206" i="34"/>
  <c r="AB76" i="34"/>
  <c r="D202" i="34"/>
  <c r="D162" i="34"/>
  <c r="AB162" i="34" s="1"/>
  <c r="AA162" i="34"/>
  <c r="D205" i="34"/>
  <c r="AB205" i="34"/>
  <c r="D26" i="34"/>
  <c r="AA56" i="34"/>
  <c r="AA159" i="34"/>
  <c r="AB157" i="34"/>
  <c r="AA145" i="34"/>
  <c r="W9" i="34" a="1"/>
  <c r="AB138" i="34"/>
  <c r="D66" i="34"/>
  <c r="D118" i="34"/>
  <c r="D87" i="34"/>
  <c r="D189" i="34"/>
  <c r="D29" i="34"/>
  <c r="D90" i="34"/>
  <c r="AB137" i="34"/>
  <c r="D182" i="34"/>
  <c r="D78" i="34"/>
  <c r="D42" i="34"/>
  <c r="D102" i="34"/>
  <c r="D196" i="34"/>
  <c r="AB139" i="34"/>
  <c r="D112" i="34"/>
  <c r="D170" i="34"/>
  <c r="D104" i="34"/>
  <c r="D188" i="34"/>
  <c r="AB144" i="34"/>
  <c r="AA76" i="34"/>
  <c r="D71" i="34"/>
  <c r="AB135" i="34"/>
  <c r="AA35" i="34"/>
  <c r="AA134" i="34"/>
  <c r="D64" i="34"/>
  <c r="AB151" i="34"/>
  <c r="AA64" i="34"/>
  <c r="D67" i="34"/>
  <c r="D70" i="34"/>
  <c r="D187" i="34"/>
  <c r="AB206" i="34"/>
  <c r="AA80" i="34"/>
  <c r="AA202" i="34"/>
  <c r="AA205" i="34"/>
  <c r="AA26" i="34"/>
  <c r="D95" i="34"/>
  <c r="D79" i="34"/>
  <c r="AA67" i="34"/>
  <c r="AB24" i="34"/>
  <c r="AB159" i="34"/>
  <c r="AB146" i="34"/>
  <c r="W8" i="34"/>
  <c r="W6" i="34"/>
  <c r="AB134" i="34"/>
  <c r="D143" i="34"/>
  <c r="D30" i="34"/>
  <c r="D13" i="34"/>
  <c r="D195" i="34"/>
  <c r="D27" i="34"/>
  <c r="AB27" i="34" s="1"/>
  <c r="D10" i="34"/>
  <c r="AB13" i="34"/>
  <c r="AA135" i="34"/>
  <c r="D33" i="34"/>
  <c r="D122" i="34"/>
  <c r="D55" i="34"/>
  <c r="D105" i="34"/>
  <c r="D48" i="34"/>
  <c r="D111" i="34"/>
  <c r="D200" i="34"/>
  <c r="D173" i="34"/>
  <c r="D123" i="34"/>
  <c r="AA58" i="34"/>
  <c r="D75" i="34"/>
  <c r="AB123" i="34"/>
  <c r="AA139" i="34"/>
  <c r="D99" i="34"/>
  <c r="AB75" i="34"/>
  <c r="D103" i="34"/>
  <c r="D4" i="34"/>
  <c r="D169" i="34"/>
  <c r="D176" i="34"/>
  <c r="AA108" i="34"/>
  <c r="AA190" i="34"/>
  <c r="AB26" i="34"/>
  <c r="AB104" i="34"/>
  <c r="AA169" i="34"/>
  <c r="AB160" i="34"/>
  <c r="AA146" i="34"/>
  <c r="W7" i="34" a="1"/>
  <c r="W3" i="34"/>
  <c r="AB132" i="34"/>
  <c r="D88" i="34"/>
  <c r="D177" i="34"/>
  <c r="AB140" i="34"/>
  <c r="D22" i="34"/>
  <c r="D175" i="34"/>
  <c r="AA153" i="34"/>
  <c r="D194" i="34"/>
  <c r="AB29" i="34"/>
  <c r="D81" i="34"/>
  <c r="D23" i="34"/>
  <c r="AA132" i="34"/>
  <c r="D14" i="34"/>
  <c r="D45" i="34"/>
  <c r="D208" i="34"/>
  <c r="AB182" i="34"/>
  <c r="AA129" i="34"/>
  <c r="AA125" i="34"/>
  <c r="D120" i="34"/>
  <c r="D49" i="34"/>
  <c r="D93" i="34"/>
  <c r="AB105" i="34"/>
  <c r="AB194" i="34"/>
  <c r="D174" i="34"/>
  <c r="D197" i="34"/>
  <c r="AB120" i="34"/>
  <c r="AB89" i="34"/>
  <c r="AB141" i="34"/>
  <c r="AA182" i="34"/>
  <c r="AA106" i="34"/>
  <c r="D207" i="34"/>
  <c r="AA207" i="34" s="1"/>
  <c r="D52" i="34"/>
  <c r="D109" i="34"/>
  <c r="AB109" i="34" s="1"/>
  <c r="AA90" i="34"/>
  <c r="AB80" i="34"/>
  <c r="AB207" i="34"/>
  <c r="AB190" i="34"/>
  <c r="AB202" i="34"/>
  <c r="AA188" i="34"/>
  <c r="AA161" i="34"/>
  <c r="AB147" i="34"/>
  <c r="AB131" i="34"/>
  <c r="D7" i="34"/>
  <c r="W5" i="34" a="1"/>
  <c r="D82" i="34"/>
  <c r="AA82" i="34" s="1"/>
  <c r="D72" i="34"/>
  <c r="AB127" i="34"/>
  <c r="D115" i="34"/>
  <c r="D121" i="34"/>
  <c r="AA121" i="34" s="1"/>
  <c r="AA151" i="34"/>
  <c r="D124" i="34"/>
  <c r="AB2" i="34"/>
  <c r="D77" i="34"/>
  <c r="D186" i="34"/>
  <c r="D91" i="34"/>
  <c r="D44" i="34"/>
  <c r="D34" i="34"/>
  <c r="D28" i="34"/>
  <c r="AB126" i="34"/>
  <c r="AA194" i="34"/>
  <c r="D17" i="34"/>
  <c r="D37" i="34"/>
  <c r="AA152" i="34"/>
  <c r="D192" i="34"/>
  <c r="D199" i="34"/>
  <c r="AB133" i="34"/>
  <c r="AA111" i="34"/>
  <c r="D155" i="34"/>
  <c r="AB102" i="34"/>
  <c r="AB10" i="34"/>
  <c r="AA126" i="34"/>
  <c r="AA42" i="34"/>
  <c r="D142" i="34"/>
  <c r="D113" i="34"/>
  <c r="D167" i="34"/>
  <c r="D114" i="34"/>
  <c r="D62" i="34"/>
  <c r="D73" i="34"/>
  <c r="AA81" i="34"/>
  <c r="AA17" i="34"/>
  <c r="AA12" i="34"/>
  <c r="AB174" i="34"/>
  <c r="AA71" i="34"/>
  <c r="AB95" i="34"/>
  <c r="AB142" i="34"/>
  <c r="AB36" i="34"/>
  <c r="AB176" i="34"/>
  <c r="AA73" i="34"/>
  <c r="D184" i="34"/>
  <c r="AA14" i="34"/>
  <c r="D179" i="34"/>
  <c r="AA166" i="34"/>
  <c r="AA197" i="34"/>
  <c r="AB62" i="34"/>
  <c r="AB161" i="34"/>
  <c r="AA147" i="34"/>
  <c r="AA131" i="34"/>
  <c r="AB149" i="34"/>
  <c r="D5" i="34"/>
  <c r="D20" i="34"/>
  <c r="D15" i="34"/>
  <c r="AB15" i="34" s="1"/>
  <c r="D50" i="34"/>
  <c r="AB50" i="34" s="1"/>
  <c r="D86" i="34"/>
  <c r="AB129" i="34"/>
  <c r="AA15" i="34"/>
  <c r="D183" i="34"/>
  <c r="AA140" i="34"/>
  <c r="AA141" i="34"/>
  <c r="D198" i="34"/>
  <c r="D178" i="34"/>
  <c r="D68" i="34"/>
  <c r="D84" i="34"/>
  <c r="AB84" i="34" s="1"/>
  <c r="D181" i="34"/>
  <c r="D3" i="34"/>
  <c r="AA88" i="34"/>
  <c r="AA133" i="34"/>
  <c r="D100" i="34"/>
  <c r="AA100" i="34" s="1"/>
  <c r="AA196" i="34"/>
  <c r="W4" i="34" a="1"/>
  <c r="AB128" i="34"/>
  <c r="AA55" i="34"/>
  <c r="D32" i="34"/>
  <c r="AB32" i="34" s="1"/>
  <c r="D65" i="34"/>
  <c r="AB166" i="34"/>
  <c r="AB82" i="34"/>
  <c r="AA137" i="34"/>
  <c r="D21" i="34"/>
  <c r="AB191" i="34"/>
  <c r="AA20" i="34"/>
  <c r="D11" i="34"/>
  <c r="D69" i="34"/>
  <c r="AA69" i="34" s="1"/>
  <c r="D63" i="34"/>
  <c r="AA63" i="34" s="1"/>
  <c r="D39" i="34"/>
  <c r="D156" i="34"/>
  <c r="D74" i="34"/>
  <c r="D51" i="34"/>
  <c r="AB51" i="34" s="1"/>
  <c r="AB81" i="34"/>
  <c r="AB17" i="34"/>
  <c r="AB12" i="34"/>
  <c r="AA174" i="34"/>
  <c r="AB71" i="34"/>
  <c r="AA95" i="34"/>
  <c r="AA142" i="34"/>
  <c r="AA36" i="34"/>
  <c r="AB63" i="34"/>
  <c r="AA176" i="34"/>
  <c r="AB73" i="34"/>
  <c r="D38" i="34"/>
  <c r="AB38" i="34" s="1"/>
  <c r="D85" i="34"/>
  <c r="AA85" i="34" s="1"/>
  <c r="AA144" i="34"/>
  <c r="AA138" i="34"/>
  <c r="D60" i="34"/>
  <c r="AA78" i="34"/>
  <c r="AA27" i="34"/>
  <c r="D59" i="34"/>
  <c r="AB90" i="34"/>
  <c r="D117" i="34"/>
  <c r="AB48" i="34"/>
  <c r="D180" i="34"/>
  <c r="D110" i="34"/>
  <c r="AB70" i="34"/>
  <c r="AA148" i="34"/>
  <c r="AA158" i="34"/>
  <c r="AA130" i="34"/>
  <c r="D8" i="34"/>
  <c r="AA8" i="34"/>
  <c r="D163" i="34"/>
  <c r="D98" i="34"/>
  <c r="D92" i="34"/>
  <c r="AB203" i="34"/>
  <c r="D94" i="34"/>
  <c r="AB88" i="34"/>
  <c r="AA38" i="34"/>
  <c r="D201" i="34"/>
  <c r="AA175" i="34"/>
  <c r="AA10" i="34"/>
  <c r="D6" i="34"/>
  <c r="D97" i="34"/>
  <c r="D172" i="34"/>
  <c r="AA198" i="34"/>
  <c r="D61" i="34"/>
  <c r="D116" i="34"/>
  <c r="AB85" i="34"/>
  <c r="AA127" i="34"/>
  <c r="AA84" i="34"/>
  <c r="D96" i="34"/>
  <c r="AA201" i="34"/>
  <c r="AA50" i="34"/>
  <c r="AB28" i="34"/>
  <c r="AA150" i="34"/>
  <c r="D19" i="34"/>
  <c r="D107" i="34"/>
  <c r="AB87" i="34"/>
  <c r="AA13" i="34"/>
  <c r="D40" i="34"/>
  <c r="AB112" i="34"/>
  <c r="AB125" i="34"/>
  <c r="AA105" i="34"/>
  <c r="AA101" i="34"/>
  <c r="D47" i="34"/>
  <c r="D31" i="34"/>
  <c r="D43" i="34"/>
  <c r="AB43" i="34" s="1"/>
  <c r="D83" i="34"/>
  <c r="D168" i="34"/>
  <c r="D119" i="34"/>
  <c r="D204" i="34"/>
  <c r="AB100" i="34"/>
  <c r="AA104" i="34"/>
  <c r="AA32" i="34"/>
  <c r="AB197" i="34"/>
  <c r="AB155" i="34"/>
  <c r="AB56" i="34"/>
  <c r="AB67" i="34"/>
  <c r="AB69" i="34"/>
  <c r="AA70" i="34"/>
  <c r="AA43" i="34"/>
  <c r="AB169" i="34"/>
  <c r="AB110" i="34"/>
  <c r="AA109" i="34"/>
  <c r="AA62" i="34"/>
  <c r="AA24" i="34"/>
  <c r="AA51" i="34"/>
  <c r="AB148" i="34"/>
  <c r="AB158" i="34"/>
  <c r="AB130" i="34"/>
  <c r="AA149" i="34"/>
  <c r="AB8" i="34"/>
  <c r="D18" i="34"/>
  <c r="AA87" i="34"/>
  <c r="AB150" i="34"/>
  <c r="AB121" i="34"/>
  <c r="D25" i="34"/>
  <c r="D57" i="34"/>
  <c r="D41" i="34"/>
  <c r="D16" i="34"/>
  <c r="D53" i="34"/>
  <c r="AA2" i="34"/>
  <c r="AB118" i="34"/>
  <c r="D193" i="34"/>
  <c r="AA192" i="34"/>
  <c r="AA37" i="34"/>
  <c r="D185" i="34"/>
  <c r="AA155" i="34"/>
  <c r="AA110" i="34"/>
  <c r="AA154" i="34"/>
  <c r="AB154" i="34"/>
  <c r="AA136" i="34"/>
  <c r="AB136" i="34"/>
  <c r="AA66" i="34"/>
  <c r="AB189" i="34"/>
  <c r="AA79" i="34"/>
  <c r="AB79" i="34"/>
  <c r="AB143" i="34"/>
  <c r="AA143" i="34"/>
  <c r="AA30" i="34"/>
  <c r="AB195" i="34"/>
  <c r="AB33" i="34"/>
  <c r="AA122" i="34"/>
  <c r="AA200" i="34"/>
  <c r="AB99" i="34"/>
  <c r="AB103" i="34"/>
  <c r="AA103" i="34"/>
  <c r="AB3" i="34"/>
  <c r="AA3" i="34"/>
  <c r="AA22" i="34"/>
  <c r="AB23" i="34"/>
  <c r="AA45" i="34"/>
  <c r="AA208" i="34"/>
  <c r="AA49" i="34"/>
  <c r="AA93" i="34"/>
  <c r="AB93" i="34"/>
  <c r="AA52" i="34"/>
  <c r="AB52" i="34"/>
  <c r="AA72" i="34"/>
  <c r="AB72" i="34"/>
  <c r="AA115" i="34"/>
  <c r="AB115" i="34"/>
  <c r="AA124" i="34"/>
  <c r="AB77" i="34"/>
  <c r="AA91" i="34"/>
  <c r="AA44" i="34"/>
  <c r="AB34" i="34"/>
  <c r="AB199" i="34"/>
  <c r="AB113" i="34"/>
  <c r="AA113" i="34"/>
  <c r="AB167" i="34"/>
  <c r="AA167" i="34"/>
  <c r="AB114" i="34"/>
  <c r="AA114" i="34"/>
  <c r="AA86" i="34"/>
  <c r="AA68" i="34"/>
  <c r="AB65" i="34"/>
  <c r="AA65" i="34"/>
  <c r="AA21" i="34"/>
  <c r="AB21" i="34"/>
  <c r="AB11" i="34"/>
  <c r="AA11" i="34"/>
  <c r="AB39" i="34"/>
  <c r="AA39" i="34"/>
  <c r="AA156" i="34"/>
  <c r="AB156" i="34"/>
  <c r="AA74" i="34"/>
  <c r="AB74" i="34"/>
  <c r="AA60" i="34"/>
  <c r="AB59" i="34"/>
  <c r="AA59" i="34"/>
  <c r="AB117" i="34"/>
  <c r="AA117" i="34"/>
  <c r="AB163" i="34"/>
  <c r="AA163" i="34"/>
  <c r="AA98" i="34"/>
  <c r="AB98" i="34"/>
  <c r="AB92" i="34"/>
  <c r="AA92" i="34"/>
  <c r="AA94" i="34"/>
  <c r="AB97" i="34"/>
  <c r="AB61" i="34"/>
  <c r="AA61" i="34"/>
  <c r="AA116" i="34"/>
  <c r="AB116" i="34"/>
  <c r="AB96" i="34"/>
  <c r="AA96" i="34"/>
  <c r="AB19" i="34"/>
  <c r="AA19" i="34"/>
  <c r="AB107" i="34"/>
  <c r="AA107" i="34"/>
  <c r="AB40" i="34"/>
  <c r="AA40" i="34"/>
  <c r="AB47" i="34"/>
  <c r="AA47" i="34"/>
  <c r="AA31" i="34"/>
  <c r="AB31" i="34"/>
  <c r="AA83" i="34"/>
  <c r="AB83" i="34"/>
  <c r="AA168" i="34"/>
  <c r="AB168" i="34"/>
  <c r="AB119" i="34"/>
  <c r="AA119" i="34"/>
  <c r="AA204" i="34"/>
  <c r="AB204" i="34"/>
  <c r="AB18" i="34"/>
  <c r="AA18" i="34"/>
  <c r="AB25" i="34"/>
  <c r="AA57" i="34"/>
  <c r="AB41" i="34"/>
  <c r="AA41" i="34"/>
  <c r="AA16" i="34"/>
  <c r="AA53" i="34"/>
  <c r="AA193" i="34"/>
  <c r="AA165" i="34"/>
  <c r="AB165" i="34"/>
  <c r="AA178" i="34"/>
  <c r="AA177" i="34"/>
  <c r="AB183" i="34"/>
  <c r="AA183" i="34"/>
  <c r="AB178" i="34"/>
  <c r="AA180" i="34"/>
  <c r="AB181" i="34"/>
  <c r="AB180" i="34"/>
  <c r="AA179" i="34"/>
  <c r="AB179" i="34"/>
  <c r="AB177" i="34"/>
  <c r="AA185" i="34"/>
  <c r="AA184" i="34"/>
  <c r="AB185" i="34"/>
  <c r="AA186" i="34"/>
  <c r="AB184" i="34"/>
  <c r="AA187" i="34"/>
  <c r="AB187" i="34"/>
  <c r="AB173" i="34"/>
  <c r="AA173" i="34"/>
  <c r="AA172" i="34"/>
  <c r="AB172" i="34"/>
  <c r="AB171" i="34"/>
  <c r="AA171" i="34"/>
  <c r="AB170" i="34"/>
  <c r="W5" i="34" l="1"/>
  <c r="W9" i="34"/>
  <c r="W7" i="34"/>
  <c r="W4" i="34"/>
  <c r="AA3" i="29"/>
  <c r="AA64" i="29"/>
  <c r="AA125" i="29" a="1"/>
  <c r="AB118" i="29" a="1"/>
  <c r="AA134" i="29" a="1"/>
  <c r="AA133" i="29" a="1"/>
  <c r="AB116" i="29" a="1"/>
  <c r="AA130" i="29" a="1"/>
  <c r="AA138" i="29" a="1"/>
  <c r="AA126" i="29" a="1"/>
  <c r="AB117" i="29" a="1"/>
  <c r="AA137" i="29" a="1"/>
  <c r="AA135" i="29" a="1"/>
  <c r="AA139" i="29" a="1"/>
  <c r="AA132" i="29" a="1"/>
  <c r="AA131" i="29" a="1"/>
  <c r="AA124" i="29" a="1"/>
  <c r="AA136" i="29" a="1"/>
  <c r="AB53" i="34"/>
  <c r="AB37" i="34"/>
  <c r="AB49" i="34"/>
  <c r="AB122" i="34"/>
  <c r="AB196" i="34"/>
  <c r="AB46" i="34"/>
  <c r="AA157" i="34"/>
  <c r="AB4" i="34"/>
  <c r="AB7" i="34"/>
  <c r="AA6" i="34"/>
  <c r="AB57" i="34"/>
  <c r="AA34" i="34"/>
  <c r="AB208" i="34"/>
  <c r="AA75" i="34"/>
  <c r="AA195" i="34"/>
  <c r="AB42" i="34"/>
  <c r="AB58" i="34"/>
  <c r="AB16" i="34"/>
  <c r="AB68" i="34"/>
  <c r="AA28" i="34"/>
  <c r="AA120" i="34"/>
  <c r="AA99" i="34"/>
  <c r="AA33" i="34"/>
  <c r="AA102" i="34"/>
  <c r="AB35" i="34"/>
  <c r="AA25" i="34"/>
  <c r="AB198" i="34"/>
  <c r="AB44" i="34"/>
  <c r="AB45" i="34"/>
  <c r="AA123" i="34"/>
  <c r="AB30" i="34"/>
  <c r="AB78" i="34"/>
  <c r="AA191" i="34"/>
  <c r="AB64" i="34"/>
  <c r="AB201" i="34"/>
  <c r="AB20" i="34"/>
  <c r="AA23" i="34"/>
  <c r="AB111" i="34"/>
  <c r="AB188" i="34"/>
  <c r="AA189" i="34"/>
  <c r="AB106" i="34"/>
  <c r="AA5" i="34"/>
  <c r="AA199" i="34"/>
  <c r="AA77" i="34"/>
  <c r="AB175" i="34"/>
  <c r="AA48" i="34"/>
  <c r="AA118" i="34"/>
  <c r="AA89" i="34"/>
  <c r="AB5" i="34"/>
  <c r="AB193" i="34"/>
  <c r="AB192" i="34"/>
  <c r="AB124" i="34"/>
  <c r="AB55" i="34"/>
  <c r="AA112" i="34"/>
  <c r="AA54" i="34"/>
  <c r="AA4" i="34"/>
  <c r="AA9" i="34"/>
  <c r="AA97" i="34"/>
  <c r="AB91" i="34"/>
  <c r="AB14" i="34"/>
  <c r="AA29" i="34"/>
  <c r="AB94" i="34"/>
  <c r="AB60" i="34"/>
  <c r="AB22" i="34"/>
  <c r="AB66" i="34"/>
  <c r="AA7" i="34"/>
  <c r="AB9" i="34"/>
  <c r="AB86" i="34"/>
  <c r="AB200" i="34"/>
  <c r="AB108" i="34"/>
  <c r="AB6" i="34"/>
  <c r="AA181" i="34"/>
  <c r="AB186" i="34"/>
  <c r="AA170" i="34"/>
  <c r="AA138" i="29" l="1"/>
  <c r="AA132" i="29"/>
  <c r="AA125" i="29"/>
  <c r="AA126" i="29"/>
  <c r="AA124" i="29"/>
  <c r="AB118" i="29"/>
  <c r="AB117" i="29"/>
  <c r="AB116" i="29"/>
  <c r="AA136" i="29"/>
  <c r="AA139" i="29"/>
  <c r="AA130" i="29"/>
  <c r="AA131" i="29"/>
  <c r="AA137" i="29"/>
  <c r="AA135" i="29"/>
  <c r="AA133" i="29"/>
  <c r="AA134" i="29"/>
  <c r="AA109" i="29" a="1"/>
  <c r="AB98" i="29" a="1"/>
  <c r="AB7" i="29" a="1"/>
  <c r="AA74" i="29" a="1"/>
  <c r="AA95" i="29" a="1"/>
  <c r="AA104" i="29" a="1"/>
  <c r="AB8" i="29" a="1"/>
  <c r="AA100" i="29" a="1"/>
  <c r="AB101" i="29" a="1"/>
  <c r="AA110" i="29" a="1"/>
  <c r="AA67" i="29" a="1"/>
  <c r="AB10" i="29" a="1"/>
  <c r="AA101" i="29" a="1"/>
  <c r="D115" i="29" a="1"/>
  <c r="AA127" i="29" a="1"/>
  <c r="AA76" i="29" a="1"/>
  <c r="AA122" i="29" a="1"/>
  <c r="AA102" i="29" a="1"/>
  <c r="AB67" i="29" a="1"/>
  <c r="AA113" i="29" a="1"/>
  <c r="AB123" i="29" a="1"/>
  <c r="AA107" i="29" a="1"/>
  <c r="AB60" i="29" a="1"/>
  <c r="AB32" i="29" a="1"/>
  <c r="AB45" i="29" a="1"/>
  <c r="AB69" i="29" a="1"/>
  <c r="AB59" i="29" a="1"/>
  <c r="AB64" i="29" a="1"/>
  <c r="AA71" i="29" a="1"/>
  <c r="AA83" i="29" a="1"/>
  <c r="AA118" i="29" a="1"/>
  <c r="AA75" i="29" a="1"/>
  <c r="AB120" i="29" a="1"/>
  <c r="AA96" i="29" a="1"/>
  <c r="AA123" i="29" a="1"/>
  <c r="AA93" i="29" a="1"/>
  <c r="AB121" i="29" a="1"/>
  <c r="AB99" i="29" a="1"/>
  <c r="AB62" i="29" a="1"/>
  <c r="AA92" i="29" a="1"/>
  <c r="AA70" i="29" a="1"/>
  <c r="AB65" i="29" a="1"/>
  <c r="D127" i="29" a="1"/>
  <c r="AA62" i="29" a="1"/>
  <c r="AA63" i="29" a="1"/>
  <c r="D95" i="29" a="1"/>
  <c r="AA105" i="29" a="1"/>
  <c r="AB66" i="29" a="1"/>
  <c r="AA117" i="29" a="1"/>
  <c r="AA108" i="29" a="1"/>
  <c r="AA128" i="29" a="1"/>
  <c r="AA69" i="29" a="1"/>
  <c r="AA115" i="29" a="1"/>
  <c r="AB61" i="29" a="1"/>
  <c r="AA97" i="29" a="1"/>
  <c r="AA87" i="29" a="1"/>
  <c r="AB122" i="29" a="1"/>
  <c r="AA78" i="29" a="1"/>
  <c r="AA120" i="29" a="1"/>
  <c r="D106" i="29" a="1"/>
  <c r="AB119" i="29" a="1"/>
  <c r="AB63" i="29" a="1"/>
  <c r="AB96" i="29" a="1"/>
  <c r="AA60" i="29" a="1"/>
  <c r="D128" i="29" a="1"/>
  <c r="AB70" i="29" a="1"/>
  <c r="AB58" i="29" a="1"/>
  <c r="AB46" i="29" a="1"/>
  <c r="AA121" i="29" a="1"/>
  <c r="AA84" i="29" a="1"/>
  <c r="AA106" i="29" a="1"/>
  <c r="AA72" i="29" a="1"/>
  <c r="AA61" i="29" a="1"/>
  <c r="AA98" i="29" a="1"/>
  <c r="AA99" i="29" a="1"/>
  <c r="AA111" i="29" a="1"/>
  <c r="AB9" i="29" a="1"/>
  <c r="AA116" i="29" a="1"/>
  <c r="AA91" i="29" a="1"/>
  <c r="AA119" i="29" a="1"/>
  <c r="AA86" i="29" a="1"/>
  <c r="AA77" i="29" a="1"/>
  <c r="AB68" i="29" a="1"/>
  <c r="AB57" i="29" a="1"/>
  <c r="AA112" i="29" a="1"/>
  <c r="D105" i="29" a="1"/>
  <c r="AA129" i="29" a="1"/>
  <c r="AA103" i="29" a="1"/>
  <c r="AB100" i="29" a="1"/>
  <c r="AB97" i="29" a="1"/>
  <c r="AB71" i="29" a="1"/>
  <c r="AA129" i="29" l="1"/>
  <c r="AA119" i="29"/>
  <c r="AA120" i="29"/>
  <c r="AA121" i="29"/>
  <c r="AA117" i="29"/>
  <c r="AA118" i="29"/>
  <c r="AA122" i="29"/>
  <c r="AA123" i="29"/>
  <c r="AA116" i="29"/>
  <c r="AA100" i="29"/>
  <c r="AA101" i="29"/>
  <c r="AA99" i="29"/>
  <c r="AB8" i="29"/>
  <c r="AB7" i="29"/>
  <c r="AB9" i="29"/>
  <c r="AB10" i="29"/>
  <c r="AB32" i="29"/>
  <c r="AB45" i="29"/>
  <c r="AB46" i="29"/>
  <c r="AB64" i="29"/>
  <c r="AB65" i="29"/>
  <c r="AB69" i="29"/>
  <c r="AB66" i="29"/>
  <c r="AB67" i="29"/>
  <c r="AB68" i="29"/>
  <c r="AB70" i="29"/>
  <c r="AB71" i="29"/>
  <c r="AB121" i="29"/>
  <c r="AB122" i="29"/>
  <c r="AB120" i="29"/>
  <c r="AB123" i="29"/>
  <c r="AB119" i="29"/>
  <c r="AB100" i="29"/>
  <c r="AB101" i="29"/>
  <c r="AB99" i="29"/>
  <c r="D115" i="29"/>
  <c r="AA115" i="29"/>
  <c r="D127" i="29"/>
  <c r="AA127" i="29"/>
  <c r="AA128" i="29"/>
  <c r="D128" i="29"/>
  <c r="AA78" i="29"/>
  <c r="AA76" i="29"/>
  <c r="AA67" i="29"/>
  <c r="AB62" i="29"/>
  <c r="AA62" i="29"/>
  <c r="AB98" i="29"/>
  <c r="AB63" i="29"/>
  <c r="AB97" i="29"/>
  <c r="AB96" i="29"/>
  <c r="AA63" i="29"/>
  <c r="AA106" i="29"/>
  <c r="AA86" i="29"/>
  <c r="AA112" i="29"/>
  <c r="D95" i="29"/>
  <c r="D105" i="29"/>
  <c r="AA95" i="29"/>
  <c r="AA103" i="29"/>
  <c r="AA107" i="29"/>
  <c r="AA113" i="29"/>
  <c r="AA96" i="29"/>
  <c r="AA108" i="29"/>
  <c r="AA93" i="29"/>
  <c r="AA71" i="29"/>
  <c r="AA105" i="29"/>
  <c r="AA110" i="29"/>
  <c r="AA97" i="29"/>
  <c r="AA102" i="29"/>
  <c r="AA104" i="29"/>
  <c r="AA109" i="29"/>
  <c r="AA98" i="29"/>
  <c r="D106" i="29"/>
  <c r="AA111" i="29"/>
  <c r="AA87" i="29"/>
  <c r="AA91" i="29"/>
  <c r="AA92" i="29"/>
  <c r="AA84" i="29"/>
  <c r="AA83" i="29"/>
  <c r="AA75" i="29"/>
  <c r="AA69" i="29"/>
  <c r="AB61" i="29"/>
  <c r="AA61" i="29"/>
  <c r="AA60" i="29"/>
  <c r="AB60" i="29"/>
  <c r="AB59" i="29"/>
  <c r="AB58" i="29"/>
  <c r="AB57" i="29"/>
  <c r="AA77" i="29"/>
  <c r="AA72" i="29"/>
  <c r="AA70" i="29"/>
  <c r="AA74" i="29"/>
  <c r="AA73" i="29" a="1"/>
  <c r="AA58" i="29" a="1"/>
  <c r="AA66" i="29" a="1"/>
  <c r="AA68" i="29" a="1"/>
  <c r="AA68" i="29" l="1"/>
  <c r="AA66" i="29"/>
  <c r="AA58" i="29"/>
  <c r="AA73" i="29"/>
  <c r="AA11" i="29" a="1"/>
  <c r="D30" i="29" a="1"/>
  <c r="AA79" i="29" a="1"/>
  <c r="D48" i="29" a="1"/>
  <c r="AA52" i="29" a="1"/>
  <c r="AA90" i="29" a="1"/>
  <c r="AA65" i="29" a="1"/>
  <c r="AA56" i="29" a="1"/>
  <c r="AA43" i="29" a="1"/>
  <c r="D49" i="29" a="1"/>
  <c r="AA80" i="29" a="1"/>
  <c r="AB44" i="29" a="1"/>
  <c r="D35" i="29" a="1"/>
  <c r="AA8" i="29" a="1"/>
  <c r="D56" i="29" a="1"/>
  <c r="AA4" i="29" a="1"/>
  <c r="AA89" i="29" a="1"/>
  <c r="AB31" i="29" a="1"/>
  <c r="AA25" i="29" a="1"/>
  <c r="AA22" i="29" a="1"/>
  <c r="D79" i="29" a="1"/>
  <c r="AA37" i="29" a="1"/>
  <c r="AA51" i="29" a="1"/>
  <c r="AB4" i="29" a="1"/>
  <c r="AA15" i="29" a="1"/>
  <c r="AA17" i="29" a="1"/>
  <c r="D34" i="29" a="1"/>
  <c r="AB6" i="29" a="1"/>
  <c r="AA5" i="29" a="1"/>
  <c r="AA45" i="29" a="1"/>
  <c r="AA28" i="29" a="1"/>
  <c r="AA31" i="29" a="1"/>
  <c r="AA27" i="29" a="1"/>
  <c r="AA13" i="29" a="1"/>
  <c r="AA57" i="29" a="1"/>
  <c r="D80" i="29" a="1"/>
  <c r="AA21" i="29" a="1"/>
  <c r="AA50" i="29" a="1"/>
  <c r="D36" i="29" a="1"/>
  <c r="AA19" i="29" a="1"/>
  <c r="AA35" i="29" a="1"/>
  <c r="AA48" i="29" a="1"/>
  <c r="AA39" i="29" a="1"/>
  <c r="AA24" i="29" a="1"/>
  <c r="AA34" i="29" a="1"/>
  <c r="AB5" i="29" a="1"/>
  <c r="AA40" i="29" a="1"/>
  <c r="AA59" i="29" a="1"/>
  <c r="AA18" i="29" a="1"/>
  <c r="AA32" i="29" a="1"/>
  <c r="AA41" i="29" a="1"/>
  <c r="AA12" i="29" a="1"/>
  <c r="AA81" i="29" a="1"/>
  <c r="AA36" i="29" a="1"/>
  <c r="AA38" i="29" a="1"/>
  <c r="AA7" i="29" a="1"/>
  <c r="AA54" i="29" a="1"/>
  <c r="AA47" i="29" a="1"/>
  <c r="AA23" i="29" a="1"/>
  <c r="AA33" i="29" a="1"/>
  <c r="D43" i="29" a="1"/>
  <c r="AA10" i="29" a="1"/>
  <c r="AA9" i="29" a="1"/>
  <c r="AA82" i="29" a="1"/>
  <c r="AA14" i="29" a="1"/>
  <c r="AA26" i="29" a="1"/>
  <c r="AA44" i="29" a="1"/>
  <c r="AA30" i="29" a="1"/>
  <c r="AA85" i="29" a="1"/>
  <c r="AA20" i="29" a="1"/>
  <c r="AA46" i="29" a="1"/>
  <c r="D37" i="29" a="1"/>
  <c r="AA6" i="29" a="1"/>
  <c r="AA49" i="29" a="1"/>
  <c r="AA88" i="29" a="1"/>
  <c r="AA53" i="29" a="1"/>
  <c r="AA16" i="29" a="1"/>
  <c r="AA57" i="29" l="1"/>
  <c r="AA89" i="29"/>
  <c r="AA82" i="29"/>
  <c r="AB44" i="29"/>
  <c r="AB31" i="29"/>
  <c r="AB4" i="29"/>
  <c r="AB5" i="29"/>
  <c r="AB6" i="29"/>
  <c r="AA37" i="29"/>
  <c r="AA54" i="29"/>
  <c r="AA43" i="29"/>
  <c r="AA39" i="29"/>
  <c r="AA44" i="29"/>
  <c r="AA48" i="29"/>
  <c r="AA52" i="29"/>
  <c r="AA59" i="29"/>
  <c r="AA46" i="29"/>
  <c r="AA30" i="29"/>
  <c r="AA47" i="29"/>
  <c r="AA56" i="29"/>
  <c r="AA35" i="29"/>
  <c r="AA79" i="29"/>
  <c r="AA50" i="29"/>
  <c r="AA34" i="29"/>
  <c r="AA51" i="29"/>
  <c r="AA32" i="29"/>
  <c r="AA49" i="29"/>
  <c r="AA88" i="29"/>
  <c r="AA33" i="29"/>
  <c r="AA65" i="29"/>
  <c r="AA38" i="29"/>
  <c r="AA85" i="29"/>
  <c r="AA31" i="29"/>
  <c r="AA36" i="29"/>
  <c r="AA40" i="29"/>
  <c r="AA45" i="29"/>
  <c r="AA53" i="29"/>
  <c r="AA80" i="29"/>
  <c r="AA90" i="29"/>
  <c r="AA41" i="29"/>
  <c r="AA81" i="29"/>
  <c r="AA17" i="29"/>
  <c r="AA21" i="29"/>
  <c r="AA25" i="29"/>
  <c r="AA14" i="29"/>
  <c r="AA18" i="29"/>
  <c r="AA22" i="29"/>
  <c r="AA26" i="29"/>
  <c r="AA15" i="29"/>
  <c r="AA19" i="29"/>
  <c r="AA27" i="29"/>
  <c r="AA23" i="29"/>
  <c r="AA24" i="29"/>
  <c r="AA16" i="29"/>
  <c r="AA20" i="29"/>
  <c r="AA28" i="29"/>
  <c r="AA11" i="29"/>
  <c r="AA6" i="29"/>
  <c r="AA7" i="29"/>
  <c r="AA4" i="29"/>
  <c r="AA12" i="29"/>
  <c r="AA8" i="29"/>
  <c r="AA5" i="29"/>
  <c r="AA13" i="29"/>
  <c r="AA10" i="29"/>
  <c r="AA9" i="29"/>
  <c r="D34" i="29"/>
  <c r="D36" i="29"/>
  <c r="D49" i="29"/>
  <c r="D30" i="29"/>
  <c r="D37" i="29"/>
  <c r="D56" i="29"/>
  <c r="D43" i="29"/>
  <c r="D79" i="29"/>
  <c r="D80" i="29"/>
  <c r="D35" i="29"/>
  <c r="D48" i="29"/>
  <c r="N10" i="23" l="1"/>
  <c r="L5" i="23"/>
  <c r="K5" i="23"/>
  <c r="J5" i="23"/>
  <c r="R4" i="23"/>
  <c r="Q4" i="23"/>
  <c r="P4" i="23"/>
  <c r="O4" i="23"/>
  <c r="L4" i="23"/>
  <c r="K4" i="23"/>
  <c r="J4" i="23"/>
  <c r="R3" i="23"/>
  <c r="Q3" i="23"/>
  <c r="P3" i="23"/>
  <c r="O3" i="23"/>
  <c r="L3" i="23"/>
  <c r="K3" i="23"/>
  <c r="J3" i="23"/>
  <c r="AL6" i="23"/>
  <c r="AJ6" i="23"/>
  <c r="AH6" i="23"/>
  <c r="AF6" i="23"/>
  <c r="AD6" i="23"/>
  <c r="AB6" i="23"/>
  <c r="X6" i="23"/>
  <c r="R2" i="23"/>
  <c r="R5" i="23" s="1"/>
  <c r="Q2" i="23"/>
  <c r="Q5" i="23" s="1"/>
  <c r="P2" i="23"/>
  <c r="P5" i="23" s="1"/>
  <c r="O2" i="23"/>
  <c r="O5" i="23" s="1"/>
  <c r="L2" i="23"/>
  <c r="L6" i="23" s="1"/>
  <c r="K2" i="23"/>
  <c r="K6" i="23" s="1"/>
  <c r="J2" i="23"/>
  <c r="AI6" i="23"/>
  <c r="AG6" i="23"/>
  <c r="AA6" i="23"/>
  <c r="A1" i="23"/>
  <c r="AC6" i="23" l="1"/>
  <c r="AK6" i="23"/>
  <c r="M3" i="23"/>
  <c r="M2" i="23"/>
  <c r="M4" i="23"/>
  <c r="M5" i="23"/>
  <c r="AE6" i="23"/>
  <c r="S4" i="23"/>
  <c r="S3" i="23"/>
  <c r="W6" i="23"/>
  <c r="O10" i="23"/>
  <c r="N11" i="23" s="1"/>
  <c r="S2" i="23"/>
  <c r="J6" i="23"/>
  <c r="S5" i="23" l="1"/>
  <c r="M6" i="23"/>
  <c r="O11" i="23"/>
  <c r="N12" i="23" l="1"/>
  <c r="O12" i="23" l="1"/>
  <c r="N13" i="23" l="1"/>
  <c r="O13" i="23" l="1"/>
  <c r="N14" i="23" l="1"/>
  <c r="O14" i="23" l="1"/>
  <c r="N15" i="23" s="1"/>
  <c r="O15" i="23" l="1"/>
  <c r="N16" i="23" s="1"/>
  <c r="O16" i="23" l="1"/>
  <c r="N17" i="23" s="1"/>
  <c r="O17" i="23" s="1"/>
  <c r="N18" i="23" s="1"/>
  <c r="O18" i="23" s="1"/>
  <c r="N19" i="23" s="1"/>
  <c r="O19" i="23" s="1"/>
  <c r="N20" i="23" s="1"/>
  <c r="O20" i="23" s="1"/>
  <c r="N21" i="23" s="1"/>
  <c r="O21" i="23" s="1"/>
  <c r="N22" i="23" s="1"/>
  <c r="O22" i="23" s="1"/>
  <c r="N23" i="23" s="1"/>
  <c r="O23" i="23" s="1"/>
  <c r="N24" i="23" s="1"/>
  <c r="O24" i="23" s="1"/>
  <c r="N25" i="23" s="1"/>
  <c r="O25" i="23" s="1"/>
  <c r="N26" i="23" s="1"/>
  <c r="O26" i="23" s="1"/>
  <c r="N27" i="23" s="1"/>
  <c r="O27" i="23" s="1"/>
  <c r="N28" i="23" s="1"/>
  <c r="O28" i="23" s="1"/>
  <c r="N29" i="23" s="1"/>
  <c r="O29" i="23" s="1"/>
  <c r="N30" i="23" s="1"/>
  <c r="O30" i="23" s="1"/>
  <c r="N31" i="23" s="1"/>
  <c r="O31" i="23" s="1"/>
  <c r="N32" i="23" s="1"/>
  <c r="O32" i="23" s="1"/>
  <c r="N33" i="23" s="1"/>
  <c r="O33" i="23" s="1"/>
  <c r="N34" i="23" s="1"/>
  <c r="O34" i="23" s="1"/>
  <c r="N35" i="23" s="1"/>
  <c r="O35" i="23" s="1"/>
  <c r="N36" i="23" s="1"/>
  <c r="O36" i="23" s="1"/>
  <c r="N37" i="23" s="1"/>
  <c r="O37" i="23" s="1"/>
  <c r="N38" i="23" s="1"/>
  <c r="O38" i="23" s="1"/>
  <c r="N39" i="23" s="1"/>
  <c r="O39" i="23" s="1"/>
  <c r="N40" i="23" s="1"/>
  <c r="O40" i="23" s="1"/>
  <c r="N41" i="23" s="1"/>
  <c r="O41" i="23" s="1"/>
  <c r="N42" i="23" s="1"/>
  <c r="O42" i="23" s="1"/>
  <c r="N43" i="23" s="1"/>
  <c r="O43" i="23" s="1"/>
  <c r="N44" i="23" s="1"/>
  <c r="O44" i="23" s="1"/>
  <c r="N45" i="23" s="1"/>
  <c r="O45" i="23" s="1"/>
  <c r="N46" i="23" s="1"/>
  <c r="O46" i="23" s="1"/>
  <c r="N47" i="23" s="1"/>
  <c r="O47" i="23" s="1"/>
  <c r="N48" i="23" s="1"/>
  <c r="O48" i="23" s="1"/>
  <c r="N49" i="23" s="1"/>
  <c r="O49" i="23" s="1"/>
  <c r="N50" i="23" s="1"/>
  <c r="O50" i="23" s="1"/>
  <c r="N51" i="23" s="1"/>
  <c r="O51" i="23" s="1"/>
  <c r="N52" i="23" s="1"/>
  <c r="O52" i="23" s="1"/>
  <c r="N53" i="23" s="1"/>
  <c r="O53" i="23" s="1"/>
  <c r="N54" i="23" s="1"/>
  <c r="O54" i="23" s="1"/>
  <c r="N55" i="23" s="1"/>
  <c r="O55" i="23" s="1"/>
  <c r="N56" i="23" s="1"/>
  <c r="O56" i="23" s="1"/>
  <c r="N57" i="23" s="1"/>
  <c r="O57" i="23" s="1"/>
  <c r="N58" i="23" s="1"/>
  <c r="O58" i="23" s="1"/>
  <c r="N59" i="23" s="1"/>
  <c r="O59" i="23" s="1"/>
  <c r="N60" i="23" s="1"/>
  <c r="O60" i="23" s="1"/>
  <c r="N61" i="23" s="1"/>
  <c r="O61" i="23" s="1"/>
  <c r="N62" i="23" s="1"/>
  <c r="O62" i="23" s="1"/>
  <c r="V6" i="23" l="1"/>
  <c r="Y6" i="23"/>
  <c r="Z6" i="23"/>
  <c r="U6" i="23"/>
</calcChain>
</file>

<file path=xl/comments1.xml><?xml version="1.0" encoding="utf-8"?>
<comments xmlns="http://schemas.openxmlformats.org/spreadsheetml/2006/main">
  <authors>
    <author>OWY</author>
    <author>추규곤</author>
  </authors>
  <commentList>
    <comment ref="F9" authorId="0">
      <text>
        <r>
          <rPr>
            <b/>
            <sz val="9"/>
            <color indexed="81"/>
            <rFont val="돋움"/>
            <family val="3"/>
            <charset val="129"/>
          </rPr>
          <t>화면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보고서
배치
인터페이스</t>
        </r>
      </text>
    </comment>
    <comment ref="I9" authorId="0">
      <text>
        <r>
          <rPr>
            <b/>
            <sz val="9"/>
            <color indexed="81"/>
            <rFont val="돋움"/>
            <family val="3"/>
            <charset val="129"/>
          </rPr>
          <t>상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하</t>
        </r>
      </text>
    </comment>
    <comment ref="K9" authorId="0">
      <text>
        <r>
          <rPr>
            <b/>
            <sz val="9"/>
            <color indexed="81"/>
            <rFont val="돋움"/>
            <family val="3"/>
            <charset val="129"/>
          </rPr>
          <t>미착수 : 계획진척률 0%
지연 : 계획진척률 &gt; 실적진척률
초과성과 : 계획진척률 &lt; 실적진척률
정상 : 계획진척률 = 실적진척률
완료 : 실적진척률 100%</t>
        </r>
      </text>
    </comment>
    <comment ref="AM9" authorId="1">
      <text>
        <r>
          <rPr>
            <b/>
            <sz val="9"/>
            <color indexed="81"/>
            <rFont val="돋움"/>
            <family val="3"/>
            <charset val="129"/>
          </rPr>
          <t>구체적인 사유 명시
예) 회의록 파일명 등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<sst xmlns="http://schemas.openxmlformats.org/spreadsheetml/2006/main" count="9371" uniqueCount="5444">
  <si>
    <t>대분류</t>
    <phoneticPr fontId="1" type="noConversion"/>
  </si>
  <si>
    <t>회원</t>
    <phoneticPr fontId="1" type="noConversion"/>
  </si>
  <si>
    <t>로그인</t>
    <phoneticPr fontId="1" type="noConversion"/>
  </si>
  <si>
    <t>가입</t>
    <phoneticPr fontId="1" type="noConversion"/>
  </si>
  <si>
    <t>정보</t>
    <phoneticPr fontId="1" type="noConversion"/>
  </si>
  <si>
    <t>목록</t>
    <phoneticPr fontId="1" type="noConversion"/>
  </si>
  <si>
    <t>상세</t>
    <phoneticPr fontId="1" type="noConversion"/>
  </si>
  <si>
    <t>조회</t>
    <phoneticPr fontId="1" type="noConversion"/>
  </si>
  <si>
    <t>메시지</t>
  </si>
  <si>
    <t>삭제</t>
    <phoneticPr fontId="1" type="noConversion"/>
  </si>
  <si>
    <t>입력</t>
    <phoneticPr fontId="1" type="noConversion"/>
  </si>
  <si>
    <t>저장</t>
    <phoneticPr fontId="1" type="noConversion"/>
  </si>
  <si>
    <t>로그인</t>
  </si>
  <si>
    <t>목록</t>
  </si>
  <si>
    <t>등록</t>
  </si>
  <si>
    <t>수정</t>
  </si>
  <si>
    <t>상세</t>
  </si>
  <si>
    <t>추가</t>
  </si>
  <si>
    <t>시작</t>
  </si>
  <si>
    <t>진행</t>
  </si>
  <si>
    <t>수정</t>
    <phoneticPr fontId="1" type="noConversion"/>
  </si>
  <si>
    <t>업로드</t>
  </si>
  <si>
    <t>사용자</t>
  </si>
  <si>
    <t>get</t>
  </si>
  <si>
    <t>create</t>
    <phoneticPr fontId="1" type="noConversion"/>
  </si>
  <si>
    <t>save</t>
    <phoneticPr fontId="1" type="noConversion"/>
  </si>
  <si>
    <t>delete</t>
    <phoneticPr fontId="1" type="noConversion"/>
  </si>
  <si>
    <t>submit</t>
    <phoneticPr fontId="1" type="noConversion"/>
  </si>
  <si>
    <t>unused</t>
    <phoneticPr fontId="1" type="noConversion"/>
  </si>
  <si>
    <t>update</t>
    <phoneticPr fontId="1" type="noConversion"/>
  </si>
  <si>
    <t>update</t>
  </si>
  <si>
    <t>save</t>
  </si>
  <si>
    <t>행위</t>
  </si>
  <si>
    <t>check</t>
  </si>
  <si>
    <t>create</t>
  </si>
  <si>
    <t>request</t>
  </si>
  <si>
    <t>send</t>
  </si>
  <si>
    <t>delete</t>
  </si>
  <si>
    <t>add</t>
  </si>
  <si>
    <t>finish</t>
  </si>
  <si>
    <t>copy</t>
  </si>
  <si>
    <t>move</t>
  </si>
  <si>
    <t>used</t>
  </si>
  <si>
    <t>do</t>
  </si>
  <si>
    <t>read</t>
  </si>
  <si>
    <t>join</t>
  </si>
  <si>
    <t>cancel</t>
  </si>
  <si>
    <t>start</t>
  </si>
  <si>
    <t>ing</t>
  </si>
  <si>
    <t>질문</t>
  </si>
  <si>
    <t>행정표준용어현황</t>
  </si>
  <si>
    <t>NO</t>
  </si>
  <si>
    <t>구분</t>
  </si>
  <si>
    <t>용어명</t>
  </si>
  <si>
    <t>용어영문명</t>
  </si>
  <si>
    <t>영문약어명</t>
  </si>
  <si>
    <t>정의</t>
  </si>
  <si>
    <t>주제영역</t>
  </si>
  <si>
    <t>등록일</t>
  </si>
  <si>
    <t>상태</t>
  </si>
  <si>
    <t>확인</t>
    <phoneticPr fontId="1" type="noConversion"/>
  </si>
  <si>
    <t>인증</t>
    <phoneticPr fontId="1" type="noConversion"/>
  </si>
  <si>
    <t>구분</t>
    <phoneticPr fontId="1" type="noConversion"/>
  </si>
  <si>
    <t>BP</t>
  </si>
  <si>
    <t>BSIS</t>
  </si>
  <si>
    <t>BSPL</t>
  </si>
  <si>
    <t>BSS</t>
  </si>
  <si>
    <t>BV</t>
  </si>
  <si>
    <t>CA</t>
  </si>
  <si>
    <t>CB</t>
  </si>
  <si>
    <t>CC</t>
  </si>
  <si>
    <t>CD</t>
  </si>
  <si>
    <t>CHF</t>
  </si>
  <si>
    <t>CL</t>
  </si>
  <si>
    <t>CP</t>
  </si>
  <si>
    <t>CRT</t>
  </si>
  <si>
    <t>CS</t>
  </si>
  <si>
    <t>HS</t>
  </si>
  <si>
    <t>HTML</t>
  </si>
  <si>
    <t>Hypertext Markup Language</t>
  </si>
  <si>
    <t>IC</t>
  </si>
  <si>
    <t>ID</t>
  </si>
  <si>
    <t>Identifier</t>
  </si>
  <si>
    <t>IP</t>
  </si>
  <si>
    <t>Internet Protocol</t>
  </si>
  <si>
    <t>IR</t>
  </si>
  <si>
    <t>ISP</t>
  </si>
  <si>
    <t>3년</t>
  </si>
  <si>
    <t>YR3</t>
  </si>
  <si>
    <t>3월</t>
  </si>
  <si>
    <t>MAR</t>
  </si>
  <si>
    <t>40세</t>
  </si>
  <si>
    <t>AG40</t>
  </si>
  <si>
    <t>4대보험</t>
  </si>
  <si>
    <t>4월</t>
  </si>
  <si>
    <t>50퍼센트</t>
  </si>
  <si>
    <t>5년</t>
  </si>
  <si>
    <t>YR5</t>
  </si>
  <si>
    <t>5세</t>
  </si>
  <si>
    <t>AG5</t>
  </si>
  <si>
    <t>5월</t>
  </si>
  <si>
    <t>MAY</t>
  </si>
  <si>
    <t>60세</t>
  </si>
  <si>
    <t>AG60</t>
  </si>
  <si>
    <t>6월</t>
  </si>
  <si>
    <t>JUN</t>
  </si>
  <si>
    <t>7월</t>
  </si>
  <si>
    <t>JUL</t>
  </si>
  <si>
    <t>보호</t>
  </si>
  <si>
    <t>보호자</t>
  </si>
  <si>
    <t>보훈</t>
  </si>
  <si>
    <t>RCVR</t>
  </si>
  <si>
    <t>복귀</t>
  </si>
  <si>
    <t>복수</t>
  </si>
  <si>
    <t>복지</t>
  </si>
  <si>
    <t>복합</t>
  </si>
  <si>
    <t>본번</t>
  </si>
  <si>
    <t>본인</t>
  </si>
  <si>
    <t>SELF</t>
  </si>
  <si>
    <t>봉사</t>
  </si>
  <si>
    <t>SERC</t>
  </si>
  <si>
    <t>SFE</t>
  </si>
  <si>
    <t>부가</t>
  </si>
  <si>
    <t>Addition</t>
  </si>
  <si>
    <t>부가가치세</t>
  </si>
  <si>
    <t>VAT</t>
  </si>
  <si>
    <t>IMPS</t>
  </si>
  <si>
    <t>부담</t>
  </si>
  <si>
    <t>8월</t>
  </si>
  <si>
    <t>9월</t>
  </si>
  <si>
    <t>SEP</t>
  </si>
  <si>
    <t>PCR</t>
  </si>
  <si>
    <t>PCS</t>
  </si>
  <si>
    <t>PDF</t>
  </si>
  <si>
    <t>PER</t>
  </si>
  <si>
    <t>KIS</t>
  </si>
  <si>
    <t>PIN</t>
  </si>
  <si>
    <t>POS</t>
  </si>
  <si>
    <t>PR</t>
  </si>
  <si>
    <t>PSL</t>
  </si>
  <si>
    <t>QNA</t>
  </si>
  <si>
    <t>MOU</t>
  </si>
  <si>
    <t>MS</t>
  </si>
  <si>
    <t>LINE</t>
  </si>
  <si>
    <t>RTNG</t>
  </si>
  <si>
    <t>로그</t>
  </si>
  <si>
    <t>LOG</t>
  </si>
  <si>
    <t>Login</t>
  </si>
  <si>
    <t>ROW</t>
  </si>
  <si>
    <t>로컬</t>
  </si>
  <si>
    <t>LON</t>
  </si>
  <si>
    <t>리</t>
  </si>
  <si>
    <t>RI</t>
  </si>
  <si>
    <t>조사</t>
  </si>
  <si>
    <t>LINK</t>
  </si>
  <si>
    <t>Link</t>
  </si>
  <si>
    <t>마감</t>
  </si>
  <si>
    <t>Closing</t>
  </si>
  <si>
    <t>마스터</t>
  </si>
  <si>
    <t>MST</t>
  </si>
  <si>
    <t>MC</t>
  </si>
  <si>
    <t>만기</t>
  </si>
  <si>
    <t>EXPR</t>
  </si>
  <si>
    <t>만족</t>
  </si>
  <si>
    <t>말소</t>
  </si>
  <si>
    <t>ERSR</t>
  </si>
  <si>
    <t>Erasure</t>
  </si>
  <si>
    <t>Manager</t>
  </si>
  <si>
    <t>매수</t>
  </si>
  <si>
    <t>SCNT</t>
  </si>
  <si>
    <t>매입</t>
  </si>
  <si>
    <t>BUY</t>
  </si>
  <si>
    <t>매체</t>
  </si>
  <si>
    <t>매출</t>
  </si>
  <si>
    <t>SALE</t>
  </si>
  <si>
    <t>Sales</t>
  </si>
  <si>
    <t>매핑</t>
  </si>
  <si>
    <t>메뉴</t>
  </si>
  <si>
    <t>MENU</t>
  </si>
  <si>
    <t>메모</t>
  </si>
  <si>
    <t>MEMO</t>
  </si>
  <si>
    <t>MSG</t>
  </si>
  <si>
    <t>메인</t>
  </si>
  <si>
    <t>MAIN</t>
  </si>
  <si>
    <t>면담</t>
  </si>
  <si>
    <t>면적</t>
  </si>
  <si>
    <t>EXTR</t>
  </si>
  <si>
    <t>면허</t>
  </si>
  <si>
    <t>명</t>
  </si>
  <si>
    <t>NM</t>
  </si>
  <si>
    <t>Name</t>
  </si>
  <si>
    <t>MTH</t>
  </si>
  <si>
    <t>OCR</t>
  </si>
  <si>
    <t>OLAP</t>
  </si>
  <si>
    <t>OV</t>
  </si>
  <si>
    <t>PB</t>
  </si>
  <si>
    <t>PC</t>
  </si>
  <si>
    <t>방문</t>
  </si>
  <si>
    <t>Visit</t>
  </si>
  <si>
    <t>방문자</t>
  </si>
  <si>
    <t>VSTR</t>
  </si>
  <si>
    <t>Visitor</t>
  </si>
  <si>
    <t>방법</t>
  </si>
  <si>
    <t>MTHD</t>
  </si>
  <si>
    <t>방지</t>
  </si>
  <si>
    <t>배경</t>
  </si>
  <si>
    <t>배달</t>
  </si>
  <si>
    <t>DLVY</t>
  </si>
  <si>
    <t>Fluctuation</t>
  </si>
  <si>
    <t>REG</t>
  </si>
  <si>
    <t>Registration</t>
  </si>
  <si>
    <t>등록자</t>
  </si>
  <si>
    <t>CLSE</t>
  </si>
  <si>
    <t>라벨</t>
  </si>
  <si>
    <t>LBL</t>
  </si>
  <si>
    <t>부번</t>
  </si>
  <si>
    <t>부분</t>
  </si>
  <si>
    <t>PART</t>
  </si>
  <si>
    <t>부서</t>
  </si>
  <si>
    <t>부수</t>
  </si>
  <si>
    <t>부양</t>
  </si>
  <si>
    <t>BRN</t>
  </si>
  <si>
    <t>ATCH</t>
  </si>
  <si>
    <t>RM</t>
  </si>
  <si>
    <t>RSP</t>
  </si>
  <si>
    <t>LC</t>
  </si>
  <si>
    <t>LEG</t>
  </si>
  <si>
    <t>MAC</t>
  </si>
  <si>
    <t>MBR</t>
  </si>
  <si>
    <t>MBS</t>
  </si>
  <si>
    <t>AR</t>
  </si>
  <si>
    <t>AS</t>
  </si>
  <si>
    <t>BIN</t>
  </si>
  <si>
    <t>10월</t>
  </si>
  <si>
    <t>10퍼센트</t>
  </si>
  <si>
    <t>11월</t>
  </si>
  <si>
    <t>NOV</t>
  </si>
  <si>
    <t>12월</t>
  </si>
  <si>
    <t>1년</t>
  </si>
  <si>
    <t>YR1</t>
  </si>
  <si>
    <t>1월</t>
  </si>
  <si>
    <t>JAN</t>
  </si>
  <si>
    <t>1회</t>
  </si>
  <si>
    <t>2년</t>
  </si>
  <si>
    <t>YR2</t>
  </si>
  <si>
    <t>2세</t>
  </si>
  <si>
    <t>AG2</t>
  </si>
  <si>
    <t>2월</t>
  </si>
  <si>
    <t>FEB</t>
  </si>
  <si>
    <t>EMB</t>
  </si>
  <si>
    <t>변환</t>
  </si>
  <si>
    <t>CNV</t>
  </si>
  <si>
    <t>TEMP</t>
  </si>
  <si>
    <t>Temporary</t>
  </si>
  <si>
    <t>병원</t>
  </si>
  <si>
    <t>병합</t>
  </si>
  <si>
    <t>보고</t>
  </si>
  <si>
    <t>보고서</t>
  </si>
  <si>
    <t>RPT</t>
  </si>
  <si>
    <t>보관</t>
  </si>
  <si>
    <t>KEEP</t>
  </si>
  <si>
    <t>보기</t>
  </si>
  <si>
    <t>보류</t>
  </si>
  <si>
    <t>Reservation</t>
  </si>
  <si>
    <t>보상</t>
  </si>
  <si>
    <t>COMP</t>
  </si>
  <si>
    <t>PAY</t>
  </si>
  <si>
    <t>보완</t>
  </si>
  <si>
    <t>보유</t>
  </si>
  <si>
    <t>보장</t>
  </si>
  <si>
    <t>보정</t>
  </si>
  <si>
    <t>Revision</t>
  </si>
  <si>
    <t>보조</t>
  </si>
  <si>
    <t>보증</t>
  </si>
  <si>
    <t>GURT</t>
  </si>
  <si>
    <t>보충</t>
  </si>
  <si>
    <t>보험</t>
  </si>
  <si>
    <t>INSU</t>
  </si>
  <si>
    <t>JOIN</t>
  </si>
  <si>
    <t>Join</t>
  </si>
  <si>
    <t>KCB</t>
  </si>
  <si>
    <t>변동</t>
  </si>
  <si>
    <t>CHG</t>
  </si>
  <si>
    <t>Change</t>
  </si>
  <si>
    <t>Discussion</t>
  </si>
  <si>
    <t>Reimbursement</t>
  </si>
  <si>
    <t>당년</t>
  </si>
  <si>
    <t>당월</t>
  </si>
  <si>
    <t>당일</t>
  </si>
  <si>
    <t>당직</t>
  </si>
  <si>
    <t>고지</t>
  </si>
  <si>
    <t>공개</t>
  </si>
  <si>
    <t>공고</t>
  </si>
  <si>
    <t>공공</t>
  </si>
  <si>
    <t>PUB</t>
  </si>
  <si>
    <t>SPLP</t>
  </si>
  <si>
    <t>공동</t>
  </si>
  <si>
    <t>CMN</t>
  </si>
  <si>
    <t>공무원</t>
  </si>
  <si>
    <t>공백</t>
  </si>
  <si>
    <t>SPACE</t>
  </si>
  <si>
    <t>공사</t>
  </si>
  <si>
    <t>Construction</t>
  </si>
  <si>
    <t>공시지가</t>
  </si>
  <si>
    <t>공식</t>
  </si>
  <si>
    <t>공여</t>
  </si>
  <si>
    <t>공유</t>
  </si>
  <si>
    <t>대응</t>
  </si>
  <si>
    <t>CNF</t>
  </si>
  <si>
    <t>대지</t>
  </si>
  <si>
    <t>CTPN</t>
  </si>
  <si>
    <t>대체</t>
  </si>
  <si>
    <t>Transfer</t>
  </si>
  <si>
    <t>LNAL</t>
  </si>
  <si>
    <t>대표</t>
  </si>
  <si>
    <t>RPRS</t>
  </si>
  <si>
    <t>Representation</t>
  </si>
  <si>
    <t>대표자</t>
  </si>
  <si>
    <t>Representative</t>
  </si>
  <si>
    <t>대학원</t>
  </si>
  <si>
    <t>GDHL</t>
  </si>
  <si>
    <t>데이터</t>
  </si>
  <si>
    <t>DATA</t>
  </si>
  <si>
    <t>Data</t>
  </si>
  <si>
    <t>델타</t>
  </si>
  <si>
    <t>도</t>
  </si>
  <si>
    <t>도로</t>
  </si>
  <si>
    <t>ROAD</t>
  </si>
  <si>
    <t>Road</t>
  </si>
  <si>
    <t>모델</t>
  </si>
  <si>
    <t>모듈</t>
  </si>
  <si>
    <t>MDL</t>
  </si>
  <si>
    <t>모바일</t>
  </si>
  <si>
    <t>MBL</t>
  </si>
  <si>
    <t>모자</t>
  </si>
  <si>
    <t>목요일</t>
  </si>
  <si>
    <t>목적</t>
  </si>
  <si>
    <t>목표</t>
  </si>
  <si>
    <t>무료</t>
  </si>
  <si>
    <t>SIGN</t>
  </si>
  <si>
    <t>분</t>
  </si>
  <si>
    <t>MNT</t>
  </si>
  <si>
    <t>분기</t>
  </si>
  <si>
    <t>분류</t>
  </si>
  <si>
    <t>분리</t>
  </si>
  <si>
    <t>SPRT</t>
  </si>
  <si>
    <t>Distribution</t>
  </si>
  <si>
    <t>분석</t>
  </si>
  <si>
    <t>분야</t>
  </si>
  <si>
    <t>FLD</t>
  </si>
  <si>
    <t>DISP</t>
  </si>
  <si>
    <t>분할</t>
  </si>
  <si>
    <t>불능</t>
  </si>
  <si>
    <t>불량</t>
  </si>
  <si>
    <t>BAD</t>
  </si>
  <si>
    <t>불만</t>
  </si>
  <si>
    <t>불만족</t>
  </si>
  <si>
    <t>불명</t>
  </si>
  <si>
    <t>불완전</t>
  </si>
  <si>
    <t>IPRF</t>
  </si>
  <si>
    <t>DSCD</t>
  </si>
  <si>
    <t>Payment</t>
  </si>
  <si>
    <t>브라우저</t>
  </si>
  <si>
    <t>비고</t>
  </si>
  <si>
    <t>RMK</t>
  </si>
  <si>
    <t>IDCT</t>
  </si>
  <si>
    <t>비급여</t>
  </si>
  <si>
    <t>Emergency</t>
  </si>
  <si>
    <t>BC</t>
  </si>
  <si>
    <t>DC</t>
  </si>
  <si>
    <t>DDC</t>
  </si>
  <si>
    <t>DN</t>
  </si>
  <si>
    <t>원</t>
  </si>
  <si>
    <t>원인</t>
  </si>
  <si>
    <t>DP</t>
  </si>
  <si>
    <t>DR</t>
  </si>
  <si>
    <t>EAI</t>
  </si>
  <si>
    <t>EAR</t>
  </si>
  <si>
    <t>반응</t>
  </si>
  <si>
    <t>반환</t>
  </si>
  <si>
    <t>Publication</t>
  </si>
  <si>
    <t>발견</t>
  </si>
  <si>
    <t>발급</t>
  </si>
  <si>
    <t>ISS</t>
  </si>
  <si>
    <t>발생</t>
  </si>
  <si>
    <t>Occurrence</t>
  </si>
  <si>
    <t>발송</t>
  </si>
  <si>
    <t>SND</t>
  </si>
  <si>
    <t>Sending</t>
  </si>
  <si>
    <t>SNDR</t>
  </si>
  <si>
    <t>Sender</t>
  </si>
  <si>
    <t>발신</t>
  </si>
  <si>
    <t>Beginning</t>
  </si>
  <si>
    <t>발주</t>
  </si>
  <si>
    <t>Announcement</t>
  </si>
  <si>
    <t>발행</t>
  </si>
  <si>
    <t>ISSU</t>
  </si>
  <si>
    <t>Issue</t>
  </si>
  <si>
    <t>법인</t>
  </si>
  <si>
    <t>Corporation</t>
  </si>
  <si>
    <t>미숙</t>
  </si>
  <si>
    <t>미승인</t>
  </si>
  <si>
    <t>미지급</t>
  </si>
  <si>
    <t>계좌</t>
  </si>
  <si>
    <t>계좌번호</t>
  </si>
  <si>
    <t>Account Number</t>
  </si>
  <si>
    <t>계층</t>
  </si>
  <si>
    <t>계획</t>
  </si>
  <si>
    <t>PLAN</t>
  </si>
  <si>
    <t>Plan</t>
  </si>
  <si>
    <t>고객</t>
  </si>
  <si>
    <t>CUST</t>
  </si>
  <si>
    <t>Customer</t>
  </si>
  <si>
    <t>PRCT</t>
  </si>
  <si>
    <t>고시</t>
  </si>
  <si>
    <t>고용</t>
  </si>
  <si>
    <t>고유</t>
  </si>
  <si>
    <t>고정</t>
  </si>
  <si>
    <t>FIX</t>
  </si>
  <si>
    <t>문서</t>
  </si>
  <si>
    <t>DOC</t>
  </si>
  <si>
    <t>문의</t>
  </si>
  <si>
    <t>INQ</t>
  </si>
  <si>
    <t>Inquiry</t>
  </si>
  <si>
    <t>문자</t>
  </si>
  <si>
    <t>문제</t>
  </si>
  <si>
    <t>INACT</t>
  </si>
  <si>
    <t>빈도</t>
  </si>
  <si>
    <t>EVENT</t>
  </si>
  <si>
    <t>사고</t>
  </si>
  <si>
    <t>ICIN</t>
  </si>
  <si>
    <t>사례</t>
  </si>
  <si>
    <t>CASE</t>
  </si>
  <si>
    <t>사망</t>
  </si>
  <si>
    <t>DTH</t>
  </si>
  <si>
    <t>Death</t>
  </si>
  <si>
    <t>사망자</t>
  </si>
  <si>
    <t>사무</t>
  </si>
  <si>
    <t>사무실</t>
  </si>
  <si>
    <t>사본</t>
  </si>
  <si>
    <t>사업</t>
  </si>
  <si>
    <t>BIZ</t>
  </si>
  <si>
    <t>Business</t>
  </si>
  <si>
    <t>ENFC</t>
  </si>
  <si>
    <t>사업자</t>
  </si>
  <si>
    <t>Businessman</t>
  </si>
  <si>
    <t>사업자등록번호</t>
  </si>
  <si>
    <t>사업장</t>
  </si>
  <si>
    <t>사용</t>
  </si>
  <si>
    <t>Use</t>
  </si>
  <si>
    <t>USER</t>
  </si>
  <si>
    <t>User</t>
  </si>
  <si>
    <t>사유</t>
  </si>
  <si>
    <t>RSN</t>
  </si>
  <si>
    <t>사이버</t>
  </si>
  <si>
    <t>Size</t>
  </si>
  <si>
    <t>사전</t>
  </si>
  <si>
    <t>사정</t>
  </si>
  <si>
    <t>법인등록번호</t>
  </si>
  <si>
    <t>Corporation Registration Number</t>
  </si>
  <si>
    <t>법정</t>
  </si>
  <si>
    <t>법정동</t>
  </si>
  <si>
    <t>벽지</t>
  </si>
  <si>
    <t>변경</t>
  </si>
  <si>
    <t>변경자</t>
  </si>
  <si>
    <t>RPLY</t>
  </si>
  <si>
    <t>Reply</t>
  </si>
  <si>
    <t>답변</t>
  </si>
  <si>
    <t>당기</t>
  </si>
  <si>
    <t>ACT</t>
  </si>
  <si>
    <t>온라인</t>
  </si>
  <si>
    <t>Completion of Construction</t>
  </si>
  <si>
    <t>완료</t>
  </si>
  <si>
    <t>FIN</t>
  </si>
  <si>
    <t>Finish</t>
  </si>
  <si>
    <t>CMPT</t>
  </si>
  <si>
    <t>Completion</t>
  </si>
  <si>
    <t>CMPY</t>
  </si>
  <si>
    <t>FRGN</t>
  </si>
  <si>
    <t>외국인</t>
  </si>
  <si>
    <t>Foreigner</t>
  </si>
  <si>
    <t>외부</t>
  </si>
  <si>
    <t>외출</t>
  </si>
  <si>
    <t>Demand</t>
  </si>
  <si>
    <t>요금</t>
  </si>
  <si>
    <t>FARE</t>
  </si>
  <si>
    <t>요약</t>
  </si>
  <si>
    <t>BRF</t>
  </si>
  <si>
    <t>요인</t>
  </si>
  <si>
    <t>요일</t>
  </si>
  <si>
    <t>요주의</t>
  </si>
  <si>
    <t>요청</t>
  </si>
  <si>
    <t>용도</t>
  </si>
  <si>
    <t>USG</t>
  </si>
  <si>
    <t>관리자</t>
  </si>
  <si>
    <t>MNGR</t>
  </si>
  <si>
    <t>관심</t>
  </si>
  <si>
    <t>관찰</t>
  </si>
  <si>
    <t>관할</t>
  </si>
  <si>
    <t>CNTL</t>
  </si>
  <si>
    <t>광역</t>
  </si>
  <si>
    <t>도메인</t>
  </si>
  <si>
    <t>WALK</t>
  </si>
  <si>
    <t>도서</t>
  </si>
  <si>
    <t>도시</t>
  </si>
  <si>
    <t>City</t>
  </si>
  <si>
    <t>도착</t>
  </si>
  <si>
    <t>동</t>
  </si>
  <si>
    <t>DONG</t>
  </si>
  <si>
    <t>동거</t>
  </si>
  <si>
    <t>동기</t>
  </si>
  <si>
    <t>동료</t>
  </si>
  <si>
    <t>동반</t>
  </si>
  <si>
    <t>동의</t>
  </si>
  <si>
    <t>AGR</t>
  </si>
  <si>
    <t>Agreement</t>
  </si>
  <si>
    <t>동의서</t>
  </si>
  <si>
    <t>동의어</t>
  </si>
  <si>
    <t>동일</t>
  </si>
  <si>
    <t>SAME</t>
  </si>
  <si>
    <t>STAT</t>
  </si>
  <si>
    <t>DRT</t>
  </si>
  <si>
    <t>등급</t>
  </si>
  <si>
    <t>등기</t>
  </si>
  <si>
    <t>BRHS</t>
  </si>
  <si>
    <t>기술</t>
  </si>
  <si>
    <t>기업</t>
  </si>
  <si>
    <t>CORP</t>
  </si>
  <si>
    <t>ADT</t>
  </si>
  <si>
    <t>EXST</t>
  </si>
  <si>
    <t>기준</t>
  </si>
  <si>
    <t>BASE</t>
  </si>
  <si>
    <t>기초</t>
  </si>
  <si>
    <t>기타</t>
  </si>
  <si>
    <t>ETC</t>
  </si>
  <si>
    <t>SEQ</t>
  </si>
  <si>
    <t>일련번호</t>
  </si>
  <si>
    <t>일반</t>
  </si>
  <si>
    <t>일상</t>
  </si>
  <si>
    <t>일수</t>
  </si>
  <si>
    <t>일시</t>
  </si>
  <si>
    <t>ONCE</t>
  </si>
  <si>
    <t>일요일</t>
  </si>
  <si>
    <t>SUN</t>
  </si>
  <si>
    <t>일용직</t>
  </si>
  <si>
    <t>DYJB</t>
  </si>
  <si>
    <t>일일</t>
  </si>
  <si>
    <t>미취학</t>
  </si>
  <si>
    <t>용량</t>
  </si>
  <si>
    <t>CAPA</t>
  </si>
  <si>
    <t>용어</t>
  </si>
  <si>
    <t>우선</t>
  </si>
  <si>
    <t>EXCL</t>
  </si>
  <si>
    <t>우체국</t>
  </si>
  <si>
    <t>우편</t>
  </si>
  <si>
    <t>POST</t>
  </si>
  <si>
    <t>FCTR</t>
  </si>
  <si>
    <t>공제</t>
  </si>
  <si>
    <t>Deduction</t>
  </si>
  <si>
    <t>공지</t>
  </si>
  <si>
    <t>Depositor</t>
  </si>
  <si>
    <t>공통</t>
  </si>
  <si>
    <t>COM</t>
  </si>
  <si>
    <t>과거</t>
  </si>
  <si>
    <t>PAST</t>
  </si>
  <si>
    <t>과목</t>
  </si>
  <si>
    <t>GRP</t>
  </si>
  <si>
    <t>과세</t>
  </si>
  <si>
    <t>과정</t>
  </si>
  <si>
    <t>CRSE</t>
  </si>
  <si>
    <t>과태료</t>
  </si>
  <si>
    <t>ATCL</t>
  </si>
  <si>
    <t>관계</t>
  </si>
  <si>
    <t>관내</t>
  </si>
  <si>
    <t>관련</t>
  </si>
  <si>
    <t>REL</t>
  </si>
  <si>
    <t>관리</t>
  </si>
  <si>
    <t>Management</t>
  </si>
  <si>
    <t>CLT</t>
  </si>
  <si>
    <t>Goods</t>
  </si>
  <si>
    <t>물품</t>
  </si>
  <si>
    <t>미구분</t>
  </si>
  <si>
    <t>미등록</t>
  </si>
  <si>
    <t>미만</t>
  </si>
  <si>
    <t>미발급</t>
  </si>
  <si>
    <t>미수</t>
  </si>
  <si>
    <t>URCP</t>
  </si>
  <si>
    <t>DSTB</t>
  </si>
  <si>
    <t>배송</t>
  </si>
  <si>
    <t>배수</t>
  </si>
  <si>
    <t>MLTP</t>
  </si>
  <si>
    <t>배우자</t>
  </si>
  <si>
    <t>배점</t>
  </si>
  <si>
    <t>EXCN</t>
  </si>
  <si>
    <t>Exclusion</t>
  </si>
  <si>
    <t>배치</t>
  </si>
  <si>
    <t>배포</t>
  </si>
  <si>
    <t>Release</t>
  </si>
  <si>
    <t>백업</t>
  </si>
  <si>
    <t>버전</t>
  </si>
  <si>
    <t>VER</t>
  </si>
  <si>
    <t>번호</t>
  </si>
  <si>
    <t>Number</t>
  </si>
  <si>
    <t>범위</t>
  </si>
  <si>
    <t>법</t>
  </si>
  <si>
    <t>LAW</t>
  </si>
  <si>
    <t>Law</t>
  </si>
  <si>
    <t>DG</t>
  </si>
  <si>
    <t>대기</t>
  </si>
  <si>
    <t>WAIT</t>
  </si>
  <si>
    <t>CNTN</t>
  </si>
  <si>
    <t>대리</t>
  </si>
  <si>
    <t>AGNC</t>
  </si>
  <si>
    <t>대리인</t>
  </si>
  <si>
    <t>Agent</t>
  </si>
  <si>
    <t>대분류</t>
  </si>
  <si>
    <t>대상</t>
  </si>
  <si>
    <t>TRGT</t>
  </si>
  <si>
    <t>Target</t>
  </si>
  <si>
    <t>대상자</t>
  </si>
  <si>
    <t>TRPR</t>
  </si>
  <si>
    <t>Target Person</t>
  </si>
  <si>
    <t>대손</t>
  </si>
  <si>
    <t>대여</t>
  </si>
  <si>
    <t>PERSN</t>
  </si>
  <si>
    <t>기한</t>
  </si>
  <si>
    <t>DLN</t>
  </si>
  <si>
    <t>Deadline</t>
  </si>
  <si>
    <t>기호</t>
  </si>
  <si>
    <t>긴급</t>
  </si>
  <si>
    <t>길이</t>
  </si>
  <si>
    <t>LENGTH</t>
  </si>
  <si>
    <t>깊이</t>
  </si>
  <si>
    <t>나머지</t>
  </si>
  <si>
    <t>SEAL</t>
  </si>
  <si>
    <t>납부</t>
  </si>
  <si>
    <t>납부자</t>
  </si>
  <si>
    <t>VST</t>
  </si>
  <si>
    <t>내역</t>
  </si>
  <si>
    <t>HIST</t>
  </si>
  <si>
    <t>내용</t>
  </si>
  <si>
    <t>Content</t>
  </si>
  <si>
    <t>내용연수</t>
  </si>
  <si>
    <t>SVLF</t>
  </si>
  <si>
    <t>Service Life</t>
  </si>
  <si>
    <t>넓이</t>
  </si>
  <si>
    <t>WDTH</t>
  </si>
  <si>
    <t>년도</t>
  </si>
  <si>
    <t>YR</t>
  </si>
  <si>
    <t>Year</t>
  </si>
  <si>
    <t>년월</t>
  </si>
  <si>
    <t>YM</t>
  </si>
  <si>
    <t>노드</t>
  </si>
  <si>
    <t>NODE</t>
  </si>
  <si>
    <t>노인</t>
  </si>
  <si>
    <t>노출</t>
  </si>
  <si>
    <t>Exposure</t>
  </si>
  <si>
    <t>누계</t>
  </si>
  <si>
    <t>누적</t>
  </si>
  <si>
    <t>다문화</t>
  </si>
  <si>
    <t>MLTC</t>
  </si>
  <si>
    <t>다수</t>
  </si>
  <si>
    <t>다운로드</t>
  </si>
  <si>
    <t>다음</t>
  </si>
  <si>
    <t>DIA</t>
  </si>
  <si>
    <t>단가</t>
  </si>
  <si>
    <t>단계</t>
  </si>
  <si>
    <t>단기</t>
  </si>
  <si>
    <t>단독</t>
  </si>
  <si>
    <t>TRMN</t>
  </si>
  <si>
    <t>단말기</t>
  </si>
  <si>
    <t>단순</t>
  </si>
  <si>
    <t>SMPL</t>
  </si>
  <si>
    <t>단위</t>
  </si>
  <si>
    <t>단체</t>
  </si>
  <si>
    <t>ORG</t>
  </si>
  <si>
    <t>단축</t>
  </si>
  <si>
    <t>ACHV</t>
  </si>
  <si>
    <t>담당</t>
  </si>
  <si>
    <t>CHRG</t>
  </si>
  <si>
    <t>담당자</t>
  </si>
  <si>
    <t>CHGR</t>
  </si>
  <si>
    <t>RTRM</t>
  </si>
  <si>
    <t>Retirement</t>
  </si>
  <si>
    <t>은행</t>
  </si>
  <si>
    <t>BANK</t>
  </si>
  <si>
    <t>Bank</t>
  </si>
  <si>
    <t>전역</t>
  </si>
  <si>
    <t>전입</t>
  </si>
  <si>
    <t>MVIN</t>
  </si>
  <si>
    <t>전자</t>
  </si>
  <si>
    <t>전체</t>
  </si>
  <si>
    <t>전표</t>
  </si>
  <si>
    <t>Selection</t>
  </si>
  <si>
    <t>전화</t>
  </si>
  <si>
    <t>TEL</t>
  </si>
  <si>
    <t>전화번호</t>
  </si>
  <si>
    <t>Telephone Number</t>
  </si>
  <si>
    <t>전환</t>
  </si>
  <si>
    <t>CONV</t>
  </si>
  <si>
    <t>Permission</t>
  </si>
  <si>
    <t>Approval</t>
  </si>
  <si>
    <t>일</t>
  </si>
  <si>
    <t>예방</t>
  </si>
  <si>
    <t>예비</t>
  </si>
  <si>
    <t>SPR</t>
  </si>
  <si>
    <t>RSV</t>
  </si>
  <si>
    <t>예산</t>
  </si>
  <si>
    <t>Budget</t>
  </si>
  <si>
    <t>예상</t>
  </si>
  <si>
    <t>예약</t>
  </si>
  <si>
    <t>예외</t>
  </si>
  <si>
    <t>EXPT</t>
  </si>
  <si>
    <t>예정</t>
  </si>
  <si>
    <t>SCHD</t>
  </si>
  <si>
    <t>STR</t>
  </si>
  <si>
    <t>SPCF</t>
  </si>
  <si>
    <t>PRST</t>
  </si>
  <si>
    <t>CAR</t>
  </si>
  <si>
    <t>승인</t>
  </si>
  <si>
    <t>APRV</t>
  </si>
  <si>
    <t>APPR</t>
  </si>
  <si>
    <t>PROM</t>
  </si>
  <si>
    <t>시각</t>
  </si>
  <si>
    <t>TIME</t>
  </si>
  <si>
    <t>Time</t>
  </si>
  <si>
    <t>시간</t>
  </si>
  <si>
    <t>시군</t>
  </si>
  <si>
    <t>CTCN</t>
  </si>
  <si>
    <t>시군구</t>
  </si>
  <si>
    <t>시기</t>
  </si>
  <si>
    <t>시도</t>
  </si>
  <si>
    <t>시분</t>
  </si>
  <si>
    <t>시분초</t>
  </si>
  <si>
    <t>HMS</t>
  </si>
  <si>
    <t>시설</t>
  </si>
  <si>
    <t>시스템</t>
  </si>
  <si>
    <t>SYS</t>
  </si>
  <si>
    <t>STRT</t>
  </si>
  <si>
    <t>민간</t>
  </si>
  <si>
    <t>민원</t>
  </si>
  <si>
    <t>민원인</t>
  </si>
  <si>
    <t>바코드</t>
  </si>
  <si>
    <t>반기</t>
  </si>
  <si>
    <t>HFT</t>
  </si>
  <si>
    <t>반납</t>
  </si>
  <si>
    <t>RTN</t>
  </si>
  <si>
    <t>Return</t>
  </si>
  <si>
    <t>OPIN</t>
  </si>
  <si>
    <t>반려</t>
  </si>
  <si>
    <t>반복</t>
  </si>
  <si>
    <t>반송</t>
  </si>
  <si>
    <t>SNDBK</t>
  </si>
  <si>
    <t>반영</t>
  </si>
  <si>
    <t>Reflection</t>
  </si>
  <si>
    <t>PSTG</t>
  </si>
  <si>
    <t>우편번호</t>
  </si>
  <si>
    <t>Zip Code</t>
  </si>
  <si>
    <t>운영</t>
  </si>
  <si>
    <t>OPRT</t>
  </si>
  <si>
    <t>Operation</t>
  </si>
  <si>
    <t>운전자</t>
  </si>
  <si>
    <t>원본</t>
  </si>
  <si>
    <t>원산지</t>
  </si>
  <si>
    <t>PLOR</t>
  </si>
  <si>
    <t>원장</t>
  </si>
  <si>
    <t>원천징수</t>
  </si>
  <si>
    <t>월</t>
  </si>
  <si>
    <t>MM</t>
  </si>
  <si>
    <t>Month</t>
  </si>
  <si>
    <t>월요일</t>
  </si>
  <si>
    <t>MON</t>
  </si>
  <si>
    <t>위도</t>
  </si>
  <si>
    <t>Latitude</t>
  </si>
  <si>
    <t>위반</t>
  </si>
  <si>
    <t>위치</t>
  </si>
  <si>
    <t>위탁</t>
  </si>
  <si>
    <t>위험</t>
  </si>
  <si>
    <t>유도</t>
  </si>
  <si>
    <t>유무</t>
  </si>
  <si>
    <t>CNFM</t>
  </si>
  <si>
    <t>Confirmation</t>
  </si>
  <si>
    <t>인구</t>
  </si>
  <si>
    <t>INVT</t>
  </si>
  <si>
    <t>인쇄</t>
  </si>
  <si>
    <t>인수</t>
  </si>
  <si>
    <t>ACPT</t>
  </si>
  <si>
    <t>Acceptance</t>
  </si>
  <si>
    <t>RECG</t>
  </si>
  <si>
    <t>Recognition</t>
  </si>
  <si>
    <t>인원수</t>
  </si>
  <si>
    <t>PCNT</t>
  </si>
  <si>
    <t>인정</t>
  </si>
  <si>
    <t>인종</t>
  </si>
  <si>
    <t>인증</t>
  </si>
  <si>
    <t>인증서</t>
  </si>
  <si>
    <t>인지</t>
  </si>
  <si>
    <t>RCGN</t>
  </si>
  <si>
    <t>인터넷</t>
  </si>
  <si>
    <t>인터페이스</t>
  </si>
  <si>
    <t>IF</t>
  </si>
  <si>
    <t>음성</t>
  </si>
  <si>
    <t>비용</t>
  </si>
  <si>
    <t>비율</t>
  </si>
  <si>
    <t>RATE</t>
  </si>
  <si>
    <t>비정상</t>
  </si>
  <si>
    <t>BIT</t>
  </si>
  <si>
    <t>세출</t>
  </si>
  <si>
    <t>센터</t>
  </si>
  <si>
    <t>소계</t>
  </si>
  <si>
    <t>엑셀</t>
  </si>
  <si>
    <t>여권</t>
  </si>
  <si>
    <t>여부</t>
  </si>
  <si>
    <t>YN</t>
  </si>
  <si>
    <t>여성</t>
  </si>
  <si>
    <t>여행</t>
  </si>
  <si>
    <t>MDC</t>
  </si>
  <si>
    <t>역할</t>
  </si>
  <si>
    <t>연결</t>
  </si>
  <si>
    <t>연계</t>
  </si>
  <si>
    <t>연구</t>
  </si>
  <si>
    <t>연기</t>
  </si>
  <si>
    <t>연락</t>
  </si>
  <si>
    <t>AGE</t>
  </si>
  <si>
    <t>Age</t>
  </si>
  <si>
    <t>OPR</t>
  </si>
  <si>
    <t>연속</t>
  </si>
  <si>
    <t>연장</t>
  </si>
  <si>
    <t>Extension</t>
  </si>
  <si>
    <t>유지</t>
  </si>
  <si>
    <t>MNTN</t>
  </si>
  <si>
    <t>유통</t>
  </si>
  <si>
    <t>유형</t>
  </si>
  <si>
    <t>유효</t>
  </si>
  <si>
    <t>VLD</t>
  </si>
  <si>
    <t>열람</t>
  </si>
  <si>
    <t>Inspection</t>
  </si>
  <si>
    <t>영문</t>
  </si>
  <si>
    <t>RECP</t>
  </si>
  <si>
    <t>Receipt</t>
  </si>
  <si>
    <t>영수증</t>
  </si>
  <si>
    <t>RGTR</t>
  </si>
  <si>
    <t>영업소</t>
  </si>
  <si>
    <t>영역</t>
  </si>
  <si>
    <t>SCOP</t>
  </si>
  <si>
    <t>영향</t>
  </si>
  <si>
    <t>예금주</t>
  </si>
  <si>
    <t>선임</t>
  </si>
  <si>
    <t>ASGN</t>
  </si>
  <si>
    <t>선정</t>
  </si>
  <si>
    <t>Choice</t>
  </si>
  <si>
    <t>선택</t>
  </si>
  <si>
    <t>DSGN</t>
  </si>
  <si>
    <t>설립</t>
  </si>
  <si>
    <t>설명</t>
  </si>
  <si>
    <t>DESC</t>
  </si>
  <si>
    <t>설문</t>
  </si>
  <si>
    <t>QSTN</t>
  </si>
  <si>
    <t>설정</t>
  </si>
  <si>
    <t>설치</t>
  </si>
  <si>
    <t>Installation</t>
  </si>
  <si>
    <t>성공</t>
  </si>
  <si>
    <t>SCS</t>
  </si>
  <si>
    <t>Success</t>
  </si>
  <si>
    <t>성과</t>
  </si>
  <si>
    <t>성명</t>
  </si>
  <si>
    <t>FLNM</t>
  </si>
  <si>
    <t>Full Name</t>
  </si>
  <si>
    <t>성별</t>
  </si>
  <si>
    <t>SEX</t>
  </si>
  <si>
    <t>성인</t>
  </si>
  <si>
    <t>성적</t>
  </si>
  <si>
    <t>숨김</t>
  </si>
  <si>
    <t>소유자</t>
  </si>
  <si>
    <t>OWNR</t>
  </si>
  <si>
    <t>Owner</t>
  </si>
  <si>
    <t>소재지</t>
  </si>
  <si>
    <t>속도</t>
  </si>
  <si>
    <t>속성</t>
  </si>
  <si>
    <t>CNTU</t>
  </si>
  <si>
    <t>ACC</t>
  </si>
  <si>
    <t>수입</t>
  </si>
  <si>
    <t>사진</t>
  </si>
  <si>
    <t>사항</t>
  </si>
  <si>
    <t>MTR</t>
  </si>
  <si>
    <t>사회</t>
  </si>
  <si>
    <t>CHRP</t>
  </si>
  <si>
    <t>사후</t>
  </si>
  <si>
    <t>삭제</t>
  </si>
  <si>
    <t>DEL</t>
  </si>
  <si>
    <t>Deletion</t>
  </si>
  <si>
    <t>산번지</t>
  </si>
  <si>
    <t>INCL</t>
  </si>
  <si>
    <t>산정</t>
  </si>
  <si>
    <t>산출</t>
  </si>
  <si>
    <t>Calculation</t>
  </si>
  <si>
    <t>DPRT</t>
  </si>
  <si>
    <t>APPL</t>
  </si>
  <si>
    <t>상단</t>
  </si>
  <si>
    <t>상담</t>
  </si>
  <si>
    <t>상대</t>
  </si>
  <si>
    <t>상반기</t>
  </si>
  <si>
    <t>상병</t>
  </si>
  <si>
    <t>DTL</t>
  </si>
  <si>
    <t>상세주소</t>
  </si>
  <si>
    <t>ASC</t>
  </si>
  <si>
    <t>상실</t>
  </si>
  <si>
    <t>Screening</t>
  </si>
  <si>
    <t>상위</t>
  </si>
  <si>
    <t>상주</t>
  </si>
  <si>
    <t>상품</t>
  </si>
  <si>
    <t>GDS</t>
  </si>
  <si>
    <t>세대</t>
  </si>
  <si>
    <t>GEN</t>
  </si>
  <si>
    <t>세대주</t>
  </si>
  <si>
    <t>세로</t>
  </si>
  <si>
    <t>DTLS</t>
  </si>
  <si>
    <t>Details</t>
  </si>
  <si>
    <t>갱신</t>
  </si>
  <si>
    <t>거래</t>
  </si>
  <si>
    <t>거래처</t>
  </si>
  <si>
    <t>AFTR</t>
  </si>
  <si>
    <t>거부</t>
  </si>
  <si>
    <t>RJCT</t>
  </si>
  <si>
    <t>거점</t>
  </si>
  <si>
    <t>거주</t>
  </si>
  <si>
    <t>RESI</t>
  </si>
  <si>
    <t>거주지</t>
  </si>
  <si>
    <t>건강</t>
  </si>
  <si>
    <t>건강보험</t>
  </si>
  <si>
    <t>건물</t>
  </si>
  <si>
    <t>BLDG</t>
  </si>
  <si>
    <t>Building</t>
  </si>
  <si>
    <t>CNTC</t>
  </si>
  <si>
    <t>건수</t>
  </si>
  <si>
    <t>CCNT</t>
  </si>
  <si>
    <t>건축</t>
  </si>
  <si>
    <t>건축물</t>
  </si>
  <si>
    <t>BILD</t>
  </si>
  <si>
    <t>교부</t>
  </si>
  <si>
    <t>교육</t>
  </si>
  <si>
    <t>EDU</t>
  </si>
  <si>
    <t>Education</t>
  </si>
  <si>
    <t>순서</t>
  </si>
  <si>
    <t>순위</t>
  </si>
  <si>
    <t>RANK</t>
  </si>
  <si>
    <t>시점</t>
  </si>
  <si>
    <t>시행</t>
  </si>
  <si>
    <t>Enforcement</t>
  </si>
  <si>
    <t>시험</t>
  </si>
  <si>
    <t>식별</t>
  </si>
  <si>
    <t>IDNT</t>
  </si>
  <si>
    <t>식품</t>
  </si>
  <si>
    <t>FOOD</t>
  </si>
  <si>
    <t>신</t>
  </si>
  <si>
    <t>NW</t>
  </si>
  <si>
    <t>New</t>
  </si>
  <si>
    <t>신고</t>
  </si>
  <si>
    <t>DCLR</t>
  </si>
  <si>
    <t>Declaration</t>
  </si>
  <si>
    <t>Applicant</t>
  </si>
  <si>
    <t>신규</t>
  </si>
  <si>
    <t>NEW</t>
  </si>
  <si>
    <t>신뢰</t>
  </si>
  <si>
    <t>신상</t>
  </si>
  <si>
    <t>CLN</t>
  </si>
  <si>
    <t>신용카드</t>
  </si>
  <si>
    <t>CRCD</t>
  </si>
  <si>
    <t>Credit Card</t>
  </si>
  <si>
    <t>신장</t>
  </si>
  <si>
    <t>HEIT</t>
  </si>
  <si>
    <t>신청</t>
  </si>
  <si>
    <t>Application</t>
  </si>
  <si>
    <t>신체</t>
  </si>
  <si>
    <t>TRST</t>
  </si>
  <si>
    <t>TRSN</t>
  </si>
  <si>
    <t>실명</t>
  </si>
  <si>
    <t>소프트웨어</t>
  </si>
  <si>
    <t>SW</t>
  </si>
  <si>
    <t>실시</t>
  </si>
  <si>
    <t>실적</t>
  </si>
  <si>
    <t>실제</t>
  </si>
  <si>
    <t>REAL</t>
  </si>
  <si>
    <t>실종</t>
  </si>
  <si>
    <t>실패</t>
  </si>
  <si>
    <t>실행</t>
  </si>
  <si>
    <t>EXEC</t>
  </si>
  <si>
    <t>Execution</t>
  </si>
  <si>
    <t>심리</t>
  </si>
  <si>
    <t>심사</t>
  </si>
  <si>
    <t>심야</t>
  </si>
  <si>
    <t>MDNT</t>
  </si>
  <si>
    <t>심의</t>
  </si>
  <si>
    <t>DLBR</t>
  </si>
  <si>
    <t>Deliberation</t>
  </si>
  <si>
    <t>아날로그</t>
  </si>
  <si>
    <t>ANLG</t>
  </si>
  <si>
    <t>안내</t>
  </si>
  <si>
    <t>안내문</t>
  </si>
  <si>
    <t>GDCC</t>
  </si>
  <si>
    <t>암호</t>
  </si>
  <si>
    <t>CPHR</t>
  </si>
  <si>
    <t>암호화</t>
  </si>
  <si>
    <t>압류</t>
  </si>
  <si>
    <t>Seizure</t>
  </si>
  <si>
    <t>소득</t>
  </si>
  <si>
    <t>INCM</t>
  </si>
  <si>
    <t>음식</t>
  </si>
  <si>
    <t>읍면동</t>
  </si>
  <si>
    <t>EMD</t>
  </si>
  <si>
    <t>응답</t>
  </si>
  <si>
    <t>Response</t>
  </si>
  <si>
    <t>응답자</t>
  </si>
  <si>
    <t>EXM</t>
  </si>
  <si>
    <t>의견</t>
  </si>
  <si>
    <t>OPN</t>
  </si>
  <si>
    <t>의뢰</t>
  </si>
  <si>
    <t>REQ</t>
  </si>
  <si>
    <t>Request</t>
  </si>
  <si>
    <t>의료</t>
  </si>
  <si>
    <t>의사</t>
  </si>
  <si>
    <t>FRE</t>
  </si>
  <si>
    <t>의존</t>
  </si>
  <si>
    <t>이관</t>
  </si>
  <si>
    <t>이동</t>
  </si>
  <si>
    <t>MVMN</t>
  </si>
  <si>
    <t>Movement</t>
  </si>
  <si>
    <t>이력</t>
  </si>
  <si>
    <t>이메일</t>
  </si>
  <si>
    <t>EMAIL</t>
  </si>
  <si>
    <t>Email</t>
  </si>
  <si>
    <t>전자우편</t>
  </si>
  <si>
    <t>이미지</t>
  </si>
  <si>
    <t>IMG</t>
  </si>
  <si>
    <t>이벤트</t>
  </si>
  <si>
    <t>이상</t>
  </si>
  <si>
    <t>UNIQ</t>
  </si>
  <si>
    <t>이수</t>
  </si>
  <si>
    <t>이외</t>
  </si>
  <si>
    <t>이용</t>
  </si>
  <si>
    <t>USE</t>
  </si>
  <si>
    <t>RT</t>
  </si>
  <si>
    <t>이의</t>
  </si>
  <si>
    <t>OBJC</t>
  </si>
  <si>
    <t>Objection</t>
  </si>
  <si>
    <t>INT</t>
  </si>
  <si>
    <t>이전</t>
  </si>
  <si>
    <t>이탈</t>
  </si>
  <si>
    <t>LEAVE</t>
  </si>
  <si>
    <t>이하</t>
  </si>
  <si>
    <t>이해</t>
  </si>
  <si>
    <t>EXPS</t>
  </si>
  <si>
    <t>오류</t>
  </si>
  <si>
    <t>ERR</t>
  </si>
  <si>
    <t>Error</t>
  </si>
  <si>
    <t>오전</t>
  </si>
  <si>
    <t>AM</t>
  </si>
  <si>
    <t>오프라인</t>
  </si>
  <si>
    <t>오후</t>
  </si>
  <si>
    <t>PM</t>
  </si>
  <si>
    <t>NTRP</t>
  </si>
  <si>
    <t>세입</t>
  </si>
  <si>
    <t>DLY</t>
  </si>
  <si>
    <t>결혼</t>
  </si>
  <si>
    <t>ECNM</t>
  </si>
  <si>
    <t>SAM</t>
  </si>
  <si>
    <t>SMS</t>
  </si>
  <si>
    <t>Short Message Service</t>
  </si>
  <si>
    <t>SOC</t>
  </si>
  <si>
    <t>SPC</t>
  </si>
  <si>
    <t>SQL</t>
  </si>
  <si>
    <t>SRI</t>
  </si>
  <si>
    <t>STP</t>
  </si>
  <si>
    <t>교체</t>
  </si>
  <si>
    <t>교환</t>
  </si>
  <si>
    <t>구</t>
  </si>
  <si>
    <t>OLD</t>
  </si>
  <si>
    <t>ORAL</t>
  </si>
  <si>
    <t>구매</t>
  </si>
  <si>
    <t>BPLC</t>
  </si>
  <si>
    <t>DIV</t>
  </si>
  <si>
    <t>PRDS</t>
  </si>
  <si>
    <t>CLM</t>
  </si>
  <si>
    <t>Claim</t>
  </si>
  <si>
    <t>구성</t>
  </si>
  <si>
    <t>CSTN</t>
  </si>
  <si>
    <t>구조</t>
  </si>
  <si>
    <t>구축</t>
  </si>
  <si>
    <t>국가</t>
  </si>
  <si>
    <t>금주</t>
  </si>
  <si>
    <t>급여</t>
  </si>
  <si>
    <t>기간</t>
  </si>
  <si>
    <t>TRM</t>
  </si>
  <si>
    <t>Term</t>
  </si>
  <si>
    <t>PRTR</t>
  </si>
  <si>
    <t>MCHN</t>
  </si>
  <si>
    <t>기관</t>
  </si>
  <si>
    <t>INST</t>
  </si>
  <si>
    <t>Institution</t>
  </si>
  <si>
    <t>기금</t>
  </si>
  <si>
    <t>기능</t>
  </si>
  <si>
    <t>PLN</t>
  </si>
  <si>
    <t>기록</t>
  </si>
  <si>
    <t>기말</t>
  </si>
  <si>
    <t>기본</t>
  </si>
  <si>
    <t>상하</t>
  </si>
  <si>
    <t>상한</t>
  </si>
  <si>
    <t>상해</t>
  </si>
  <si>
    <t>INJR</t>
  </si>
  <si>
    <t>상호</t>
  </si>
  <si>
    <t>상황</t>
  </si>
  <si>
    <t>IDX</t>
  </si>
  <si>
    <t>생계</t>
  </si>
  <si>
    <t>생년월일</t>
  </si>
  <si>
    <t>생성</t>
  </si>
  <si>
    <t>Creation</t>
  </si>
  <si>
    <t>CRTR</t>
  </si>
  <si>
    <t>생활</t>
  </si>
  <si>
    <t>SR</t>
  </si>
  <si>
    <t>서명</t>
  </si>
  <si>
    <t>서버</t>
  </si>
  <si>
    <t>서비스</t>
  </si>
  <si>
    <t>SRVC</t>
  </si>
  <si>
    <t>서식</t>
  </si>
  <si>
    <t>RNK</t>
  </si>
  <si>
    <t>선납</t>
  </si>
  <si>
    <t>소모품</t>
  </si>
  <si>
    <t>소분류</t>
  </si>
  <si>
    <t>소속</t>
  </si>
  <si>
    <t>소수점</t>
  </si>
  <si>
    <t>소요</t>
  </si>
  <si>
    <t>Required</t>
  </si>
  <si>
    <t>소유</t>
  </si>
  <si>
    <t>OWN</t>
  </si>
  <si>
    <t>수준</t>
  </si>
  <si>
    <t>LVL</t>
  </si>
  <si>
    <t>수집</t>
  </si>
  <si>
    <t>수첩</t>
  </si>
  <si>
    <t>Receiver</t>
  </si>
  <si>
    <t>수탁</t>
  </si>
  <si>
    <t>수행</t>
  </si>
  <si>
    <t>EXC</t>
  </si>
  <si>
    <t>수혜</t>
  </si>
  <si>
    <t>송수신</t>
  </si>
  <si>
    <t>송신</t>
  </si>
  <si>
    <t>SEND</t>
  </si>
  <si>
    <t>수</t>
  </si>
  <si>
    <t>CNT</t>
  </si>
  <si>
    <t>Count</t>
  </si>
  <si>
    <t>UCP</t>
  </si>
  <si>
    <t>수급</t>
  </si>
  <si>
    <t>RCPT</t>
  </si>
  <si>
    <t>RCPN</t>
  </si>
  <si>
    <t>수기</t>
  </si>
  <si>
    <t>수납</t>
  </si>
  <si>
    <t>수납자</t>
  </si>
  <si>
    <t>수동</t>
  </si>
  <si>
    <t>수량</t>
  </si>
  <si>
    <t>QTY</t>
  </si>
  <si>
    <t>수료</t>
  </si>
  <si>
    <t>수리</t>
  </si>
  <si>
    <t>ACTN</t>
  </si>
  <si>
    <t>ACMP</t>
  </si>
  <si>
    <t>수수료</t>
  </si>
  <si>
    <t>FEE</t>
  </si>
  <si>
    <t>Fee</t>
  </si>
  <si>
    <t>수술</t>
  </si>
  <si>
    <t>수신</t>
  </si>
  <si>
    <t>DEP</t>
  </si>
  <si>
    <t>Deposit</t>
  </si>
  <si>
    <t>DPCN</t>
  </si>
  <si>
    <t>수신자</t>
  </si>
  <si>
    <t>수요일</t>
  </si>
  <si>
    <t>WED</t>
  </si>
  <si>
    <t>수익</t>
  </si>
  <si>
    <t>주</t>
  </si>
  <si>
    <t>근무</t>
  </si>
  <si>
    <t>WORK</t>
  </si>
  <si>
    <t>Work</t>
  </si>
  <si>
    <t>금액</t>
  </si>
  <si>
    <t>AMT</t>
  </si>
  <si>
    <t>Amount</t>
  </si>
  <si>
    <t>금요일</t>
  </si>
  <si>
    <t>FRI</t>
  </si>
  <si>
    <t>금융</t>
  </si>
  <si>
    <t>금융기관</t>
  </si>
  <si>
    <t>Financial Institution</t>
  </si>
  <si>
    <t>경도</t>
  </si>
  <si>
    <t>Longitude</t>
  </si>
  <si>
    <t>경락</t>
  </si>
  <si>
    <t>경력</t>
  </si>
  <si>
    <t>EXMN</t>
  </si>
  <si>
    <t>경로</t>
  </si>
  <si>
    <t>PATH</t>
  </si>
  <si>
    <t>CST</t>
  </si>
  <si>
    <t>EDI</t>
  </si>
  <si>
    <t>EFF</t>
  </si>
  <si>
    <t>ELC</t>
  </si>
  <si>
    <t>F</t>
  </si>
  <si>
    <t>FAQ</t>
  </si>
  <si>
    <t>FRN</t>
  </si>
  <si>
    <t>FTP</t>
  </si>
  <si>
    <t>GS</t>
  </si>
  <si>
    <t>검사</t>
  </si>
  <si>
    <t>INSP</t>
  </si>
  <si>
    <t>검색</t>
  </si>
  <si>
    <t>SRCH</t>
  </si>
  <si>
    <t>검증</t>
  </si>
  <si>
    <t>검진</t>
  </si>
  <si>
    <t>검토</t>
  </si>
  <si>
    <t>Review</t>
  </si>
  <si>
    <t>게시</t>
  </si>
  <si>
    <t>게시물</t>
  </si>
  <si>
    <t>게시자</t>
  </si>
  <si>
    <t>게시판</t>
  </si>
  <si>
    <t>ESTM</t>
  </si>
  <si>
    <t>결과</t>
  </si>
  <si>
    <t>RSLT</t>
  </si>
  <si>
    <t>STLM</t>
  </si>
  <si>
    <t>결손</t>
  </si>
  <si>
    <t>LOSS</t>
  </si>
  <si>
    <t>Decision</t>
  </si>
  <si>
    <t>DCSD</t>
  </si>
  <si>
    <t>결재</t>
  </si>
  <si>
    <t>FALT</t>
  </si>
  <si>
    <t>결정</t>
  </si>
  <si>
    <t>DCSN</t>
  </si>
  <si>
    <t>결제</t>
  </si>
  <si>
    <t>Settlement</t>
  </si>
  <si>
    <t>STCN</t>
  </si>
  <si>
    <t>개선</t>
  </si>
  <si>
    <t>개설</t>
  </si>
  <si>
    <t>OPEN</t>
  </si>
  <si>
    <t>NCNT</t>
  </si>
  <si>
    <t>개시</t>
  </si>
  <si>
    <t>개업</t>
  </si>
  <si>
    <t>개인</t>
  </si>
  <si>
    <t>Individual</t>
  </si>
  <si>
    <t>개정</t>
  </si>
  <si>
    <t>객관식</t>
  </si>
  <si>
    <t>OBJT</t>
  </si>
  <si>
    <t>객체</t>
  </si>
  <si>
    <t>주차</t>
  </si>
  <si>
    <t>준공</t>
  </si>
  <si>
    <t>CMCN</t>
  </si>
  <si>
    <t>중간</t>
  </si>
  <si>
    <t>MDUM</t>
  </si>
  <si>
    <t>CHN</t>
  </si>
  <si>
    <t>중단</t>
  </si>
  <si>
    <t>MDCL</t>
  </si>
  <si>
    <t>중복</t>
  </si>
  <si>
    <t>DUP</t>
  </si>
  <si>
    <t>Duplication</t>
  </si>
  <si>
    <t>중분류</t>
  </si>
  <si>
    <t>중요</t>
  </si>
  <si>
    <t>IMPT</t>
  </si>
  <si>
    <t>중재</t>
  </si>
  <si>
    <t>ARBT</t>
  </si>
  <si>
    <t>직급</t>
  </si>
  <si>
    <t>직렬</t>
  </si>
  <si>
    <t>JBLN</t>
  </si>
  <si>
    <t>DUTY</t>
  </si>
  <si>
    <t>TCC</t>
  </si>
  <si>
    <t>TERM</t>
  </si>
  <si>
    <t>TM</t>
  </si>
  <si>
    <t>TRANS</t>
  </si>
  <si>
    <t>가상</t>
  </si>
  <si>
    <t>Virtual</t>
  </si>
  <si>
    <t>가입</t>
  </si>
  <si>
    <t>가족</t>
  </si>
  <si>
    <t>FMLY</t>
  </si>
  <si>
    <t>Family</t>
  </si>
  <si>
    <t>가중</t>
  </si>
  <si>
    <t>가치</t>
  </si>
  <si>
    <t>간이</t>
  </si>
  <si>
    <t>SMPT</t>
  </si>
  <si>
    <t>간접</t>
  </si>
  <si>
    <t>감면</t>
  </si>
  <si>
    <t>입학</t>
  </si>
  <si>
    <t>자격</t>
  </si>
  <si>
    <t>QLFC</t>
  </si>
  <si>
    <t>Qualification</t>
  </si>
  <si>
    <t>자기</t>
  </si>
  <si>
    <t>자녀</t>
  </si>
  <si>
    <t>CHLD</t>
  </si>
  <si>
    <t>자동</t>
  </si>
  <si>
    <t>자료</t>
  </si>
  <si>
    <t>DTA</t>
  </si>
  <si>
    <t>자문</t>
  </si>
  <si>
    <t>CNSLT</t>
  </si>
  <si>
    <t>직업</t>
  </si>
  <si>
    <t>Occupation</t>
  </si>
  <si>
    <t>직원</t>
  </si>
  <si>
    <t>EMP</t>
  </si>
  <si>
    <t>Employee</t>
  </si>
  <si>
    <t>직위</t>
  </si>
  <si>
    <t>직인</t>
  </si>
  <si>
    <t>직장</t>
  </si>
  <si>
    <t>직전</t>
  </si>
  <si>
    <t>직접</t>
  </si>
  <si>
    <t>직종</t>
  </si>
  <si>
    <t>직책</t>
  </si>
  <si>
    <t>DRCT</t>
  </si>
  <si>
    <t>직후</t>
  </si>
  <si>
    <t>진단</t>
  </si>
  <si>
    <t>진척률</t>
  </si>
  <si>
    <t>PRGS</t>
  </si>
  <si>
    <t>ORDR</t>
  </si>
  <si>
    <t>집</t>
  </si>
  <si>
    <t>HOME</t>
  </si>
  <si>
    <t>Home</t>
  </si>
  <si>
    <t>집계</t>
  </si>
  <si>
    <t>집단</t>
  </si>
  <si>
    <t>GRUP</t>
  </si>
  <si>
    <t>집중</t>
  </si>
  <si>
    <t>SET</t>
  </si>
  <si>
    <t>집행</t>
  </si>
  <si>
    <t>NOTE</t>
  </si>
  <si>
    <t>차감</t>
  </si>
  <si>
    <t>차단</t>
  </si>
  <si>
    <t>차대번호</t>
  </si>
  <si>
    <t>Vehicle Identification Number</t>
  </si>
  <si>
    <t>즉시</t>
  </si>
  <si>
    <t>INC</t>
  </si>
  <si>
    <t>증감</t>
  </si>
  <si>
    <t>국고</t>
  </si>
  <si>
    <t>국민건강보험공단</t>
  </si>
  <si>
    <t>국민연금</t>
  </si>
  <si>
    <t>국적</t>
  </si>
  <si>
    <t>군</t>
  </si>
  <si>
    <t>군번</t>
  </si>
  <si>
    <t>권한</t>
  </si>
  <si>
    <t>AUTH</t>
  </si>
  <si>
    <t>규격</t>
  </si>
  <si>
    <t>규모</t>
  </si>
  <si>
    <t>SCAL</t>
  </si>
  <si>
    <t>그룹</t>
  </si>
  <si>
    <t>GROUP</t>
  </si>
  <si>
    <t>근거</t>
  </si>
  <si>
    <t>BAS</t>
  </si>
  <si>
    <t>근로</t>
  </si>
  <si>
    <t>근로자</t>
  </si>
  <si>
    <t>WRKR</t>
  </si>
  <si>
    <t>증명</t>
  </si>
  <si>
    <t>PRF</t>
  </si>
  <si>
    <t>CERT</t>
  </si>
  <si>
    <t>증빙</t>
  </si>
  <si>
    <t>증지</t>
  </si>
  <si>
    <t>DIST</t>
  </si>
  <si>
    <t>지급</t>
  </si>
  <si>
    <t>Provision</t>
  </si>
  <si>
    <t>지도</t>
  </si>
  <si>
    <t>지목</t>
  </si>
  <si>
    <t>지방</t>
  </si>
  <si>
    <t>REGN</t>
  </si>
  <si>
    <t>RF</t>
  </si>
  <si>
    <t>지사</t>
  </si>
  <si>
    <t>BRCH</t>
  </si>
  <si>
    <t>지상</t>
  </si>
  <si>
    <t>지수</t>
  </si>
  <si>
    <t>지시</t>
  </si>
  <si>
    <t>INDC</t>
  </si>
  <si>
    <t>Indication</t>
  </si>
  <si>
    <t>Instructor</t>
  </si>
  <si>
    <t>지식</t>
  </si>
  <si>
    <t>지역</t>
  </si>
  <si>
    <t>AREA</t>
  </si>
  <si>
    <t>지연</t>
  </si>
  <si>
    <t>DLAY</t>
  </si>
  <si>
    <t>지원</t>
  </si>
  <si>
    <t>지자체</t>
  </si>
  <si>
    <t>지적</t>
  </si>
  <si>
    <t>지정</t>
  </si>
  <si>
    <t>Designation</t>
  </si>
  <si>
    <t>GUD</t>
  </si>
  <si>
    <t>지표</t>
  </si>
  <si>
    <t>지하</t>
  </si>
  <si>
    <t>Underground</t>
  </si>
  <si>
    <t>직계존속</t>
  </si>
  <si>
    <t>직군</t>
  </si>
  <si>
    <t>점검</t>
  </si>
  <si>
    <t>점수</t>
  </si>
  <si>
    <t>SCR</t>
  </si>
  <si>
    <t>OCPT</t>
  </si>
  <si>
    <t>STOR</t>
  </si>
  <si>
    <t>Reception</t>
  </si>
  <si>
    <t>접속</t>
  </si>
  <si>
    <t>CONN</t>
  </si>
  <si>
    <t>Connection</t>
  </si>
  <si>
    <t>접수</t>
  </si>
  <si>
    <t>접수자</t>
  </si>
  <si>
    <t>TY</t>
  </si>
  <si>
    <t>URL</t>
  </si>
  <si>
    <t>Uniform Resource Locator</t>
  </si>
  <si>
    <t>VAN</t>
  </si>
  <si>
    <t>VD</t>
  </si>
  <si>
    <t>VOC</t>
  </si>
  <si>
    <t>VPN</t>
  </si>
  <si>
    <t>X축</t>
  </si>
  <si>
    <t>XAXS</t>
  </si>
  <si>
    <t>Y축</t>
  </si>
  <si>
    <t>YAXS</t>
  </si>
  <si>
    <t>가격</t>
  </si>
  <si>
    <t>PRC</t>
  </si>
  <si>
    <t>PSCH</t>
  </si>
  <si>
    <t>가구</t>
  </si>
  <si>
    <t>FAM</t>
  </si>
  <si>
    <t>가능</t>
  </si>
  <si>
    <t>가동</t>
  </si>
  <si>
    <t>가맹점</t>
  </si>
  <si>
    <t>가산</t>
  </si>
  <si>
    <t>ADD</t>
  </si>
  <si>
    <t>감소</t>
  </si>
  <si>
    <t>DEC</t>
  </si>
  <si>
    <t>감정</t>
  </si>
  <si>
    <t>RDCT</t>
  </si>
  <si>
    <t>값</t>
  </si>
  <si>
    <t>VAL</t>
  </si>
  <si>
    <t>강도</t>
  </si>
  <si>
    <t>강사</t>
  </si>
  <si>
    <t>LCTR</t>
  </si>
  <si>
    <t>개발</t>
  </si>
  <si>
    <t>DEV</t>
  </si>
  <si>
    <t>개발자</t>
  </si>
  <si>
    <t>개별</t>
  </si>
  <si>
    <t>프로파일</t>
  </si>
  <si>
    <t>프린터</t>
  </si>
  <si>
    <t>DPST</t>
  </si>
  <si>
    <t>피보험자</t>
  </si>
  <si>
    <t>피해</t>
  </si>
  <si>
    <t>피해자</t>
  </si>
  <si>
    <t>필수</t>
  </si>
  <si>
    <t>필요</t>
  </si>
  <si>
    <t>LOT</t>
  </si>
  <si>
    <t>하반기</t>
  </si>
  <si>
    <t>하위</t>
  </si>
  <si>
    <t>제외</t>
  </si>
  <si>
    <t>EXCP</t>
  </si>
  <si>
    <t>PRCR</t>
  </si>
  <si>
    <t>제조</t>
  </si>
  <si>
    <t>제조사</t>
  </si>
  <si>
    <t>제출</t>
  </si>
  <si>
    <t>제품</t>
  </si>
  <si>
    <t>제한</t>
  </si>
  <si>
    <t>조건</t>
  </si>
  <si>
    <t>조기</t>
  </si>
  <si>
    <t>조사자</t>
  </si>
  <si>
    <t>TAXT</t>
  </si>
  <si>
    <t>OP</t>
  </si>
  <si>
    <t>OPER</t>
  </si>
  <si>
    <t>조정</t>
  </si>
  <si>
    <t>ADJ</t>
  </si>
  <si>
    <t>조직</t>
  </si>
  <si>
    <t>조치</t>
  </si>
  <si>
    <t>조합</t>
  </si>
  <si>
    <t>조회</t>
  </si>
  <si>
    <t>존재</t>
  </si>
  <si>
    <t>취득</t>
  </si>
  <si>
    <t>ACQS</t>
  </si>
  <si>
    <t>Acquisition</t>
  </si>
  <si>
    <t>취소</t>
  </si>
  <si>
    <t>CNCR</t>
  </si>
  <si>
    <t>취약</t>
  </si>
  <si>
    <t>WEAK</t>
  </si>
  <si>
    <t>측정</t>
  </si>
  <si>
    <t>층</t>
  </si>
  <si>
    <t>FLR</t>
  </si>
  <si>
    <t>치료</t>
  </si>
  <si>
    <t>카드</t>
  </si>
  <si>
    <t>CARD</t>
  </si>
  <si>
    <t>Card</t>
  </si>
  <si>
    <t>CPEX</t>
  </si>
  <si>
    <t>ATTD</t>
  </si>
  <si>
    <t>자원</t>
  </si>
  <si>
    <t>자체</t>
  </si>
  <si>
    <t>자택</t>
  </si>
  <si>
    <t>작성</t>
  </si>
  <si>
    <t>작업</t>
  </si>
  <si>
    <t>JOB</t>
  </si>
  <si>
    <t>Job</t>
  </si>
  <si>
    <t>WRK</t>
  </si>
  <si>
    <t>잔여</t>
  </si>
  <si>
    <t>장기</t>
  </si>
  <si>
    <t>ABU</t>
  </si>
  <si>
    <t>장비</t>
  </si>
  <si>
    <t>장소</t>
  </si>
  <si>
    <t>PLC</t>
  </si>
  <si>
    <t>장수</t>
  </si>
  <si>
    <t>장애</t>
  </si>
  <si>
    <t>장애인</t>
  </si>
  <si>
    <t>SHEET</t>
  </si>
  <si>
    <t>ENC</t>
  </si>
  <si>
    <t>재고</t>
  </si>
  <si>
    <t>재단</t>
  </si>
  <si>
    <t>Foundation</t>
  </si>
  <si>
    <t>재료</t>
  </si>
  <si>
    <t>MTRL</t>
  </si>
  <si>
    <t>FNST</t>
  </si>
  <si>
    <t>재발</t>
  </si>
  <si>
    <t>RLPS</t>
  </si>
  <si>
    <t>재발급</t>
  </si>
  <si>
    <t>재원</t>
  </si>
  <si>
    <t>REPRT</t>
  </si>
  <si>
    <t>Judgement</t>
  </si>
  <si>
    <t>재학</t>
  </si>
  <si>
    <t>재해</t>
  </si>
  <si>
    <t>재활</t>
  </si>
  <si>
    <t>저가</t>
  </si>
  <si>
    <t>LPRC</t>
  </si>
  <si>
    <t>저장</t>
  </si>
  <si>
    <t>STRG</t>
  </si>
  <si>
    <t>INDP</t>
  </si>
  <si>
    <t>INSTL</t>
  </si>
  <si>
    <t>적용</t>
  </si>
  <si>
    <t>APLY</t>
  </si>
  <si>
    <t>Apply</t>
  </si>
  <si>
    <t>적정</t>
  </si>
  <si>
    <t>PROP</t>
  </si>
  <si>
    <t>적합</t>
  </si>
  <si>
    <t>전공</t>
  </si>
  <si>
    <t>CONT</t>
  </si>
  <si>
    <t>정규직</t>
  </si>
  <si>
    <t>정도</t>
  </si>
  <si>
    <t>정렬</t>
  </si>
  <si>
    <t>정밀</t>
  </si>
  <si>
    <t>정보</t>
  </si>
  <si>
    <t>정부</t>
  </si>
  <si>
    <t>정산</t>
  </si>
  <si>
    <t>정상</t>
  </si>
  <si>
    <t>정액</t>
  </si>
  <si>
    <t>정원</t>
  </si>
  <si>
    <t>DFN</t>
  </si>
  <si>
    <t>Update</t>
  </si>
  <si>
    <t>STOP</t>
  </si>
  <si>
    <t>정합성</t>
  </si>
  <si>
    <t>RVSN</t>
  </si>
  <si>
    <t>REA</t>
  </si>
  <si>
    <t>경제</t>
  </si>
  <si>
    <t>CNCN</t>
  </si>
  <si>
    <t>경험</t>
  </si>
  <si>
    <t>계급</t>
  </si>
  <si>
    <t>계단</t>
  </si>
  <si>
    <t>계산</t>
  </si>
  <si>
    <t>CALC</t>
  </si>
  <si>
    <t>계산서</t>
  </si>
  <si>
    <t>계산식</t>
  </si>
  <si>
    <t>계속</t>
  </si>
  <si>
    <t>계약</t>
  </si>
  <si>
    <t>Contract</t>
  </si>
  <si>
    <t>계약직</t>
  </si>
  <si>
    <t>CBS</t>
  </si>
  <si>
    <t>ACCT</t>
  </si>
  <si>
    <t>야간</t>
  </si>
  <si>
    <t>약속</t>
  </si>
  <si>
    <t>약어</t>
  </si>
  <si>
    <t>AGRE</t>
  </si>
  <si>
    <t>ABT</t>
  </si>
  <si>
    <t>GRNT</t>
  </si>
  <si>
    <t>APP</t>
  </si>
  <si>
    <t>업무</t>
  </si>
  <si>
    <t>업종</t>
  </si>
  <si>
    <t>업체</t>
  </si>
  <si>
    <t>CO</t>
  </si>
  <si>
    <t>일자</t>
  </si>
  <si>
    <t>DT</t>
  </si>
  <si>
    <t>일정</t>
  </si>
  <si>
    <t>일지</t>
  </si>
  <si>
    <t>RNTL</t>
  </si>
  <si>
    <t>임시</t>
  </si>
  <si>
    <t>TMP</t>
  </si>
  <si>
    <t>입고</t>
  </si>
  <si>
    <t>WRHS</t>
  </si>
  <si>
    <t>Warehousing</t>
  </si>
  <si>
    <t>입금</t>
  </si>
  <si>
    <t>입력</t>
  </si>
  <si>
    <t>Input</t>
  </si>
  <si>
    <t>입사</t>
  </si>
  <si>
    <t>ADPT</t>
  </si>
  <si>
    <t>입원</t>
  </si>
  <si>
    <t>클레임</t>
  </si>
  <si>
    <t>KEY</t>
  </si>
  <si>
    <t>키워드</t>
  </si>
  <si>
    <t>Validity</t>
  </si>
  <si>
    <t>총면적</t>
  </si>
  <si>
    <t>Notification</t>
  </si>
  <si>
    <t>최대</t>
  </si>
  <si>
    <t>MAX</t>
  </si>
  <si>
    <t>최상위</t>
  </si>
  <si>
    <t>최소</t>
  </si>
  <si>
    <t>MIN</t>
  </si>
  <si>
    <t>최저</t>
  </si>
  <si>
    <t>최종</t>
  </si>
  <si>
    <t>LAST</t>
  </si>
  <si>
    <t>Last</t>
  </si>
  <si>
    <t>최초</t>
  </si>
  <si>
    <t>FRST</t>
  </si>
  <si>
    <t>First</t>
  </si>
  <si>
    <t>최하위</t>
  </si>
  <si>
    <t>CLCT</t>
  </si>
  <si>
    <t>Collection</t>
  </si>
  <si>
    <t>추정</t>
  </si>
  <si>
    <t>PRMT</t>
  </si>
  <si>
    <t>회사</t>
  </si>
  <si>
    <t>Company</t>
  </si>
  <si>
    <t>회신</t>
  </si>
  <si>
    <t>REPY</t>
  </si>
  <si>
    <t>회원</t>
  </si>
  <si>
    <t>회의</t>
  </si>
  <si>
    <t>횟수</t>
  </si>
  <si>
    <t>효과</t>
  </si>
  <si>
    <t>후불</t>
  </si>
  <si>
    <t>WELF</t>
  </si>
  <si>
    <t>후원</t>
  </si>
  <si>
    <t>휴가</t>
  </si>
  <si>
    <t>휴대</t>
  </si>
  <si>
    <t>휴업</t>
  </si>
  <si>
    <t>휴일</t>
  </si>
  <si>
    <t>흡연</t>
  </si>
  <si>
    <t>희망</t>
  </si>
  <si>
    <t>HOPE</t>
  </si>
  <si>
    <t>PRDT</t>
  </si>
  <si>
    <t>한글</t>
  </si>
  <si>
    <t>KOR</t>
  </si>
  <si>
    <t>한도</t>
  </si>
  <si>
    <t>한자</t>
  </si>
  <si>
    <t>할부</t>
  </si>
  <si>
    <t>INS</t>
  </si>
  <si>
    <t>할인</t>
  </si>
  <si>
    <t>Discount</t>
  </si>
  <si>
    <t>DSF</t>
  </si>
  <si>
    <t>Comment</t>
  </si>
  <si>
    <t>주소</t>
  </si>
  <si>
    <t>ADDR</t>
  </si>
  <si>
    <t>Address</t>
  </si>
  <si>
    <t>주요</t>
  </si>
  <si>
    <t>Essential</t>
  </si>
  <si>
    <t>탈락</t>
  </si>
  <si>
    <t>탈퇴</t>
  </si>
  <si>
    <t>탭</t>
  </si>
  <si>
    <t>TAB</t>
  </si>
  <si>
    <t>TEST</t>
  </si>
  <si>
    <t>테이블</t>
  </si>
  <si>
    <t>TBL</t>
  </si>
  <si>
    <t>Table</t>
  </si>
  <si>
    <t>DSCS</t>
  </si>
  <si>
    <t>토요일</t>
  </si>
  <si>
    <t>SAT</t>
  </si>
  <si>
    <t>TGT</t>
  </si>
  <si>
    <t>통계</t>
  </si>
  <si>
    <t>Statistics</t>
  </si>
  <si>
    <t>LTR</t>
  </si>
  <si>
    <t>추출</t>
  </si>
  <si>
    <t>EXT</t>
  </si>
  <si>
    <t>Extraction</t>
  </si>
  <si>
    <t>출고</t>
  </si>
  <si>
    <t>출국</t>
  </si>
  <si>
    <t>ATND</t>
  </si>
  <si>
    <t>Attendance</t>
  </si>
  <si>
    <t>출금</t>
  </si>
  <si>
    <t>Withdrawal</t>
  </si>
  <si>
    <t>출력</t>
  </si>
  <si>
    <t>Output</t>
  </si>
  <si>
    <t>출산</t>
  </si>
  <si>
    <t>출생</t>
  </si>
  <si>
    <t>BRTH</t>
  </si>
  <si>
    <t>Birth</t>
  </si>
  <si>
    <t>출석</t>
  </si>
  <si>
    <t>출신</t>
  </si>
  <si>
    <t>확보</t>
  </si>
  <si>
    <t>ASSR</t>
  </si>
  <si>
    <t>CMLT</t>
  </si>
  <si>
    <t>확인</t>
  </si>
  <si>
    <t>확인자</t>
  </si>
  <si>
    <t>확장자</t>
  </si>
  <si>
    <t>확정</t>
  </si>
  <si>
    <t>FRM</t>
  </si>
  <si>
    <t>EXTN</t>
  </si>
  <si>
    <t>환경</t>
  </si>
  <si>
    <t>ENV</t>
  </si>
  <si>
    <t>환급</t>
  </si>
  <si>
    <t>HSPT</t>
  </si>
  <si>
    <t>환불</t>
  </si>
  <si>
    <t>환산</t>
  </si>
  <si>
    <t>환수</t>
  </si>
  <si>
    <t>Redemption</t>
  </si>
  <si>
    <t>회계</t>
  </si>
  <si>
    <t>CRR</t>
  </si>
  <si>
    <t>캠페인</t>
  </si>
  <si>
    <t>CMPGN</t>
  </si>
  <si>
    <t>CSR</t>
  </si>
  <si>
    <t>졸업</t>
  </si>
  <si>
    <t>종결</t>
  </si>
  <si>
    <t>종교</t>
  </si>
  <si>
    <t>RLGN</t>
  </si>
  <si>
    <t>DDLN</t>
  </si>
  <si>
    <t>종료</t>
  </si>
  <si>
    <t>END</t>
  </si>
  <si>
    <t>End</t>
  </si>
  <si>
    <t>종류</t>
  </si>
  <si>
    <t>SEM</t>
  </si>
  <si>
    <t>종합</t>
  </si>
  <si>
    <t>LBRC</t>
  </si>
  <si>
    <t>주간</t>
  </si>
  <si>
    <t>DYTM</t>
  </si>
  <si>
    <t>주거</t>
  </si>
  <si>
    <t>주기</t>
  </si>
  <si>
    <t>Cycle</t>
  </si>
  <si>
    <t>PRSC</t>
  </si>
  <si>
    <t>Attention</t>
  </si>
  <si>
    <t>주민</t>
  </si>
  <si>
    <t>주민등록번호</t>
  </si>
  <si>
    <t>하한</t>
  </si>
  <si>
    <t>학교</t>
  </si>
  <si>
    <t>현금</t>
  </si>
  <si>
    <t>CASH</t>
  </si>
  <si>
    <t>SPOT</t>
  </si>
  <si>
    <t>SPT</t>
  </si>
  <si>
    <t>현재</t>
  </si>
  <si>
    <t>현황</t>
  </si>
  <si>
    <t>혈액</t>
  </si>
  <si>
    <t>BLD</t>
  </si>
  <si>
    <t>혈액형</t>
  </si>
  <si>
    <t>협력</t>
  </si>
  <si>
    <t>협의</t>
  </si>
  <si>
    <t>협의체</t>
  </si>
  <si>
    <t>CNCL</t>
  </si>
  <si>
    <t>ASCT</t>
  </si>
  <si>
    <t>형식</t>
  </si>
  <si>
    <t>FRMT</t>
  </si>
  <si>
    <t>형태</t>
  </si>
  <si>
    <t>호출</t>
  </si>
  <si>
    <t>CALG</t>
  </si>
  <si>
    <t>혼용</t>
  </si>
  <si>
    <t>혼합</t>
  </si>
  <si>
    <t>학력</t>
  </si>
  <si>
    <t>학생</t>
  </si>
  <si>
    <t>학습</t>
  </si>
  <si>
    <t>RMV</t>
  </si>
  <si>
    <t>Remove</t>
  </si>
  <si>
    <t>제공</t>
  </si>
  <si>
    <t>OFR</t>
  </si>
  <si>
    <t>제공자</t>
  </si>
  <si>
    <t>PRVD</t>
  </si>
  <si>
    <t>제목</t>
  </si>
  <si>
    <t>제약</t>
  </si>
  <si>
    <t>반올림</t>
  </si>
  <si>
    <t>ROUND</t>
  </si>
  <si>
    <t>전달</t>
  </si>
  <si>
    <t>전략</t>
  </si>
  <si>
    <t>전문</t>
  </si>
  <si>
    <t>JB</t>
  </si>
  <si>
    <t>Writing</t>
  </si>
  <si>
    <t>전송</t>
  </si>
  <si>
    <t>Transmission</t>
  </si>
  <si>
    <t>주의</t>
  </si>
  <si>
    <t>ATNT</t>
  </si>
  <si>
    <t>주제</t>
  </si>
  <si>
    <t>출장</t>
  </si>
  <si>
    <t>CSLT</t>
  </si>
  <si>
    <t>컬럼</t>
  </si>
  <si>
    <t>Column</t>
  </si>
  <si>
    <t>컴퓨터</t>
  </si>
  <si>
    <t>CTOF</t>
  </si>
  <si>
    <t>코드</t>
  </si>
  <si>
    <t>Code</t>
  </si>
  <si>
    <t>CALL</t>
  </si>
  <si>
    <t>쿠폰</t>
  </si>
  <si>
    <t>크기</t>
  </si>
  <si>
    <t>행사</t>
  </si>
  <si>
    <t>행정</t>
  </si>
  <si>
    <t>ADMN</t>
  </si>
  <si>
    <t>행정동</t>
  </si>
  <si>
    <t>향후</t>
  </si>
  <si>
    <t>허가</t>
  </si>
  <si>
    <t>통화</t>
  </si>
  <si>
    <t>퇴직</t>
  </si>
  <si>
    <t>트리</t>
  </si>
  <si>
    <t>TREE</t>
  </si>
  <si>
    <t>특별</t>
  </si>
  <si>
    <t>SPCL</t>
  </si>
  <si>
    <t>특수</t>
  </si>
  <si>
    <t>특이</t>
  </si>
  <si>
    <t>특정</t>
  </si>
  <si>
    <t>특징</t>
  </si>
  <si>
    <t>CHRC</t>
  </si>
  <si>
    <t>팀</t>
  </si>
  <si>
    <t>TEAM</t>
  </si>
  <si>
    <t>팀장</t>
  </si>
  <si>
    <t>DSPT</t>
  </si>
  <si>
    <t>Dispatch</t>
  </si>
  <si>
    <t>DSPO</t>
  </si>
  <si>
    <t>파악</t>
  </si>
  <si>
    <t>파일</t>
  </si>
  <si>
    <t>FILE</t>
  </si>
  <si>
    <t>File</t>
  </si>
  <si>
    <t>PRTP</t>
  </si>
  <si>
    <t>판단</t>
  </si>
  <si>
    <t>판매</t>
  </si>
  <si>
    <t>판정</t>
  </si>
  <si>
    <t>팝업</t>
  </si>
  <si>
    <t>POPUP</t>
  </si>
  <si>
    <t>Popup</t>
  </si>
  <si>
    <t>패키지</t>
  </si>
  <si>
    <t>팩스</t>
  </si>
  <si>
    <t>FAX</t>
  </si>
  <si>
    <t>팩스번호</t>
  </si>
  <si>
    <t>FXNO</t>
  </si>
  <si>
    <t>Fax Number</t>
  </si>
  <si>
    <t>퍼센트</t>
  </si>
  <si>
    <t>PCT</t>
  </si>
  <si>
    <t>FUND</t>
  </si>
  <si>
    <t>CMMT</t>
  </si>
  <si>
    <t>통보</t>
  </si>
  <si>
    <t>통신</t>
  </si>
  <si>
    <t>COMM</t>
  </si>
  <si>
    <t>통신망</t>
  </si>
  <si>
    <t>통장</t>
  </si>
  <si>
    <t>순번</t>
  </si>
  <si>
    <t>통지</t>
  </si>
  <si>
    <t>NOTI</t>
  </si>
  <si>
    <t>Notice</t>
  </si>
  <si>
    <t>차량</t>
  </si>
  <si>
    <t>Vehicle Registration Number</t>
  </si>
  <si>
    <t>차상위</t>
  </si>
  <si>
    <t>차수</t>
  </si>
  <si>
    <t>DGRE</t>
  </si>
  <si>
    <t>차주</t>
  </si>
  <si>
    <t>BRWR</t>
  </si>
  <si>
    <t>CHRT</t>
  </si>
  <si>
    <t>착공</t>
  </si>
  <si>
    <t>참석</t>
  </si>
  <si>
    <t>ATTN</t>
  </si>
  <si>
    <t>참석자</t>
  </si>
  <si>
    <t>참여</t>
  </si>
  <si>
    <t>REF</t>
  </si>
  <si>
    <t>ESTB</t>
  </si>
  <si>
    <t>Establishment</t>
  </si>
  <si>
    <t>CRDR</t>
  </si>
  <si>
    <t>DEBT</t>
  </si>
  <si>
    <t>채번</t>
  </si>
  <si>
    <t>NMBR</t>
  </si>
  <si>
    <t>채용</t>
  </si>
  <si>
    <t>책임</t>
  </si>
  <si>
    <t>책임자</t>
  </si>
  <si>
    <t>Person In Charge</t>
  </si>
  <si>
    <t>처리</t>
  </si>
  <si>
    <t>처리자</t>
  </si>
  <si>
    <t>Processor</t>
  </si>
  <si>
    <t>처분</t>
  </si>
  <si>
    <t>척도</t>
  </si>
  <si>
    <t>Criteria</t>
  </si>
  <si>
    <t>철회</t>
  </si>
  <si>
    <t>첨부</t>
  </si>
  <si>
    <t>청구</t>
  </si>
  <si>
    <t>DMND</t>
  </si>
  <si>
    <t>BIL</t>
  </si>
  <si>
    <t>청소</t>
  </si>
  <si>
    <t>체계</t>
  </si>
  <si>
    <t>STAY</t>
  </si>
  <si>
    <t>체질</t>
  </si>
  <si>
    <t>초과</t>
  </si>
  <si>
    <t>초기화</t>
  </si>
  <si>
    <t>TOT</t>
  </si>
  <si>
    <t>Total</t>
  </si>
  <si>
    <t>PAGE</t>
  </si>
  <si>
    <t>편의</t>
  </si>
  <si>
    <t>편차</t>
  </si>
  <si>
    <t>평가</t>
  </si>
  <si>
    <t>EVAL</t>
  </si>
  <si>
    <t>Evaluation</t>
  </si>
  <si>
    <t>평균</t>
  </si>
  <si>
    <t>AVG</t>
  </si>
  <si>
    <t>평일</t>
  </si>
  <si>
    <t>평점</t>
  </si>
  <si>
    <t>폐기</t>
  </si>
  <si>
    <t>폐쇄</t>
  </si>
  <si>
    <t>CLOR</t>
  </si>
  <si>
    <t>폐업</t>
  </si>
  <si>
    <t>폐지</t>
  </si>
  <si>
    <t>Abolition</t>
  </si>
  <si>
    <t>PNT</t>
  </si>
  <si>
    <t>포장</t>
  </si>
  <si>
    <t>행</t>
  </si>
  <si>
    <t>LIC</t>
  </si>
  <si>
    <t>가로</t>
  </si>
  <si>
    <t>INTERCHANGE</t>
  </si>
  <si>
    <t>PRCS</t>
  </si>
  <si>
    <t>만료</t>
  </si>
  <si>
    <t>EXPRN</t>
  </si>
  <si>
    <t>IND</t>
  </si>
  <si>
    <t>어머니</t>
  </si>
  <si>
    <t>포트</t>
  </si>
  <si>
    <t>PORT</t>
  </si>
  <si>
    <t>포틀릿</t>
  </si>
  <si>
    <t>포함</t>
  </si>
  <si>
    <t>표</t>
  </si>
  <si>
    <t>SHT</t>
  </si>
  <si>
    <t>표기</t>
  </si>
  <si>
    <t>표시</t>
  </si>
  <si>
    <t>MARK</t>
  </si>
  <si>
    <t>표준</t>
  </si>
  <si>
    <t>STMT</t>
  </si>
  <si>
    <t>표준편차</t>
  </si>
  <si>
    <t>프로그램</t>
  </si>
  <si>
    <t>Process</t>
  </si>
  <si>
    <t>홈페이지</t>
  </si>
  <si>
    <t>HMPG</t>
  </si>
  <si>
    <t>화면</t>
  </si>
  <si>
    <t>화상</t>
  </si>
  <si>
    <t>화요일</t>
  </si>
  <si>
    <t>TUE</t>
  </si>
  <si>
    <t>화장실</t>
  </si>
  <si>
    <t>년</t>
  </si>
  <si>
    <t>YEAR</t>
  </si>
  <si>
    <t>TO</t>
  </si>
  <si>
    <t>점</t>
  </si>
  <si>
    <t>BRNO</t>
  </si>
  <si>
    <t>SUB</t>
  </si>
  <si>
    <t>재</t>
  </si>
  <si>
    <t>RE</t>
  </si>
  <si>
    <t>당</t>
  </si>
  <si>
    <t>CHK</t>
  </si>
  <si>
    <t>CYCLE</t>
  </si>
  <si>
    <t>FUNC</t>
  </si>
  <si>
    <t>합격</t>
  </si>
  <si>
    <t>PASS</t>
  </si>
  <si>
    <t>Pass</t>
  </si>
  <si>
    <t>합계</t>
  </si>
  <si>
    <t>SUM</t>
  </si>
  <si>
    <t>CLBR</t>
  </si>
  <si>
    <t>항목</t>
  </si>
  <si>
    <t>ITEM</t>
  </si>
  <si>
    <t>SLTN</t>
  </si>
  <si>
    <t>해당</t>
  </si>
  <si>
    <t>Relevant</t>
  </si>
  <si>
    <t>CLSG</t>
  </si>
  <si>
    <t>ABR</t>
  </si>
  <si>
    <t>해제</t>
  </si>
  <si>
    <t>해지</t>
  </si>
  <si>
    <t>CLS</t>
  </si>
  <si>
    <t>처리</t>
    <phoneticPr fontId="1" type="noConversion"/>
  </si>
  <si>
    <t>화면</t>
    <phoneticPr fontId="1" type="noConversion"/>
  </si>
  <si>
    <t>OCT</t>
  </si>
  <si>
    <t>13월</t>
  </si>
  <si>
    <t>NJAN</t>
  </si>
  <si>
    <t>14월</t>
  </si>
  <si>
    <t>NFEB</t>
  </si>
  <si>
    <t>FEINSR</t>
  </si>
  <si>
    <t>APR</t>
  </si>
  <si>
    <t>AUG</t>
  </si>
  <si>
    <t>A4</t>
  </si>
  <si>
    <t>ATC</t>
  </si>
  <si>
    <t>BBS</t>
  </si>
  <si>
    <t>CCTV</t>
  </si>
  <si>
    <t>DNA</t>
  </si>
  <si>
    <t>FCL</t>
  </si>
  <si>
    <t>HELPDESK</t>
  </si>
  <si>
    <t>HLPDSK</t>
  </si>
  <si>
    <t>LSD</t>
  </si>
  <si>
    <t>pdf</t>
  </si>
  <si>
    <t>PPM</t>
  </si>
  <si>
    <t>RFID</t>
  </si>
  <si>
    <t>RGB</t>
  </si>
  <si>
    <t>SNS</t>
  </si>
  <si>
    <t>SSO</t>
  </si>
  <si>
    <t>WIDTH</t>
  </si>
  <si>
    <t>MEDICAL TREATMENT</t>
  </si>
  <si>
    <t>PRN</t>
  </si>
  <si>
    <t>가정</t>
  </si>
  <si>
    <t>VALU</t>
  </si>
  <si>
    <t>가해</t>
  </si>
  <si>
    <t>가해자</t>
  </si>
  <si>
    <t>간염</t>
  </si>
  <si>
    <t>INDRT</t>
  </si>
  <si>
    <t>간질</t>
  </si>
  <si>
    <t>간호</t>
  </si>
  <si>
    <t>NRS</t>
  </si>
  <si>
    <t>간호사</t>
  </si>
  <si>
    <t>간호조무사</t>
  </si>
  <si>
    <t>NSAID</t>
  </si>
  <si>
    <t>MNG</t>
  </si>
  <si>
    <t>DCRS</t>
  </si>
  <si>
    <t>감염</t>
  </si>
  <si>
    <t>INFECTION</t>
  </si>
  <si>
    <t>INFC</t>
  </si>
  <si>
    <t>IN</t>
  </si>
  <si>
    <t>OPENING</t>
  </si>
  <si>
    <t>DVLPR</t>
  </si>
  <si>
    <t>개방</t>
  </si>
  <si>
    <t>REPAIR</t>
  </si>
  <si>
    <t>개산원가</t>
  </si>
  <si>
    <t>BRFPR</t>
  </si>
  <si>
    <t>ESTBL</t>
  </si>
  <si>
    <t>OPBIZ</t>
  </si>
  <si>
    <t>개인식별번호</t>
  </si>
  <si>
    <t>개인정보</t>
  </si>
  <si>
    <t>개입</t>
  </si>
  <si>
    <t>INTRVN</t>
  </si>
  <si>
    <t>OPT</t>
  </si>
  <si>
    <t>OBJECT</t>
  </si>
  <si>
    <t>UPDT</t>
  </si>
  <si>
    <t>DCNT</t>
  </si>
  <si>
    <t>RESDNC</t>
  </si>
  <si>
    <t>건물번호</t>
  </si>
  <si>
    <t>검사자</t>
  </si>
  <si>
    <t>SEARCH</t>
  </si>
  <si>
    <t>검수</t>
  </si>
  <si>
    <t>검정</t>
  </si>
  <si>
    <t>NTCE</t>
  </si>
  <si>
    <t>게이트키퍼</t>
  </si>
  <si>
    <t>GTPR</t>
  </si>
  <si>
    <t>ORGANIZATION</t>
  </si>
  <si>
    <t>결핵</t>
  </si>
  <si>
    <t>겸임</t>
  </si>
  <si>
    <t>GUARD</t>
  </si>
  <si>
    <t>경비원</t>
  </si>
  <si>
    <t>SITUATION</t>
  </si>
  <si>
    <t>SCSN</t>
  </si>
  <si>
    <t>CNTTK</t>
  </si>
  <si>
    <t>ACCOUNT</t>
  </si>
  <si>
    <t>SOCIAL STRATUM</t>
  </si>
  <si>
    <t>고</t>
  </si>
  <si>
    <t>HGH</t>
  </si>
  <si>
    <t>EMPLYM</t>
  </si>
  <si>
    <t>ESNTL</t>
  </si>
  <si>
    <t>PAIN</t>
  </si>
  <si>
    <t>고혈압</t>
  </si>
  <si>
    <t>공급관</t>
  </si>
  <si>
    <t>PBSVNT</t>
  </si>
  <si>
    <t>공문서</t>
  </si>
  <si>
    <t>OFLDC</t>
  </si>
  <si>
    <t>STUDY</t>
  </si>
  <si>
    <t>공상</t>
  </si>
  <si>
    <t>HLDY</t>
  </si>
  <si>
    <t>HOLIDAY</t>
  </si>
  <si>
    <t>WHTHRC</t>
  </si>
  <si>
    <t>OBSERVATION</t>
  </si>
  <si>
    <t>DIRECTION</t>
  </si>
  <si>
    <t>SOT</t>
  </si>
  <si>
    <t>교류</t>
  </si>
  <si>
    <t>EXCHG</t>
  </si>
  <si>
    <t>TRE</t>
  </si>
  <si>
    <t>교사</t>
  </si>
  <si>
    <t>STDNT</t>
  </si>
  <si>
    <t>교육자</t>
  </si>
  <si>
    <t>구강</t>
  </si>
  <si>
    <t>구급차</t>
  </si>
  <si>
    <t>SE</t>
  </si>
  <si>
    <t>STRCT</t>
  </si>
  <si>
    <t>CNSTC</t>
  </si>
  <si>
    <t>NPN</t>
  </si>
  <si>
    <t>국번</t>
  </si>
  <si>
    <t>TELEPHONE OFFICE NUMBER</t>
  </si>
  <si>
    <t>국비</t>
  </si>
  <si>
    <t>NLTY</t>
  </si>
  <si>
    <t>ARMY</t>
  </si>
  <si>
    <t>SSN</t>
  </si>
  <si>
    <t>VLM</t>
  </si>
  <si>
    <t>권고</t>
  </si>
  <si>
    <t>PRGN</t>
  </si>
  <si>
    <t>STNDRD</t>
  </si>
  <si>
    <t>SCALE</t>
  </si>
  <si>
    <t>GERM</t>
  </si>
  <si>
    <t>LABOR</t>
  </si>
  <si>
    <t>LABRR</t>
  </si>
  <si>
    <t>근무자</t>
  </si>
  <si>
    <t>근육</t>
  </si>
  <si>
    <t>MUSCL</t>
  </si>
  <si>
    <t>FONT</t>
  </si>
  <si>
    <t>WRTER</t>
  </si>
  <si>
    <t>금기</t>
  </si>
  <si>
    <t>THSYR</t>
  </si>
  <si>
    <t>METAL</t>
  </si>
  <si>
    <t>금연</t>
  </si>
  <si>
    <t>THSMON</t>
  </si>
  <si>
    <t>TODAY</t>
  </si>
  <si>
    <t>PERIOD</t>
  </si>
  <si>
    <t>FP</t>
  </si>
  <si>
    <t>기능직</t>
  </si>
  <si>
    <t>MV</t>
  </si>
  <si>
    <t>RECORD</t>
  </si>
  <si>
    <t>RCORD</t>
  </si>
  <si>
    <t>DCRY</t>
  </si>
  <si>
    <t>FND</t>
  </si>
  <si>
    <t>TA</t>
  </si>
  <si>
    <t>SYMBOL</t>
  </si>
  <si>
    <t>LT</t>
  </si>
  <si>
    <t>남녀</t>
  </si>
  <si>
    <t>남성</t>
  </si>
  <si>
    <t>남용</t>
  </si>
  <si>
    <t>ABUSE</t>
  </si>
  <si>
    <t>PAYER</t>
  </si>
  <si>
    <t>내과</t>
  </si>
  <si>
    <t>INTERNAL MEDICINE</t>
  </si>
  <si>
    <t>CN</t>
  </si>
  <si>
    <t>냄새</t>
  </si>
  <si>
    <t>냉동</t>
  </si>
  <si>
    <t>년월일</t>
  </si>
  <si>
    <t>노무</t>
  </si>
  <si>
    <t>EXPSR</t>
  </si>
  <si>
    <t>DSCSN</t>
  </si>
  <si>
    <t>AGRI</t>
  </si>
  <si>
    <t>농업</t>
  </si>
  <si>
    <t>높이</t>
  </si>
  <si>
    <t>HEIGHT</t>
  </si>
  <si>
    <t>HG</t>
  </si>
  <si>
    <t>MLTTD</t>
  </si>
  <si>
    <t>UNTPC</t>
  </si>
  <si>
    <t>SRTPD</t>
  </si>
  <si>
    <t>TRAINING</t>
  </si>
  <si>
    <t>TERMINAL</t>
  </si>
  <si>
    <t>달성도</t>
  </si>
  <si>
    <t>담당관</t>
  </si>
  <si>
    <t>OCLHG</t>
  </si>
  <si>
    <t>답안</t>
  </si>
  <si>
    <t>ASWPER</t>
  </si>
  <si>
    <t>THSTRM</t>
  </si>
  <si>
    <t>당뇨</t>
  </si>
  <si>
    <t>대</t>
  </si>
  <si>
    <t>LRGE</t>
  </si>
  <si>
    <t>LCLAS</t>
  </si>
  <si>
    <t>MEMBER</t>
  </si>
  <si>
    <t>대장암</t>
  </si>
  <si>
    <t>대중매체</t>
  </si>
  <si>
    <t>MSMDA</t>
  </si>
  <si>
    <t>REP</t>
  </si>
  <si>
    <t>댓글</t>
  </si>
  <si>
    <t>덮개</t>
  </si>
  <si>
    <t>COVER</t>
  </si>
  <si>
    <t>DELTA</t>
  </si>
  <si>
    <t>도구</t>
  </si>
  <si>
    <t>UNT</t>
  </si>
  <si>
    <t>DOMN</t>
  </si>
  <si>
    <t>ISLANDS</t>
  </si>
  <si>
    <t>도서벽지</t>
  </si>
  <si>
    <t>IDSRTS</t>
  </si>
  <si>
    <t>CTY</t>
  </si>
  <si>
    <t>CTRT</t>
  </si>
  <si>
    <t>ASSTN</t>
  </si>
  <si>
    <t>READ</t>
  </si>
  <si>
    <t>ACCOMPANY</t>
  </si>
  <si>
    <t>WRTCNS</t>
  </si>
  <si>
    <t>SYNONM</t>
  </si>
  <si>
    <t>두께</t>
  </si>
  <si>
    <t>THICK</t>
  </si>
  <si>
    <t>DRIVER</t>
  </si>
  <si>
    <t>SNO</t>
  </si>
  <si>
    <t>디스플레이</t>
  </si>
  <si>
    <t>량</t>
  </si>
  <si>
    <t>LOCAL</t>
  </si>
  <si>
    <t>률</t>
  </si>
  <si>
    <t>마을</t>
  </si>
  <si>
    <t>마취</t>
  </si>
  <si>
    <t>만성질환</t>
  </si>
  <si>
    <t>CLEAR</t>
  </si>
  <si>
    <t>CLR</t>
  </si>
  <si>
    <t>MNA</t>
  </si>
  <si>
    <t>MAPNG</t>
  </si>
  <si>
    <t>맥박</t>
  </si>
  <si>
    <t>PULSE</t>
  </si>
  <si>
    <t>MAJOR</t>
  </si>
  <si>
    <t>ITRVW</t>
  </si>
  <si>
    <t>면역</t>
  </si>
  <si>
    <t>IMMU</t>
  </si>
  <si>
    <t>명령어</t>
  </si>
  <si>
    <t>명절</t>
  </si>
  <si>
    <t>명칭</t>
  </si>
  <si>
    <t>MODEL</t>
  </si>
  <si>
    <t>MODULE</t>
  </si>
  <si>
    <t>MOBILE</t>
  </si>
  <si>
    <t>SHAPE</t>
  </si>
  <si>
    <t>모유</t>
  </si>
  <si>
    <t>MOTHER'S MILK</t>
  </si>
  <si>
    <t>모자보건사업</t>
  </si>
  <si>
    <t>MLDTB</t>
  </si>
  <si>
    <t>모자보건요원</t>
  </si>
  <si>
    <t>MHRLD</t>
  </si>
  <si>
    <t>목격자</t>
  </si>
  <si>
    <t>목욕</t>
  </si>
  <si>
    <t>BATH</t>
  </si>
  <si>
    <t>BODY</t>
  </si>
  <si>
    <t>WEIGHT</t>
  </si>
  <si>
    <t>WT</t>
  </si>
  <si>
    <t>무기</t>
  </si>
  <si>
    <t>INQRY</t>
  </si>
  <si>
    <t>REFERENCE</t>
  </si>
  <si>
    <t>QUESTION</t>
  </si>
  <si>
    <t>미리보기</t>
  </si>
  <si>
    <t>BELO</t>
  </si>
  <si>
    <t>미상</t>
  </si>
  <si>
    <t>CHILD</t>
  </si>
  <si>
    <t>미숙아</t>
  </si>
  <si>
    <t>UNCNFRM</t>
  </si>
  <si>
    <t>ND</t>
  </si>
  <si>
    <t>반</t>
  </si>
  <si>
    <t>반품</t>
  </si>
  <si>
    <t>발병</t>
  </si>
  <si>
    <t>SNDNG</t>
  </si>
  <si>
    <t>발송자</t>
  </si>
  <si>
    <t>DSPTCH</t>
  </si>
  <si>
    <t>방사선</t>
  </si>
  <si>
    <t>방역</t>
  </si>
  <si>
    <t>배변</t>
  </si>
  <si>
    <t>배아</t>
  </si>
  <si>
    <t>배양</t>
  </si>
  <si>
    <t>ALLOT</t>
  </si>
  <si>
    <t>PT</t>
  </si>
  <si>
    <t>백신</t>
  </si>
  <si>
    <t>DEM</t>
  </si>
  <si>
    <t>CTGRY</t>
  </si>
  <si>
    <t>INF</t>
  </si>
  <si>
    <t>법정리</t>
  </si>
  <si>
    <t>RSDC</t>
  </si>
  <si>
    <t>변이</t>
  </si>
  <si>
    <t>MUTAT</t>
  </si>
  <si>
    <t>별</t>
  </si>
  <si>
    <t>병동</t>
  </si>
  <si>
    <t>WARD</t>
  </si>
  <si>
    <t>병력</t>
  </si>
  <si>
    <t>병리</t>
  </si>
  <si>
    <t>병상</t>
  </si>
  <si>
    <t>병실</t>
  </si>
  <si>
    <t>보건</t>
  </si>
  <si>
    <t>보건복지부</t>
  </si>
  <si>
    <t>MOHW</t>
  </si>
  <si>
    <t>PHMST</t>
  </si>
  <si>
    <t>보건진료소</t>
  </si>
  <si>
    <t>EXAMPLE</t>
  </si>
  <si>
    <t>EX</t>
  </si>
  <si>
    <t>SPLEMNT</t>
  </si>
  <si>
    <t>CORETON</t>
  </si>
  <si>
    <t>보직</t>
  </si>
  <si>
    <t>APPNT</t>
  </si>
  <si>
    <t>SUPLE</t>
  </si>
  <si>
    <t>보험자</t>
  </si>
  <si>
    <t>SERVICE</t>
  </si>
  <si>
    <t>본적지</t>
  </si>
  <si>
    <t>부</t>
  </si>
  <si>
    <t>VALUE ADDED TAX</t>
  </si>
  <si>
    <t>SUPPORT</t>
  </si>
  <si>
    <t>부위</t>
  </si>
  <si>
    <t>부작용</t>
  </si>
  <si>
    <t>SDEFCT</t>
  </si>
  <si>
    <t>ASN</t>
  </si>
  <si>
    <t>NK</t>
  </si>
  <si>
    <t>북한</t>
  </si>
  <si>
    <t>북한이탈주민</t>
  </si>
  <si>
    <t>분가</t>
  </si>
  <si>
    <t>BNHL</t>
  </si>
  <si>
    <t>QU</t>
  </si>
  <si>
    <t>SHARE</t>
  </si>
  <si>
    <t>분량</t>
  </si>
  <si>
    <t>QNT</t>
  </si>
  <si>
    <t>분만</t>
  </si>
  <si>
    <t>불소</t>
  </si>
  <si>
    <t>DISUSE</t>
  </si>
  <si>
    <t>VIEW</t>
  </si>
  <si>
    <t>BROWSER</t>
  </si>
  <si>
    <t>CT</t>
  </si>
  <si>
    <t>비만</t>
  </si>
  <si>
    <t>PASSWORD</t>
  </si>
  <si>
    <t>비정규직</t>
  </si>
  <si>
    <t>FQ</t>
  </si>
  <si>
    <t>빈혈</t>
  </si>
  <si>
    <t>ANEMIA</t>
  </si>
  <si>
    <t>ACDNT</t>
  </si>
  <si>
    <t>사무원</t>
  </si>
  <si>
    <t>사산</t>
  </si>
  <si>
    <t>SPEC</t>
  </si>
  <si>
    <t>사용량</t>
  </si>
  <si>
    <t>EMPLYR</t>
  </si>
  <si>
    <t>CYBER</t>
  </si>
  <si>
    <t>PHOTO</t>
  </si>
  <si>
    <t>삭감</t>
  </si>
  <si>
    <t>산</t>
  </si>
  <si>
    <t>산모</t>
  </si>
  <si>
    <t>MTLNBR</t>
  </si>
  <si>
    <t>INCLS</t>
  </si>
  <si>
    <t>산재</t>
  </si>
  <si>
    <t>LF</t>
  </si>
  <si>
    <t>THIRD</t>
  </si>
  <si>
    <t>상</t>
  </si>
  <si>
    <t>상근</t>
  </si>
  <si>
    <t>FTE</t>
  </si>
  <si>
    <t>상담사</t>
  </si>
  <si>
    <t>FRFTR</t>
  </si>
  <si>
    <t>SENIOR</t>
  </si>
  <si>
    <t>SNR</t>
  </si>
  <si>
    <t>LST</t>
  </si>
  <si>
    <t>STTUS</t>
  </si>
  <si>
    <t>STNG</t>
  </si>
  <si>
    <t>HHLW</t>
  </si>
  <si>
    <t>생애</t>
  </si>
  <si>
    <t>LFE</t>
  </si>
  <si>
    <t>STM</t>
  </si>
  <si>
    <t>서명인</t>
  </si>
  <si>
    <t>SERVER</t>
  </si>
  <si>
    <t>SVC</t>
  </si>
  <si>
    <t>FORMAT</t>
  </si>
  <si>
    <t>LETTER</t>
  </si>
  <si>
    <t>ORD</t>
  </si>
  <si>
    <t>MASTER</t>
  </si>
  <si>
    <t>선</t>
  </si>
  <si>
    <t>EST</t>
  </si>
  <si>
    <t>선별</t>
  </si>
  <si>
    <t>SPL</t>
  </si>
  <si>
    <t>MSTR</t>
  </si>
  <si>
    <t>SLCTN</t>
  </si>
  <si>
    <t>선천성이상아</t>
  </si>
  <si>
    <t>LSN</t>
  </si>
  <si>
    <t>섭취</t>
  </si>
  <si>
    <t>INTAKE</t>
  </si>
  <si>
    <t>성립</t>
  </si>
  <si>
    <t>성병</t>
  </si>
  <si>
    <t>성분</t>
  </si>
  <si>
    <t>SCRE</t>
  </si>
  <si>
    <t>CEN</t>
  </si>
  <si>
    <t>세균성</t>
  </si>
  <si>
    <t>세미나</t>
  </si>
  <si>
    <t>ANEXPTR</t>
  </si>
  <si>
    <t>소</t>
  </si>
  <si>
    <t>SMALL</t>
  </si>
  <si>
    <t>소견</t>
  </si>
  <si>
    <t>소독</t>
  </si>
  <si>
    <t>INDCT</t>
  </si>
  <si>
    <t>소모</t>
  </si>
  <si>
    <t>SCLAS</t>
  </si>
  <si>
    <t>소아</t>
  </si>
  <si>
    <t>소장</t>
  </si>
  <si>
    <t>수가</t>
  </si>
  <si>
    <t>수검</t>
  </si>
  <si>
    <t>MEAN</t>
  </si>
  <si>
    <t>WRT</t>
  </si>
  <si>
    <t>RCM</t>
  </si>
  <si>
    <t>수유</t>
  </si>
  <si>
    <t>수정자</t>
  </si>
  <si>
    <t>수혈</t>
  </si>
  <si>
    <t>SN</t>
  </si>
  <si>
    <t>순회</t>
  </si>
  <si>
    <t>RND</t>
  </si>
  <si>
    <t>HIDE</t>
  </si>
  <si>
    <t>SKIN</t>
  </si>
  <si>
    <t>습관</t>
  </si>
  <si>
    <t>HABIT</t>
  </si>
  <si>
    <t>HD</t>
  </si>
  <si>
    <t>시</t>
  </si>
  <si>
    <t>ERA</t>
  </si>
  <si>
    <t>EXMPL</t>
  </si>
  <si>
    <t>HM</t>
  </si>
  <si>
    <t>SYSTEM</t>
  </si>
  <si>
    <t>식</t>
  </si>
  <si>
    <t>DIET</t>
  </si>
  <si>
    <t>IDENTIFICATION</t>
  </si>
  <si>
    <t>식사</t>
  </si>
  <si>
    <t>MEAL</t>
  </si>
  <si>
    <t>신경</t>
  </si>
  <si>
    <t>NERV</t>
  </si>
  <si>
    <t>APLCNT</t>
  </si>
  <si>
    <t>신고자</t>
  </si>
  <si>
    <t>신발</t>
  </si>
  <si>
    <t>신생아</t>
  </si>
  <si>
    <t>신설</t>
  </si>
  <si>
    <t>신속</t>
  </si>
  <si>
    <t>IDNTY</t>
  </si>
  <si>
    <t>신청자</t>
  </si>
  <si>
    <t>실기</t>
  </si>
  <si>
    <t>REAL NAME</t>
  </si>
  <si>
    <t>심각</t>
  </si>
  <si>
    <t>SERIUS</t>
  </si>
  <si>
    <t>심결</t>
  </si>
  <si>
    <t>심장</t>
  </si>
  <si>
    <t>HEART</t>
  </si>
  <si>
    <t>아교</t>
  </si>
  <si>
    <t>GLUE</t>
  </si>
  <si>
    <t>아동</t>
  </si>
  <si>
    <t>OUT</t>
  </si>
  <si>
    <t>ITM</t>
  </si>
  <si>
    <t>안전</t>
  </si>
  <si>
    <t>알레르기</t>
  </si>
  <si>
    <t>ALLRGY</t>
  </si>
  <si>
    <t>알코올</t>
  </si>
  <si>
    <t>암</t>
  </si>
  <si>
    <t>SZR</t>
  </si>
  <si>
    <t>약국</t>
  </si>
  <si>
    <t>약사</t>
  </si>
  <si>
    <t>약제</t>
  </si>
  <si>
    <t>MEDICINE</t>
  </si>
  <si>
    <t>TRANSFER</t>
  </si>
  <si>
    <t>FORM</t>
  </si>
  <si>
    <t>어깨</t>
  </si>
  <si>
    <t>SHLDR</t>
  </si>
  <si>
    <t>FST</t>
  </si>
  <si>
    <t>UPLOAD</t>
  </si>
  <si>
    <t>BR</t>
  </si>
  <si>
    <t>DSCNT</t>
  </si>
  <si>
    <t>에이즈</t>
  </si>
  <si>
    <t>AIDS</t>
  </si>
  <si>
    <t>EXCEL</t>
  </si>
  <si>
    <t>EML</t>
  </si>
  <si>
    <t>여권번호</t>
  </si>
  <si>
    <t>AT</t>
  </si>
  <si>
    <t>역량</t>
  </si>
  <si>
    <t>ROLE</t>
  </si>
  <si>
    <t>연고자</t>
  </si>
  <si>
    <t>ENG</t>
  </si>
  <si>
    <t>영상</t>
  </si>
  <si>
    <t>영아</t>
  </si>
  <si>
    <t>영양</t>
  </si>
  <si>
    <t>NTR</t>
  </si>
  <si>
    <t>영양사</t>
  </si>
  <si>
    <t>영유아</t>
  </si>
  <si>
    <t>INFANT</t>
  </si>
  <si>
    <t>RCPTN</t>
  </si>
  <si>
    <t>DPSTR</t>
  </si>
  <si>
    <t>BANKBOOK</t>
  </si>
  <si>
    <t>PREVNT</t>
  </si>
  <si>
    <t>OVER</t>
  </si>
  <si>
    <t>STTY</t>
  </si>
  <si>
    <t>온도</t>
  </si>
  <si>
    <t>완전</t>
  </si>
  <si>
    <t>외</t>
  </si>
  <si>
    <t>ELSE</t>
  </si>
  <si>
    <t>외과</t>
  </si>
  <si>
    <t>FRGNR</t>
  </si>
  <si>
    <t>외국인등록번호</t>
  </si>
  <si>
    <t>외래</t>
  </si>
  <si>
    <t>OUTPATIENT</t>
  </si>
  <si>
    <t>요양</t>
  </si>
  <si>
    <t>요업</t>
  </si>
  <si>
    <t>CCTY</t>
  </si>
  <si>
    <t>요원</t>
  </si>
  <si>
    <t>욕구</t>
  </si>
  <si>
    <t>용법</t>
  </si>
  <si>
    <t>PSTOFC</t>
  </si>
  <si>
    <t>ZIP</t>
  </si>
  <si>
    <t>운동</t>
  </si>
  <si>
    <t>DRV</t>
  </si>
  <si>
    <t>WON</t>
  </si>
  <si>
    <t>위생</t>
  </si>
  <si>
    <t>위촉</t>
  </si>
  <si>
    <t>ENTRST</t>
  </si>
  <si>
    <t>윈도우</t>
  </si>
  <si>
    <t>유관</t>
  </si>
  <si>
    <t>유료</t>
  </si>
  <si>
    <t>유산</t>
  </si>
  <si>
    <t>INFNT</t>
  </si>
  <si>
    <t>유일</t>
  </si>
  <si>
    <t>육아</t>
  </si>
  <si>
    <t>VOICE</t>
  </si>
  <si>
    <t>FD</t>
  </si>
  <si>
    <t>음주</t>
  </si>
  <si>
    <t>응급</t>
  </si>
  <si>
    <t>응급실</t>
  </si>
  <si>
    <t>RSPNS</t>
  </si>
  <si>
    <t>EXMNE</t>
  </si>
  <si>
    <t>MEDICAL CARE</t>
  </si>
  <si>
    <t>의료기관</t>
  </si>
  <si>
    <t>MDLCNST</t>
  </si>
  <si>
    <t>의식</t>
  </si>
  <si>
    <t>의약분업</t>
  </si>
  <si>
    <t>의약품</t>
  </si>
  <si>
    <t>의원</t>
  </si>
  <si>
    <t>DNG</t>
  </si>
  <si>
    <t>의학</t>
  </si>
  <si>
    <t>이</t>
  </si>
  <si>
    <t>TW</t>
  </si>
  <si>
    <t>TRNSF</t>
  </si>
  <si>
    <t>이용자</t>
  </si>
  <si>
    <t>MPS</t>
  </si>
  <si>
    <t>AFTER</t>
  </si>
  <si>
    <t>인공</t>
  </si>
  <si>
    <t>ARTIF</t>
  </si>
  <si>
    <t>인당</t>
  </si>
  <si>
    <t>PSNBY</t>
  </si>
  <si>
    <t>인력</t>
  </si>
  <si>
    <t>HR</t>
  </si>
  <si>
    <t>PRINTER</t>
  </si>
  <si>
    <t>PRNTR</t>
  </si>
  <si>
    <t>ON</t>
  </si>
  <si>
    <t>DIARY</t>
  </si>
  <si>
    <t>임산부</t>
  </si>
  <si>
    <t>임상</t>
  </si>
  <si>
    <t>TMPR</t>
  </si>
  <si>
    <t>임신</t>
  </si>
  <si>
    <t>임용</t>
  </si>
  <si>
    <t>EMPLMN</t>
  </si>
  <si>
    <t>HIRE</t>
  </si>
  <si>
    <t>ENTSCH</t>
  </si>
  <si>
    <t>입국</t>
  </si>
  <si>
    <t>입력자</t>
  </si>
  <si>
    <t>ECNY</t>
  </si>
  <si>
    <t>입소</t>
  </si>
  <si>
    <t>DFT</t>
  </si>
  <si>
    <t>자궁</t>
  </si>
  <si>
    <t>CNSUT</t>
  </si>
  <si>
    <t>자살</t>
  </si>
  <si>
    <t>자연</t>
  </si>
  <si>
    <t>자활</t>
  </si>
  <si>
    <t>작성자</t>
  </si>
  <si>
    <t>장</t>
  </si>
  <si>
    <t>PLACE</t>
  </si>
  <si>
    <t>LGN</t>
  </si>
  <si>
    <t>FNRSC</t>
  </si>
  <si>
    <t>저</t>
  </si>
  <si>
    <t>LOW</t>
  </si>
  <si>
    <t>저자</t>
  </si>
  <si>
    <t>적기</t>
  </si>
  <si>
    <t>적발</t>
  </si>
  <si>
    <t>적응</t>
  </si>
  <si>
    <t>ADAPT</t>
  </si>
  <si>
    <t>STBLT</t>
  </si>
  <si>
    <t>전</t>
  </si>
  <si>
    <t>EM</t>
  </si>
  <si>
    <t>전광판</t>
  </si>
  <si>
    <t>STRTGY</t>
  </si>
  <si>
    <t>ALL</t>
  </si>
  <si>
    <t>TRAN</t>
  </si>
  <si>
    <t>PREDECESSOR</t>
  </si>
  <si>
    <t>CHIT</t>
  </si>
  <si>
    <t>TELNO</t>
  </si>
  <si>
    <t>POINT</t>
  </si>
  <si>
    <t>CHCK</t>
  </si>
  <si>
    <t>점심</t>
  </si>
  <si>
    <t>LUNCH</t>
  </si>
  <si>
    <t>접두어</t>
  </si>
  <si>
    <t>PREFIX</t>
  </si>
  <si>
    <t>SUFFIX</t>
  </si>
  <si>
    <t>접미어</t>
  </si>
  <si>
    <t>접종</t>
  </si>
  <si>
    <t>GRND</t>
  </si>
  <si>
    <t>정</t>
  </si>
  <si>
    <t>정근</t>
  </si>
  <si>
    <t>SORT</t>
  </si>
  <si>
    <t>TRAY</t>
  </si>
  <si>
    <t>INFRM</t>
  </si>
  <si>
    <t>정서</t>
  </si>
  <si>
    <t>정신</t>
  </si>
  <si>
    <t>정자</t>
  </si>
  <si>
    <t>제적</t>
  </si>
  <si>
    <t>MEDICATION</t>
  </si>
  <si>
    <t>조</t>
  </si>
  <si>
    <t>조례</t>
  </si>
  <si>
    <t>MCLNC</t>
  </si>
  <si>
    <t>COOK</t>
  </si>
  <si>
    <t>EXMNR</t>
  </si>
  <si>
    <t>조산</t>
  </si>
  <si>
    <t>조산원</t>
  </si>
  <si>
    <t>조절</t>
  </si>
  <si>
    <t>MDTR</t>
  </si>
  <si>
    <t>조항</t>
  </si>
  <si>
    <t>EXISTENCE</t>
  </si>
  <si>
    <t>존폐</t>
  </si>
  <si>
    <t>MAINTENANCE OR ABOLITION</t>
  </si>
  <si>
    <t>GRDTN</t>
  </si>
  <si>
    <t>ED</t>
  </si>
  <si>
    <t>KND</t>
  </si>
  <si>
    <t>GNRLZ</t>
  </si>
  <si>
    <t>종합부동산세</t>
  </si>
  <si>
    <t>좌</t>
  </si>
  <si>
    <t>좌우</t>
  </si>
  <si>
    <t>WEEK</t>
  </si>
  <si>
    <t>주관식</t>
  </si>
  <si>
    <t>주사</t>
  </si>
  <si>
    <t>주치의</t>
  </si>
  <si>
    <t>PHTCHRG</t>
  </si>
  <si>
    <t>준용</t>
  </si>
  <si>
    <t>SML</t>
  </si>
  <si>
    <t>중</t>
  </si>
  <si>
    <t>중독</t>
  </si>
  <si>
    <t>SCH</t>
  </si>
  <si>
    <t>중량</t>
  </si>
  <si>
    <t>중증</t>
  </si>
  <si>
    <t>PRUF</t>
  </si>
  <si>
    <t>증상</t>
  </si>
  <si>
    <t>PAPR</t>
  </si>
  <si>
    <t>DSTRC</t>
  </si>
  <si>
    <t>PYMNT</t>
  </si>
  <si>
    <t>지번</t>
  </si>
  <si>
    <t>지정서</t>
  </si>
  <si>
    <t>IX</t>
  </si>
  <si>
    <t>CMND</t>
  </si>
  <si>
    <t>WRC</t>
  </si>
  <si>
    <t>진료</t>
  </si>
  <si>
    <t>CLNC</t>
  </si>
  <si>
    <t>질</t>
  </si>
  <si>
    <t>질량</t>
  </si>
  <si>
    <t>질환</t>
  </si>
  <si>
    <t>CNCTR</t>
  </si>
  <si>
    <t>집합건물</t>
  </si>
  <si>
    <t>MEETING</t>
  </si>
  <si>
    <t>LEV</t>
  </si>
  <si>
    <t>SD</t>
  </si>
  <si>
    <t>DDCT</t>
  </si>
  <si>
    <t>VIN</t>
  </si>
  <si>
    <t>GRD</t>
  </si>
  <si>
    <t>SEHIGH</t>
  </si>
  <si>
    <t>AIM</t>
  </si>
  <si>
    <t>착용</t>
  </si>
  <si>
    <t>WEAR</t>
  </si>
  <si>
    <t>참고</t>
  </si>
  <si>
    <t>창고</t>
  </si>
  <si>
    <t>FNDTN</t>
  </si>
  <si>
    <t>채취</t>
  </si>
  <si>
    <t>채혈</t>
  </si>
  <si>
    <t>RESPONSIBILITY</t>
  </si>
  <si>
    <t>처방</t>
  </si>
  <si>
    <t>DSPS</t>
  </si>
  <si>
    <t>TREATMENT</t>
  </si>
  <si>
    <t>ABL</t>
  </si>
  <si>
    <t>청각</t>
  </si>
  <si>
    <t>체온</t>
  </si>
  <si>
    <t>체위</t>
  </si>
  <si>
    <t>체중</t>
  </si>
  <si>
    <t>체크리스트</t>
  </si>
  <si>
    <t>CHKLST</t>
  </si>
  <si>
    <t>체험</t>
  </si>
  <si>
    <t>초</t>
  </si>
  <si>
    <t>초음파</t>
  </si>
  <si>
    <t>총금액</t>
  </si>
  <si>
    <t>총무</t>
  </si>
  <si>
    <t>촬영</t>
  </si>
  <si>
    <t>TOP</t>
  </si>
  <si>
    <t>LWET</t>
  </si>
  <si>
    <t>추구</t>
  </si>
  <si>
    <t>CNFRM</t>
  </si>
  <si>
    <t>PRESUMPTION</t>
  </si>
  <si>
    <t>축약</t>
  </si>
  <si>
    <t>MESR</t>
  </si>
  <si>
    <t>치과</t>
  </si>
  <si>
    <t>치매</t>
  </si>
  <si>
    <t>치아</t>
  </si>
  <si>
    <t>TOOTH</t>
  </si>
  <si>
    <t>카테고리</t>
  </si>
  <si>
    <t>COMMUNICATION</t>
  </si>
  <si>
    <t>KWRD</t>
  </si>
  <si>
    <t>TABL</t>
  </si>
  <si>
    <t>태도</t>
  </si>
  <si>
    <t>태아</t>
  </si>
  <si>
    <t>STATS</t>
  </si>
  <si>
    <t>COMMUNICATION NETWORK</t>
  </si>
  <si>
    <t>UNITY</t>
  </si>
  <si>
    <t>퇴사</t>
  </si>
  <si>
    <t>퇴원</t>
  </si>
  <si>
    <t>LEAV</t>
  </si>
  <si>
    <t>투약</t>
  </si>
  <si>
    <t>MDCT</t>
  </si>
  <si>
    <t>투여</t>
  </si>
  <si>
    <t>INPT</t>
  </si>
  <si>
    <t>EXCPT</t>
  </si>
  <si>
    <t>SPECIAL</t>
  </si>
  <si>
    <t>파기</t>
  </si>
  <si>
    <t>DCS</t>
  </si>
  <si>
    <t>판독</t>
  </si>
  <si>
    <t>INTPR</t>
  </si>
  <si>
    <t>EVL</t>
  </si>
  <si>
    <t>BLNC</t>
  </si>
  <si>
    <t>CLSBIZ</t>
  </si>
  <si>
    <t>CLMP</t>
  </si>
  <si>
    <t>PACKING</t>
  </si>
  <si>
    <t>PHM</t>
  </si>
  <si>
    <t>STD</t>
  </si>
  <si>
    <t>WD</t>
  </si>
  <si>
    <t>피부</t>
  </si>
  <si>
    <t>필름</t>
  </si>
  <si>
    <t>FILM</t>
  </si>
  <si>
    <t>NEED</t>
  </si>
  <si>
    <t>하</t>
  </si>
  <si>
    <t>FALL</t>
  </si>
  <si>
    <t>학대</t>
  </si>
  <si>
    <t>LRN</t>
  </si>
  <si>
    <t>LIMIT</t>
  </si>
  <si>
    <t>LMT</t>
  </si>
  <si>
    <t>한방</t>
  </si>
  <si>
    <t>한방전공의</t>
  </si>
  <si>
    <t>TOMAD</t>
  </si>
  <si>
    <t>한의사</t>
  </si>
  <si>
    <t>PRT</t>
  </si>
  <si>
    <t>해부</t>
  </si>
  <si>
    <t>행동</t>
  </si>
  <si>
    <t>행정처분</t>
  </si>
  <si>
    <t>허리</t>
  </si>
  <si>
    <t>WAIST</t>
  </si>
  <si>
    <t>NOW</t>
  </si>
  <si>
    <t>혈관</t>
  </si>
  <si>
    <t>혈압</t>
  </si>
  <si>
    <t>혈청</t>
  </si>
  <si>
    <t>SERUM</t>
  </si>
  <si>
    <t>BNEF</t>
  </si>
  <si>
    <t>호흡</t>
  </si>
  <si>
    <t>혼인</t>
  </si>
  <si>
    <t>MIXTR</t>
  </si>
  <si>
    <t>홍보</t>
  </si>
  <si>
    <t>BURN</t>
  </si>
  <si>
    <t>TOILET</t>
  </si>
  <si>
    <t>REFUND</t>
  </si>
  <si>
    <t>환자</t>
  </si>
  <si>
    <t>PATIENT</t>
  </si>
  <si>
    <t>ERY</t>
  </si>
  <si>
    <t>ACCNUT</t>
  </si>
  <si>
    <t>MTG</t>
  </si>
  <si>
    <t>EFFECT</t>
  </si>
  <si>
    <t>효능</t>
  </si>
  <si>
    <t>훈련</t>
  </si>
  <si>
    <t>VACATION</t>
  </si>
  <si>
    <t>SMOKING</t>
  </si>
  <si>
    <t>흡입</t>
  </si>
  <si>
    <t>희귀</t>
  </si>
  <si>
    <t>RARE</t>
  </si>
  <si>
    <t>VICTIM</t>
  </si>
  <si>
    <t>SCRN</t>
  </si>
  <si>
    <t>메인</t>
    <phoneticPr fontId="1" type="noConversion"/>
  </si>
  <si>
    <t>ADM</t>
  </si>
  <si>
    <t>PRI</t>
  </si>
  <si>
    <t>ENT</t>
  </si>
  <si>
    <t>DSE</t>
  </si>
  <si>
    <t>PBM</t>
  </si>
  <si>
    <t>TRA</t>
  </si>
  <si>
    <t>RFR</t>
  </si>
  <si>
    <t>APV</t>
  </si>
  <si>
    <t>PAS</t>
  </si>
  <si>
    <t>PTH</t>
  </si>
  <si>
    <t>NTN</t>
  </si>
  <si>
    <t>ABD</t>
  </si>
  <si>
    <t>MLT</t>
  </si>
  <si>
    <t>SPD</t>
  </si>
  <si>
    <t>TEC</t>
  </si>
  <si>
    <t>MID</t>
  </si>
  <si>
    <t>DLV</t>
  </si>
  <si>
    <t>년령</t>
  </si>
  <si>
    <t>YMD</t>
  </si>
  <si>
    <t>LAP</t>
  </si>
  <si>
    <t>LAB</t>
  </si>
  <si>
    <t>CAP</t>
  </si>
  <si>
    <t>DMG</t>
  </si>
  <si>
    <t>LAT</t>
  </si>
  <si>
    <t>TTB</t>
  </si>
  <si>
    <t>CMM</t>
  </si>
  <si>
    <t>ANS</t>
  </si>
  <si>
    <t>ARV</t>
  </si>
  <si>
    <t>RGN</t>
  </si>
  <si>
    <t>SEL</t>
  </si>
  <si>
    <t>EMM</t>
  </si>
  <si>
    <t>SUP</t>
  </si>
  <si>
    <t>DSR</t>
  </si>
  <si>
    <t>FORMULA</t>
  </si>
  <si>
    <t>CUT</t>
  </si>
  <si>
    <t>RPM</t>
  </si>
  <si>
    <t>HLD</t>
  </si>
  <si>
    <t>GRA</t>
  </si>
  <si>
    <t>WGT</t>
  </si>
  <si>
    <t>NOR</t>
  </si>
  <si>
    <t>PAT</t>
  </si>
  <si>
    <t>PNO</t>
  </si>
  <si>
    <t>DPT</t>
  </si>
  <si>
    <t>PIC</t>
  </si>
  <si>
    <t>PAR</t>
  </si>
  <si>
    <t>PWD</t>
  </si>
  <si>
    <t>ISC</t>
  </si>
  <si>
    <t>USR</t>
  </si>
  <si>
    <t>PRV</t>
  </si>
  <si>
    <t>AFTER THE FACT</t>
  </si>
  <si>
    <t>STS</t>
  </si>
  <si>
    <t>OTH</t>
  </si>
  <si>
    <t>POR</t>
  </si>
  <si>
    <t>DCL</t>
  </si>
  <si>
    <t>RCP</t>
  </si>
  <si>
    <t>APL</t>
  </si>
  <si>
    <t>TIM</t>
  </si>
  <si>
    <t>BGT</t>
  </si>
  <si>
    <t>TRU</t>
  </si>
  <si>
    <t>SYM</t>
  </si>
  <si>
    <t>ABB</t>
  </si>
  <si>
    <t>UH</t>
  </si>
  <si>
    <t>RSC</t>
  </si>
  <si>
    <t>HIS</t>
  </si>
  <si>
    <t>SMN</t>
  </si>
  <si>
    <t>CAU</t>
  </si>
  <si>
    <t>MDA</t>
  </si>
  <si>
    <t>REM</t>
  </si>
  <si>
    <t>DSG</t>
  </si>
  <si>
    <t>BEF</t>
  </si>
  <si>
    <t>AFT</t>
  </si>
  <si>
    <t>ITN</t>
  </si>
  <si>
    <t>DAY</t>
  </si>
  <si>
    <t>OSH</t>
  </si>
  <si>
    <t>SLF</t>
  </si>
  <si>
    <t>AUT</t>
  </si>
  <si>
    <t>AST</t>
  </si>
  <si>
    <t>PTR</t>
  </si>
  <si>
    <t>BF</t>
  </si>
  <si>
    <t>CVL</t>
  </si>
  <si>
    <t>RCD</t>
  </si>
  <si>
    <t>GOV</t>
  </si>
  <si>
    <t>QUIT</t>
  </si>
  <si>
    <t>TTL</t>
  </si>
  <si>
    <t>INO</t>
  </si>
  <si>
    <t>IVM</t>
  </si>
  <si>
    <t>MAT</t>
  </si>
  <si>
    <t>SBJ</t>
  </si>
  <si>
    <t>PMT</t>
  </si>
  <si>
    <t>NXT</t>
  </si>
  <si>
    <t>DUR</t>
  </si>
  <si>
    <t>ONR</t>
  </si>
  <si>
    <t>DRI</t>
  </si>
  <si>
    <t>출혈</t>
  </si>
  <si>
    <t>TRT</t>
  </si>
  <si>
    <t>GRASP</t>
  </si>
  <si>
    <t>FAT</t>
  </si>
  <si>
    <t>EVT</t>
  </si>
  <si>
    <t>PGM</t>
  </si>
  <si>
    <t>RLS</t>
  </si>
  <si>
    <t>HYS</t>
  </si>
  <si>
    <t>SPO</t>
  </si>
  <si>
    <t>CRE</t>
  </si>
  <si>
    <t>회</t>
  </si>
  <si>
    <t>후</t>
  </si>
  <si>
    <t>FULL</t>
  </si>
  <si>
    <t>NT</t>
  </si>
  <si>
    <t>흉위</t>
  </si>
  <si>
    <t>월급여</t>
  </si>
  <si>
    <t>프로그램명</t>
  </si>
  <si>
    <t>비고</t>
    <phoneticPr fontId="7" type="noConversion"/>
  </si>
  <si>
    <t>분류</t>
    <phoneticPr fontId="1" type="noConversion"/>
  </si>
  <si>
    <t>이름1</t>
  </si>
  <si>
    <t>이름2</t>
  </si>
  <si>
    <t>이름3</t>
  </si>
  <si>
    <t>이름4</t>
  </si>
  <si>
    <t>이름5</t>
  </si>
  <si>
    <t>이름6</t>
  </si>
  <si>
    <t>이름7</t>
  </si>
  <si>
    <t>이름8</t>
  </si>
  <si>
    <t>이름9</t>
  </si>
  <si>
    <t>이름10</t>
  </si>
  <si>
    <t>이름11</t>
  </si>
  <si>
    <t>이름12</t>
  </si>
  <si>
    <t>이름13</t>
  </si>
  <si>
    <t>이름14</t>
  </si>
  <si>
    <t>이름15</t>
  </si>
  <si>
    <t>구분(S)</t>
  </si>
  <si>
    <t>구분(D)</t>
  </si>
  <si>
    <t>클래스/메소드/파일</t>
    <phoneticPr fontId="1" type="noConversion"/>
  </si>
  <si>
    <t>시작일자</t>
    <phoneticPr fontId="1" type="noConversion"/>
  </si>
  <si>
    <t>완료일자</t>
    <phoneticPr fontId="1" type="noConversion"/>
  </si>
  <si>
    <t>패키지/경로/sql-id</t>
    <phoneticPr fontId="1" type="noConversion"/>
  </si>
  <si>
    <t>Controller</t>
    <phoneticPr fontId="1" type="noConversion"/>
  </si>
  <si>
    <t>Service</t>
    <phoneticPr fontId="1" type="noConversion"/>
  </si>
  <si>
    <t>select</t>
    <phoneticPr fontId="1" type="noConversion"/>
  </si>
  <si>
    <t>insert</t>
    <phoneticPr fontId="1" type="noConversion"/>
  </si>
  <si>
    <t>DAO</t>
    <phoneticPr fontId="1" type="noConversion"/>
  </si>
  <si>
    <t>list</t>
    <phoneticPr fontId="1" type="noConversion"/>
  </si>
  <si>
    <t>PCTG10</t>
  </si>
  <si>
    <t>25퍼센트</t>
  </si>
  <si>
    <t>PCTG25</t>
  </si>
  <si>
    <t>3퍼센트</t>
  </si>
  <si>
    <t>PCTG03</t>
  </si>
  <si>
    <t>5퍼센트</t>
  </si>
  <si>
    <t>PCTG05</t>
  </si>
  <si>
    <t>75퍼센트</t>
  </si>
  <si>
    <t>PCTG75</t>
  </si>
  <si>
    <t>85퍼센트</t>
  </si>
  <si>
    <t>PCTG85</t>
  </si>
  <si>
    <t>90퍼센트</t>
  </si>
  <si>
    <t>PCTG90</t>
  </si>
  <si>
    <t>95퍼센트</t>
  </si>
  <si>
    <t>PCTG95</t>
  </si>
  <si>
    <t>97퍼센트</t>
  </si>
  <si>
    <t>PCTG97</t>
  </si>
  <si>
    <t>ADL</t>
  </si>
  <si>
    <t>AMK</t>
  </si>
  <si>
    <t>APGAR</t>
  </si>
  <si>
    <t>aromatase</t>
  </si>
  <si>
    <t>AROM</t>
  </si>
  <si>
    <t>aromataseinhibitor</t>
  </si>
  <si>
    <t>AI</t>
  </si>
  <si>
    <t>B663</t>
  </si>
  <si>
    <t>BCG</t>
  </si>
  <si>
    <t>BDI</t>
  </si>
  <si>
    <t>BMI</t>
  </si>
  <si>
    <t>B형간염</t>
  </si>
  <si>
    <t>HBV</t>
  </si>
  <si>
    <t>Clari</t>
  </si>
  <si>
    <t>CLARI</t>
  </si>
  <si>
    <t>clomiphene</t>
  </si>
  <si>
    <t>CPM</t>
  </si>
  <si>
    <t>COMPUTED RADIOGRAPHY &amp; DIGITAL RADIOGRAPHY</t>
  </si>
  <si>
    <t>DDS</t>
  </si>
  <si>
    <t>DPOAE</t>
  </si>
  <si>
    <t>DRCR</t>
  </si>
  <si>
    <t>DRG</t>
  </si>
  <si>
    <t>DIAGNOSIS-RELATED GROUP</t>
  </si>
  <si>
    <t>ECU</t>
  </si>
  <si>
    <t>EPRS</t>
  </si>
  <si>
    <t>EQ-1D</t>
  </si>
  <si>
    <t>EQD1</t>
  </si>
  <si>
    <t>EQ-2D</t>
  </si>
  <si>
    <t>EQD2</t>
  </si>
  <si>
    <t>EQ-3D</t>
  </si>
  <si>
    <t>EQD3</t>
  </si>
  <si>
    <t>EQ-4D</t>
  </si>
  <si>
    <t>EQD4</t>
  </si>
  <si>
    <t>EQ-5D</t>
  </si>
  <si>
    <t>EQD5</t>
  </si>
  <si>
    <t>e-그린우편</t>
  </si>
  <si>
    <t>EGRPST</t>
  </si>
  <si>
    <t>Flowsheet</t>
  </si>
  <si>
    <t>FS</t>
  </si>
  <si>
    <t>FREETEXT</t>
  </si>
  <si>
    <t>GAT</t>
  </si>
  <si>
    <t>GnRHa</t>
  </si>
  <si>
    <t>GNRHA</t>
  </si>
  <si>
    <t>GnRHanta</t>
  </si>
  <si>
    <t>GNRHANTA</t>
  </si>
  <si>
    <t>HDL</t>
  </si>
  <si>
    <t>HSG</t>
  </si>
  <si>
    <t>Hyscosy</t>
  </si>
  <si>
    <t>HYSCOSY</t>
  </si>
  <si>
    <t>ICSI</t>
  </si>
  <si>
    <t>INH</t>
  </si>
  <si>
    <t>insulin</t>
  </si>
  <si>
    <t>INSULIN</t>
  </si>
  <si>
    <t>IWSV</t>
  </si>
  <si>
    <t>KARS</t>
  </si>
  <si>
    <t>KCD</t>
  </si>
  <si>
    <t>KEY-IN</t>
  </si>
  <si>
    <t>KEYIN</t>
  </si>
  <si>
    <t>KIMS</t>
  </si>
  <si>
    <t>KM</t>
  </si>
  <si>
    <t>KTAS</t>
  </si>
  <si>
    <t>KYSR</t>
  </si>
  <si>
    <t>LDL</t>
  </si>
  <si>
    <t>Medium Access Control</t>
  </si>
  <si>
    <t>MAIL</t>
  </si>
  <si>
    <t>MB</t>
  </si>
  <si>
    <t>MESA</t>
  </si>
  <si>
    <t>Mino</t>
  </si>
  <si>
    <t>MINO</t>
  </si>
  <si>
    <t>MRI</t>
  </si>
  <si>
    <t>MXF</t>
  </si>
  <si>
    <t>N95</t>
  </si>
  <si>
    <t>OCS</t>
  </si>
  <si>
    <t>Oflox</t>
  </si>
  <si>
    <t>OFLOX</t>
  </si>
  <si>
    <t>OFX</t>
  </si>
  <si>
    <t>ONSET</t>
  </si>
  <si>
    <t>PACS</t>
  </si>
  <si>
    <t>PaddingLeft</t>
  </si>
  <si>
    <t>PADLT</t>
  </si>
  <si>
    <t>PaddingTop</t>
  </si>
  <si>
    <t>PADTOP</t>
  </si>
  <si>
    <t>PESA</t>
  </si>
  <si>
    <t>PET</t>
  </si>
  <si>
    <t>PPD</t>
  </si>
  <si>
    <t>PZA</t>
  </si>
  <si>
    <t>RBT</t>
  </si>
  <si>
    <t>RELINE</t>
  </si>
  <si>
    <t>RFP</t>
  </si>
  <si>
    <t>rFSH</t>
  </si>
  <si>
    <t>RFSH</t>
  </si>
  <si>
    <t>rhCG</t>
  </si>
  <si>
    <t>RHCG</t>
  </si>
  <si>
    <t>rLH</t>
  </si>
  <si>
    <t>RLH</t>
  </si>
  <si>
    <t>SQLMAP</t>
  </si>
  <si>
    <t>StandradIVF-ET</t>
  </si>
  <si>
    <t>STIVFET</t>
  </si>
  <si>
    <t>TEOAE</t>
  </si>
  <si>
    <t>TESE</t>
  </si>
  <si>
    <t>Tympanometry</t>
  </si>
  <si>
    <t>TYMPAN</t>
  </si>
  <si>
    <t>uFSH</t>
  </si>
  <si>
    <t>UFSH</t>
  </si>
  <si>
    <t>uhCG</t>
  </si>
  <si>
    <t>UHCG</t>
  </si>
  <si>
    <t>uhMG</t>
  </si>
  <si>
    <t>UHMG</t>
  </si>
  <si>
    <t>UI</t>
  </si>
  <si>
    <t>VAS</t>
  </si>
  <si>
    <t>Xpert</t>
  </si>
  <si>
    <t>XPERT</t>
  </si>
  <si>
    <t>X-RAY</t>
  </si>
  <si>
    <t>XRAY</t>
  </si>
  <si>
    <t>가검물</t>
  </si>
  <si>
    <t>HSE</t>
  </si>
  <si>
    <t>FRCS</t>
  </si>
  <si>
    <t>Franchise</t>
  </si>
  <si>
    <t>가변항목</t>
  </si>
  <si>
    <t>VRAB</t>
  </si>
  <si>
    <t>ADDN</t>
  </si>
  <si>
    <t>ADTN</t>
  </si>
  <si>
    <t>VR</t>
  </si>
  <si>
    <t>가임</t>
  </si>
  <si>
    <t>PGPS</t>
  </si>
  <si>
    <t>HOM</t>
  </si>
  <si>
    <t>가정방문</t>
  </si>
  <si>
    <t>HVST</t>
  </si>
  <si>
    <t>가족력</t>
  </si>
  <si>
    <t>FMLS</t>
  </si>
  <si>
    <t>간병인</t>
  </si>
  <si>
    <t>NRPSN</t>
  </si>
  <si>
    <t>간암</t>
  </si>
  <si>
    <t>LVCN</t>
  </si>
  <si>
    <t>LDZ</t>
  </si>
  <si>
    <t>간장제</t>
  </si>
  <si>
    <t>LVMD</t>
  </si>
  <si>
    <t>EPLE</t>
  </si>
  <si>
    <t>NR</t>
  </si>
  <si>
    <t>감내역</t>
  </si>
  <si>
    <t>감별</t>
  </si>
  <si>
    <t>DSCRMN</t>
  </si>
  <si>
    <t>FEEL</t>
  </si>
  <si>
    <t>POWF</t>
  </si>
  <si>
    <t>INSTR</t>
  </si>
  <si>
    <t>INDIV</t>
  </si>
  <si>
    <t>개산</t>
  </si>
  <si>
    <t>APXM</t>
  </si>
  <si>
    <t>개산금</t>
  </si>
  <si>
    <t>IPVM</t>
  </si>
  <si>
    <t>개소</t>
  </si>
  <si>
    <t>Start</t>
  </si>
  <si>
    <t>개안수술</t>
  </si>
  <si>
    <t>EYSTRCV</t>
  </si>
  <si>
    <t>Opening of Business</t>
  </si>
  <si>
    <t>INDI</t>
  </si>
  <si>
    <t>개인력</t>
  </si>
  <si>
    <t>개인서비스</t>
  </si>
  <si>
    <t>PS</t>
  </si>
  <si>
    <t>PRVC</t>
  </si>
  <si>
    <t>Privacy</t>
  </si>
  <si>
    <t>OBJV</t>
  </si>
  <si>
    <t>객담</t>
  </si>
  <si>
    <t>SPU</t>
  </si>
  <si>
    <t>객담도말검사</t>
  </si>
  <si>
    <t>GDD</t>
  </si>
  <si>
    <t>객담배양검사</t>
  </si>
  <si>
    <t>GDB</t>
  </si>
  <si>
    <t>DLNG</t>
  </si>
  <si>
    <t>Dealings</t>
  </si>
  <si>
    <t>CNPT</t>
  </si>
  <si>
    <t>Counterparty</t>
  </si>
  <si>
    <t>REJ</t>
  </si>
  <si>
    <t>HTH</t>
  </si>
  <si>
    <t>NHI</t>
  </si>
  <si>
    <t>BNO</t>
  </si>
  <si>
    <t>Building Number</t>
  </si>
  <si>
    <t>건물본번</t>
  </si>
  <si>
    <t>BMNO</t>
  </si>
  <si>
    <t>Building Main Number</t>
  </si>
  <si>
    <t>건물부번</t>
  </si>
  <si>
    <t>BSNO</t>
  </si>
  <si>
    <t>Building Sub Number</t>
  </si>
  <si>
    <t>NOCS</t>
  </si>
  <si>
    <t>The Number Of Cases</t>
  </si>
  <si>
    <t>건축면적</t>
  </si>
  <si>
    <t>BDAR</t>
  </si>
  <si>
    <t>Building Area</t>
  </si>
  <si>
    <t>건축물대장</t>
  </si>
  <si>
    <t>BDRG</t>
  </si>
  <si>
    <t>Building Register</t>
  </si>
  <si>
    <t>검사실</t>
  </si>
  <si>
    <t>HSCROR</t>
  </si>
  <si>
    <t>VRFC</t>
  </si>
  <si>
    <t>Verification</t>
  </si>
  <si>
    <t>HP</t>
  </si>
  <si>
    <t>검체</t>
  </si>
  <si>
    <t>SPCMN</t>
  </si>
  <si>
    <t>RVW</t>
  </si>
  <si>
    <t>Posting</t>
  </si>
  <si>
    <t>BD</t>
  </si>
  <si>
    <t>PBLR</t>
  </si>
  <si>
    <t>Publisher</t>
  </si>
  <si>
    <t>결속력</t>
  </si>
  <si>
    <t>ATRZ</t>
  </si>
  <si>
    <t>Authorization</t>
  </si>
  <si>
    <t>TB</t>
  </si>
  <si>
    <t>결핵균</t>
  </si>
  <si>
    <t>TBC</t>
  </si>
  <si>
    <t>MRY</t>
  </si>
  <si>
    <t>CONPS</t>
  </si>
  <si>
    <t>경계역</t>
  </si>
  <si>
    <t>BOR</t>
  </si>
  <si>
    <t>경구</t>
  </si>
  <si>
    <t>LNT</t>
  </si>
  <si>
    <t>SPOTGRP</t>
  </si>
  <si>
    <t>CARRER</t>
  </si>
  <si>
    <t>STAIR</t>
  </si>
  <si>
    <t>CALU</t>
  </si>
  <si>
    <t>ACTNO</t>
  </si>
  <si>
    <t>고관절</t>
  </si>
  <si>
    <t>HPJNT</t>
  </si>
  <si>
    <t>고독</t>
  </si>
  <si>
    <t>LONELI</t>
  </si>
  <si>
    <t>고막</t>
  </si>
  <si>
    <t>EARDRUM</t>
  </si>
  <si>
    <t>ANCMNT</t>
  </si>
  <si>
    <t>고용자</t>
  </si>
  <si>
    <t>고위험</t>
  </si>
  <si>
    <t>HIRISK</t>
  </si>
  <si>
    <t>Inform</t>
  </si>
  <si>
    <t>HBP</t>
  </si>
  <si>
    <t>골격</t>
  </si>
  <si>
    <t>BONE</t>
  </si>
  <si>
    <t>PBANC</t>
  </si>
  <si>
    <t>Public Announcement</t>
  </si>
  <si>
    <t>CSTRN</t>
  </si>
  <si>
    <t>UDCN</t>
  </si>
  <si>
    <t>OALP</t>
  </si>
  <si>
    <t>Officially Announced Land Price</t>
  </si>
  <si>
    <t>공용면적</t>
  </si>
  <si>
    <t>CMAR</t>
  </si>
  <si>
    <t>Common Area</t>
  </si>
  <si>
    <t>NTC</t>
  </si>
  <si>
    <t>PNTY</t>
  </si>
  <si>
    <t>Relation</t>
  </si>
  <si>
    <t>REFN</t>
  </si>
  <si>
    <t>관절</t>
  </si>
  <si>
    <t>ARTH</t>
  </si>
  <si>
    <t>JUR</t>
  </si>
  <si>
    <t>WIDE</t>
  </si>
  <si>
    <t>ITCH</t>
  </si>
  <si>
    <t>DTBN</t>
  </si>
  <si>
    <t>TCER</t>
  </si>
  <si>
    <t>TEAC</t>
  </si>
  <si>
    <t>RPLA</t>
  </si>
  <si>
    <t>교합</t>
  </si>
  <si>
    <t>CROS</t>
  </si>
  <si>
    <t>DTHP</t>
  </si>
  <si>
    <t>AMBUL</t>
  </si>
  <si>
    <t>구내염</t>
  </si>
  <si>
    <t>PRCHS</t>
  </si>
  <si>
    <t>Purchase</t>
  </si>
  <si>
    <t>구우편번호</t>
  </si>
  <si>
    <t>OZIP</t>
  </si>
  <si>
    <t>Old Zip Code</t>
  </si>
  <si>
    <t>구환</t>
  </si>
  <si>
    <t>OPAT</t>
  </si>
  <si>
    <t>Nation</t>
  </si>
  <si>
    <t>국가건강검진</t>
  </si>
  <si>
    <t>NATLHND</t>
  </si>
  <si>
    <t>NATTR</t>
  </si>
  <si>
    <t>국립암센터</t>
  </si>
  <si>
    <t>NCC</t>
  </si>
  <si>
    <t>NHIS</t>
  </si>
  <si>
    <t>국민건강증진기금</t>
  </si>
  <si>
    <t>NATMHEP</t>
  </si>
  <si>
    <t>TLON</t>
  </si>
  <si>
    <t>NTEX</t>
  </si>
  <si>
    <t>귀</t>
  </si>
  <si>
    <t>SCLE</t>
  </si>
  <si>
    <t>균동정</t>
  </si>
  <si>
    <t>IDENTY</t>
  </si>
  <si>
    <t>균동태</t>
  </si>
  <si>
    <t>BMM</t>
  </si>
  <si>
    <t>균동태감소</t>
  </si>
  <si>
    <t>BMMN</t>
  </si>
  <si>
    <t>균동태증가</t>
  </si>
  <si>
    <t>BMMP</t>
  </si>
  <si>
    <t>균주</t>
  </si>
  <si>
    <t>STRAIN</t>
  </si>
  <si>
    <t>근력</t>
  </si>
  <si>
    <t>MSLPW</t>
  </si>
  <si>
    <t>글자</t>
  </si>
  <si>
    <t>PHB</t>
  </si>
  <si>
    <t>금속상</t>
  </si>
  <si>
    <t>NS</t>
  </si>
  <si>
    <t>금회</t>
  </si>
  <si>
    <t>PYMT</t>
  </si>
  <si>
    <t>SKLJB</t>
  </si>
  <si>
    <t>기능평가</t>
  </si>
  <si>
    <t>BARTHEL</t>
  </si>
  <si>
    <t>기록지</t>
  </si>
  <si>
    <t>TEI</t>
  </si>
  <si>
    <t>기본값</t>
  </si>
  <si>
    <t>Enterprise</t>
  </si>
  <si>
    <t>기지원</t>
  </si>
  <si>
    <t>FSUP</t>
  </si>
  <si>
    <t>Etc</t>
  </si>
  <si>
    <t>기타집단검진</t>
  </si>
  <si>
    <t>EGHP</t>
  </si>
  <si>
    <t>기형</t>
  </si>
  <si>
    <t>MLFM</t>
  </si>
  <si>
    <t>UGC</t>
  </si>
  <si>
    <t>EMRG</t>
  </si>
  <si>
    <t>DLT</t>
  </si>
  <si>
    <t>낙상</t>
  </si>
  <si>
    <t>난관</t>
  </si>
  <si>
    <t>OVI</t>
  </si>
  <si>
    <t>난임</t>
  </si>
  <si>
    <t>INFRN</t>
  </si>
  <si>
    <t>난자</t>
  </si>
  <si>
    <t>OVM</t>
  </si>
  <si>
    <t>난청</t>
  </si>
  <si>
    <t>HDIFFI</t>
  </si>
  <si>
    <t>MF</t>
  </si>
  <si>
    <t>M</t>
  </si>
  <si>
    <t>IM</t>
  </si>
  <si>
    <t>내복약</t>
  </si>
  <si>
    <t>INTDRG</t>
  </si>
  <si>
    <t>내소</t>
  </si>
  <si>
    <t>내용액제</t>
  </si>
  <si>
    <t>POTION</t>
  </si>
  <si>
    <t>내원</t>
  </si>
  <si>
    <t>HSVS</t>
  </si>
  <si>
    <t>HOSPITAL VISIT</t>
  </si>
  <si>
    <t>FRZ</t>
  </si>
  <si>
    <t>네임카드</t>
  </si>
  <si>
    <t>NMCARD</t>
  </si>
  <si>
    <t>Year and Month</t>
  </si>
  <si>
    <t>OLDN</t>
  </si>
  <si>
    <t>뇌</t>
  </si>
  <si>
    <t>BRAIN</t>
  </si>
  <si>
    <t>뇌막염</t>
  </si>
  <si>
    <t>MNGTS</t>
  </si>
  <si>
    <t>뇌혈관</t>
  </si>
  <si>
    <t>다</t>
  </si>
  <si>
    <t>MANY</t>
  </si>
  <si>
    <t>DWN</t>
  </si>
  <si>
    <t>다태아</t>
  </si>
  <si>
    <t>PLER</t>
  </si>
  <si>
    <t>단기입원</t>
  </si>
  <si>
    <t>SADM</t>
  </si>
  <si>
    <t>TER</t>
  </si>
  <si>
    <t>SHORT</t>
  </si>
  <si>
    <t>ACHI</t>
  </si>
  <si>
    <t>CHR</t>
  </si>
  <si>
    <t>Answer</t>
  </si>
  <si>
    <t>NDT</t>
  </si>
  <si>
    <t>대기실</t>
  </si>
  <si>
    <t>STYRM</t>
  </si>
  <si>
    <t>AGT</t>
  </si>
  <si>
    <t>대면</t>
  </si>
  <si>
    <t>FATFC</t>
  </si>
  <si>
    <t>대불</t>
  </si>
  <si>
    <t>CLCN</t>
  </si>
  <si>
    <t>PGRD</t>
  </si>
  <si>
    <t>PLOT OF GROUND</t>
  </si>
  <si>
    <t>대지면적</t>
  </si>
  <si>
    <t>SIAR</t>
  </si>
  <si>
    <t>Site Area</t>
  </si>
  <si>
    <t>RPLC</t>
  </si>
  <si>
    <t>대체조제</t>
  </si>
  <si>
    <t>RPRSV</t>
  </si>
  <si>
    <t>CMNT</t>
  </si>
  <si>
    <t>UTIL</t>
  </si>
  <si>
    <t>도말</t>
  </si>
  <si>
    <t>SMEAR</t>
  </si>
  <si>
    <t>ISLN</t>
  </si>
  <si>
    <t>도우미</t>
  </si>
  <si>
    <t>DPTH</t>
  </si>
  <si>
    <t>독거노인</t>
  </si>
  <si>
    <t>SLTOLDM</t>
  </si>
  <si>
    <t>CHBIT</t>
  </si>
  <si>
    <t>동결</t>
  </si>
  <si>
    <t>MOTV</t>
  </si>
  <si>
    <t>동등</t>
  </si>
  <si>
    <t>EQAL</t>
  </si>
  <si>
    <t>FRIEND</t>
  </si>
  <si>
    <t>동반증상</t>
  </si>
  <si>
    <t>PSMPT</t>
  </si>
  <si>
    <t>두위</t>
  </si>
  <si>
    <t>HPOS</t>
  </si>
  <si>
    <t>둘째</t>
  </si>
  <si>
    <t>SECOND</t>
  </si>
  <si>
    <t>드레싱</t>
  </si>
  <si>
    <t>DRSNG</t>
  </si>
  <si>
    <t>RG</t>
  </si>
  <si>
    <t>Registered</t>
  </si>
  <si>
    <t>Registrant</t>
  </si>
  <si>
    <t>디지털촬영장치</t>
  </si>
  <si>
    <t>DREQ</t>
  </si>
  <si>
    <t>레진</t>
  </si>
  <si>
    <t>RESIN</t>
  </si>
  <si>
    <t>력</t>
  </si>
  <si>
    <t>로트</t>
  </si>
  <si>
    <t>리팜핀</t>
  </si>
  <si>
    <t>리피트</t>
  </si>
  <si>
    <t>REPT</t>
  </si>
  <si>
    <t>마모증</t>
  </si>
  <si>
    <t>ABRN</t>
  </si>
  <si>
    <t>VIL</t>
  </si>
  <si>
    <t>VILLEGE</t>
  </si>
  <si>
    <t>AN</t>
  </si>
  <si>
    <t>MTRY</t>
  </si>
  <si>
    <t>Maturity</t>
  </si>
  <si>
    <t>만성</t>
  </si>
  <si>
    <t>CHRN</t>
  </si>
  <si>
    <t>NDZ</t>
  </si>
  <si>
    <t>STF</t>
  </si>
  <si>
    <t>망막</t>
  </si>
  <si>
    <t>RETINA</t>
  </si>
  <si>
    <t>매</t>
  </si>
  <si>
    <t>SHEET COUNT</t>
  </si>
  <si>
    <t>SLS</t>
  </si>
  <si>
    <t>머신</t>
  </si>
  <si>
    <t>멀티스크린</t>
  </si>
  <si>
    <t>MTSCR</t>
  </si>
  <si>
    <t>면역결핍자</t>
  </si>
  <si>
    <t>IMM</t>
  </si>
  <si>
    <t>ACRE</t>
  </si>
  <si>
    <t>명수</t>
  </si>
  <si>
    <t>FESD</t>
  </si>
  <si>
    <t>NME</t>
  </si>
  <si>
    <t>MOBL</t>
  </si>
  <si>
    <t>모바일헬스케어</t>
  </si>
  <si>
    <t>MHC</t>
  </si>
  <si>
    <t>모자보건</t>
  </si>
  <si>
    <t>MCH</t>
  </si>
  <si>
    <t>WN</t>
  </si>
  <si>
    <t>THU</t>
  </si>
  <si>
    <t>NLMT</t>
  </si>
  <si>
    <t>무단이탈</t>
  </si>
  <si>
    <t>NCHRG</t>
  </si>
  <si>
    <t>무릎</t>
  </si>
  <si>
    <t>KNEE</t>
  </si>
  <si>
    <t>무연고자</t>
  </si>
  <si>
    <t>NSVRE</t>
  </si>
  <si>
    <t>무조치</t>
  </si>
  <si>
    <t>UNIDCT</t>
  </si>
  <si>
    <t>무직</t>
  </si>
  <si>
    <t>UNEMPLOY</t>
  </si>
  <si>
    <t>문답</t>
  </si>
  <si>
    <t>SVY</t>
  </si>
  <si>
    <t>문신</t>
  </si>
  <si>
    <t>TAT</t>
  </si>
  <si>
    <t>문양</t>
  </si>
  <si>
    <t>문진</t>
  </si>
  <si>
    <t>MDXM</t>
  </si>
  <si>
    <t>문진표</t>
  </si>
  <si>
    <t>MTBL</t>
  </si>
  <si>
    <t>물리치료</t>
  </si>
  <si>
    <t>물리치료사</t>
  </si>
  <si>
    <t>PTDR</t>
  </si>
  <si>
    <t>물질남용</t>
  </si>
  <si>
    <t>POI</t>
  </si>
  <si>
    <t>미검</t>
  </si>
  <si>
    <t>NINS</t>
  </si>
  <si>
    <t>NTYP</t>
  </si>
  <si>
    <t>UREG</t>
  </si>
  <si>
    <t>PREVW</t>
  </si>
  <si>
    <t>NOISS</t>
  </si>
  <si>
    <t>UNK</t>
  </si>
  <si>
    <t>UNRCP</t>
  </si>
  <si>
    <t>PRETERM</t>
  </si>
  <si>
    <t>미제공</t>
  </si>
  <si>
    <t>NOFR</t>
  </si>
  <si>
    <t>INCOMPL</t>
  </si>
  <si>
    <t>YSCH</t>
  </si>
  <si>
    <t>미파기</t>
  </si>
  <si>
    <t>DEDSTRC</t>
  </si>
  <si>
    <t>CVLCPT</t>
  </si>
  <si>
    <t>Civil Complaint</t>
  </si>
  <si>
    <t>민원실</t>
  </si>
  <si>
    <t>민원행정</t>
  </si>
  <si>
    <t>HBAP</t>
  </si>
  <si>
    <t>BARCD</t>
  </si>
  <si>
    <t>REJT</t>
  </si>
  <si>
    <t>Reject</t>
  </si>
  <si>
    <t>Send Back</t>
  </si>
  <si>
    <t>RFLT</t>
  </si>
  <si>
    <t>GVBK</t>
  </si>
  <si>
    <t>Giving back</t>
  </si>
  <si>
    <t>반흔</t>
  </si>
  <si>
    <t>발달</t>
  </si>
  <si>
    <t>GRW</t>
  </si>
  <si>
    <t>발목</t>
  </si>
  <si>
    <t>ANKLE</t>
  </si>
  <si>
    <t>ATCK</t>
  </si>
  <si>
    <t>OCRN</t>
  </si>
  <si>
    <t>발송망</t>
  </si>
  <si>
    <t>SNET</t>
  </si>
  <si>
    <t>발치</t>
  </si>
  <si>
    <t>REMV</t>
  </si>
  <si>
    <t>PUBL</t>
  </si>
  <si>
    <t>PBLCN</t>
  </si>
  <si>
    <t>RAY</t>
  </si>
  <si>
    <t>DF</t>
  </si>
  <si>
    <t>BG</t>
  </si>
  <si>
    <t>배뇨</t>
  </si>
  <si>
    <t>URIN</t>
  </si>
  <si>
    <t>배란</t>
  </si>
  <si>
    <t>OVU</t>
  </si>
  <si>
    <t>EVCN</t>
  </si>
  <si>
    <t>MATE</t>
  </si>
  <si>
    <t>배지</t>
  </si>
  <si>
    <t>ARGM</t>
  </si>
  <si>
    <t>배회</t>
  </si>
  <si>
    <t>LOTR</t>
  </si>
  <si>
    <t>백내장</t>
  </si>
  <si>
    <t>CATRCT</t>
  </si>
  <si>
    <t>VAC</t>
  </si>
  <si>
    <t>BAK</t>
  </si>
  <si>
    <t>밴사</t>
  </si>
  <si>
    <t>CRNO</t>
  </si>
  <si>
    <t>Statutory</t>
  </si>
  <si>
    <t>STDG</t>
  </si>
  <si>
    <t>Statutory Dong(Administrative District)</t>
  </si>
  <si>
    <t>STLI</t>
  </si>
  <si>
    <t>Statutory Li(Administrative District)</t>
  </si>
  <si>
    <t>OWPL</t>
  </si>
  <si>
    <t>OUT-OF-THE-WAY PLACE</t>
  </si>
  <si>
    <t>FLCTN</t>
  </si>
  <si>
    <t>변비</t>
  </si>
  <si>
    <t>CNSTPTN</t>
  </si>
  <si>
    <t>CNVT</t>
  </si>
  <si>
    <t>BY</t>
  </si>
  <si>
    <t>MDHS</t>
  </si>
  <si>
    <t>BED</t>
  </si>
  <si>
    <t>병의원</t>
  </si>
  <si>
    <t>HOS</t>
  </si>
  <si>
    <t>MRGE</t>
  </si>
  <si>
    <t>병형</t>
  </si>
  <si>
    <t>DISE</t>
  </si>
  <si>
    <t>HE</t>
  </si>
  <si>
    <t>보건기관</t>
  </si>
  <si>
    <t>PHC</t>
  </si>
  <si>
    <t>보건사업_결핵</t>
  </si>
  <si>
    <t>보건사업_사업공통</t>
  </si>
  <si>
    <t>THA</t>
  </si>
  <si>
    <t>보건의료원</t>
  </si>
  <si>
    <t>HCACH</t>
  </si>
  <si>
    <t>Report</t>
  </si>
  <si>
    <t>REMU</t>
  </si>
  <si>
    <t>보습</t>
  </si>
  <si>
    <t>MOISTURE</t>
  </si>
  <si>
    <t>보습제</t>
  </si>
  <si>
    <t>MOISTURIZER</t>
  </si>
  <si>
    <t>보안경</t>
  </si>
  <si>
    <t>GGL</t>
  </si>
  <si>
    <t>보조기기</t>
  </si>
  <si>
    <t>AXLEQM</t>
  </si>
  <si>
    <t>보조생식술</t>
  </si>
  <si>
    <t>보조원</t>
  </si>
  <si>
    <t>SPPT</t>
  </si>
  <si>
    <t>보행</t>
  </si>
  <si>
    <t>CARE</t>
  </si>
  <si>
    <t>보호사</t>
  </si>
  <si>
    <t>CAREP</t>
  </si>
  <si>
    <t>RWM</t>
  </si>
  <si>
    <t>복강</t>
  </si>
  <si>
    <t>복강경</t>
  </si>
  <si>
    <t>복약</t>
  </si>
  <si>
    <t>복지사</t>
  </si>
  <si>
    <t>WELFP</t>
  </si>
  <si>
    <t>CPLX</t>
  </si>
  <si>
    <t>MNO</t>
  </si>
  <si>
    <t>Main Number</t>
  </si>
  <si>
    <t>Sub Number</t>
  </si>
  <si>
    <t>MATN</t>
  </si>
  <si>
    <t>부적정수급</t>
  </si>
  <si>
    <t>INCG</t>
  </si>
  <si>
    <t>PATUR</t>
  </si>
  <si>
    <t>ANAL</t>
  </si>
  <si>
    <t>분소</t>
  </si>
  <si>
    <t>분원</t>
  </si>
  <si>
    <t>BRANCH HOSPITAL</t>
  </si>
  <si>
    <t>분향실</t>
  </si>
  <si>
    <t>IBR</t>
  </si>
  <si>
    <t>UNSFY</t>
  </si>
  <si>
    <t>OBS</t>
  </si>
  <si>
    <t>불법주류</t>
  </si>
  <si>
    <t>NDRK</t>
  </si>
  <si>
    <t>FLU</t>
  </si>
  <si>
    <t>UINO</t>
  </si>
  <si>
    <t>비뇨기과</t>
  </si>
  <si>
    <t>UROLOGY</t>
  </si>
  <si>
    <t>비만도</t>
  </si>
  <si>
    <t>WEDG</t>
  </si>
  <si>
    <t>비문</t>
  </si>
  <si>
    <t>ECRY</t>
  </si>
  <si>
    <t>비염</t>
  </si>
  <si>
    <t>RHINITIS</t>
  </si>
  <si>
    <t>UNOR</t>
  </si>
  <si>
    <t>비활동성</t>
  </si>
  <si>
    <t>비활성</t>
  </si>
  <si>
    <t>DISABLED</t>
  </si>
  <si>
    <t>ACIT</t>
  </si>
  <si>
    <t>Accident</t>
  </si>
  <si>
    <t>사랑니</t>
  </si>
  <si>
    <t>WSDTEE</t>
  </si>
  <si>
    <t>The Deceased</t>
  </si>
  <si>
    <t>WRKP</t>
  </si>
  <si>
    <t>OFC</t>
  </si>
  <si>
    <t>WRKPP</t>
  </si>
  <si>
    <t>CTXT</t>
  </si>
  <si>
    <t>COPYING TEXT</t>
  </si>
  <si>
    <t>STILBIR</t>
  </si>
  <si>
    <t>BIZH</t>
  </si>
  <si>
    <t>BZMN</t>
  </si>
  <si>
    <t>Business Registration Number</t>
  </si>
  <si>
    <t>UQTY</t>
  </si>
  <si>
    <t>PREL</t>
  </si>
  <si>
    <t>사회복지사</t>
  </si>
  <si>
    <t>SOCWELFP</t>
  </si>
  <si>
    <t>RDN</t>
  </si>
  <si>
    <t>MTN</t>
  </si>
  <si>
    <t>Mountain</t>
  </si>
  <si>
    <t>MATER</t>
  </si>
  <si>
    <t>산전</t>
  </si>
  <si>
    <t>DBEF</t>
  </si>
  <si>
    <t>삶의질</t>
  </si>
  <si>
    <t>LIFEQLT</t>
  </si>
  <si>
    <t>삼출물</t>
  </si>
  <si>
    <t>EFFSN</t>
  </si>
  <si>
    <t>상4면</t>
  </si>
  <si>
    <t>BDMP</t>
  </si>
  <si>
    <t>상5면</t>
  </si>
  <si>
    <t>LDMB</t>
  </si>
  <si>
    <t>FT</t>
  </si>
  <si>
    <t>CPNN</t>
  </si>
  <si>
    <t>TFH</t>
  </si>
  <si>
    <t>DZ</t>
  </si>
  <si>
    <t>DADDR</t>
  </si>
  <si>
    <t>Detailed Address</t>
  </si>
  <si>
    <t>UP</t>
  </si>
  <si>
    <t>Upper</t>
  </si>
  <si>
    <t>상지</t>
  </si>
  <si>
    <t>ARM</t>
  </si>
  <si>
    <t>HLMT</t>
  </si>
  <si>
    <t>CONM</t>
  </si>
  <si>
    <t>Company Name</t>
  </si>
  <si>
    <t>SITU</t>
  </si>
  <si>
    <t>색</t>
  </si>
  <si>
    <t>생</t>
  </si>
  <si>
    <t>LIV</t>
  </si>
  <si>
    <t>BRDT</t>
  </si>
  <si>
    <t>Birth Date</t>
  </si>
  <si>
    <t>SIGNH</t>
  </si>
  <si>
    <t>서브쿼리</t>
  </si>
  <si>
    <t>SUBSQL</t>
  </si>
  <si>
    <t>선천성대사</t>
  </si>
  <si>
    <t>MTAB</t>
  </si>
  <si>
    <t>ABCHILD</t>
  </si>
  <si>
    <t>CHO</t>
  </si>
  <si>
    <t>CHC</t>
  </si>
  <si>
    <t>선택진료</t>
  </si>
  <si>
    <t>CHOM</t>
  </si>
  <si>
    <t>FNDN</t>
  </si>
  <si>
    <t>SETN</t>
  </si>
  <si>
    <t>Setting</t>
  </si>
  <si>
    <t>섭생</t>
  </si>
  <si>
    <t>CAREHE</t>
  </si>
  <si>
    <t>CNCS</t>
  </si>
  <si>
    <t>IGD</t>
  </si>
  <si>
    <t>성상</t>
  </si>
  <si>
    <t>STEL</t>
  </si>
  <si>
    <t>BACT</t>
  </si>
  <si>
    <t>HH</t>
  </si>
  <si>
    <t>Households</t>
  </si>
  <si>
    <t>HOH</t>
  </si>
  <si>
    <t>ANLREV</t>
  </si>
  <si>
    <t>세탁부</t>
  </si>
  <si>
    <t>LUDY</t>
  </si>
  <si>
    <t>세트</t>
  </si>
  <si>
    <t>셋째</t>
  </si>
  <si>
    <t>STOT</t>
  </si>
  <si>
    <t>STRL</t>
  </si>
  <si>
    <t>WA</t>
  </si>
  <si>
    <t>OGDP</t>
  </si>
  <si>
    <t>Organization/Department</t>
  </si>
  <si>
    <t>INFT</t>
  </si>
  <si>
    <t>RQT</t>
  </si>
  <si>
    <t>PSSN</t>
  </si>
  <si>
    <t>OUNT</t>
  </si>
  <si>
    <t>SUTN</t>
  </si>
  <si>
    <t>SPEED</t>
  </si>
  <si>
    <t>ATTR</t>
  </si>
  <si>
    <t>손</t>
  </si>
  <si>
    <t>HAND</t>
  </si>
  <si>
    <t>SBINS</t>
  </si>
  <si>
    <t>수검자</t>
  </si>
  <si>
    <t>SBINSP</t>
  </si>
  <si>
    <t>INCO</t>
  </si>
  <si>
    <t>GT</t>
  </si>
  <si>
    <t>RCVMT</t>
  </si>
  <si>
    <t>Receiving Money(or Thing)</t>
  </si>
  <si>
    <t>Recipient</t>
  </si>
  <si>
    <t>FNSH</t>
  </si>
  <si>
    <t>CMSS</t>
  </si>
  <si>
    <t>수술실</t>
  </si>
  <si>
    <t>OPRM</t>
  </si>
  <si>
    <t>GAIN</t>
  </si>
  <si>
    <t>Income</t>
  </si>
  <si>
    <t>INSEMI</t>
  </si>
  <si>
    <t>MDFCN</t>
  </si>
  <si>
    <t>Modification</t>
  </si>
  <si>
    <t>MDFR</t>
  </si>
  <si>
    <t>Modifier</t>
  </si>
  <si>
    <t>NB</t>
  </si>
  <si>
    <t>수험자</t>
  </si>
  <si>
    <t>Examinee</t>
  </si>
  <si>
    <t>TRSFS</t>
  </si>
  <si>
    <t>순응</t>
  </si>
  <si>
    <t>스크리닝</t>
  </si>
  <si>
    <t>OCL</t>
  </si>
  <si>
    <t>Hour</t>
  </si>
  <si>
    <t>SGG</t>
  </si>
  <si>
    <t>Si/Gun/Gu</t>
  </si>
  <si>
    <t>CTPR</t>
  </si>
  <si>
    <t>CTPV</t>
  </si>
  <si>
    <t>Cities And Provinces</t>
  </si>
  <si>
    <t>시리얼</t>
  </si>
  <si>
    <t>시설면적</t>
  </si>
  <si>
    <t>FCAR</t>
  </si>
  <si>
    <t>Facility Area</t>
  </si>
  <si>
    <t>시약</t>
  </si>
  <si>
    <t>RGNT</t>
  </si>
  <si>
    <t>ST</t>
  </si>
  <si>
    <t>BGNG</t>
  </si>
  <si>
    <t>PIT</t>
  </si>
  <si>
    <t>식성</t>
  </si>
  <si>
    <t>FHT</t>
  </si>
  <si>
    <t>식이</t>
  </si>
  <si>
    <t>FIM</t>
  </si>
  <si>
    <t>Declarer</t>
  </si>
  <si>
    <t>신구환</t>
  </si>
  <si>
    <t>NOPAT</t>
  </si>
  <si>
    <t>SHOSE</t>
  </si>
  <si>
    <t>NEWB</t>
  </si>
  <si>
    <t>QUICK</t>
  </si>
  <si>
    <t>HEIG</t>
  </si>
  <si>
    <t>APPLI</t>
  </si>
  <si>
    <t>실란트</t>
  </si>
  <si>
    <t>RNM</t>
  </si>
  <si>
    <t>FLRE</t>
  </si>
  <si>
    <t>PSYC</t>
  </si>
  <si>
    <t>INVG</t>
  </si>
  <si>
    <t>SRNG</t>
  </si>
  <si>
    <t>심평원</t>
  </si>
  <si>
    <t>HIRA</t>
  </si>
  <si>
    <t>쌍둥이</t>
  </si>
  <si>
    <t>TWIN</t>
  </si>
  <si>
    <t>아나필락시스</t>
  </si>
  <si>
    <t>ANAP</t>
  </si>
  <si>
    <t>아동청소년</t>
  </si>
  <si>
    <t>CHY</t>
  </si>
  <si>
    <t>아토피피부염</t>
  </si>
  <si>
    <t>ATOPY</t>
  </si>
  <si>
    <t>악</t>
  </si>
  <si>
    <t>JAW</t>
  </si>
  <si>
    <t>안</t>
  </si>
  <si>
    <t>EYE</t>
  </si>
  <si>
    <t>안압</t>
  </si>
  <si>
    <t>EVEL</t>
  </si>
  <si>
    <t>안저</t>
  </si>
  <si>
    <t>EVER</t>
  </si>
  <si>
    <t>SFTY</t>
  </si>
  <si>
    <t>안치실</t>
  </si>
  <si>
    <t>DDR</t>
  </si>
  <si>
    <t>ALCO</t>
  </si>
  <si>
    <t>액티브</t>
  </si>
  <si>
    <t>ACTIVE</t>
  </si>
  <si>
    <t>NIGT</t>
  </si>
  <si>
    <t>약관절</t>
  </si>
  <si>
    <t>PJOINT</t>
  </si>
  <si>
    <t>MDCN</t>
  </si>
  <si>
    <t>양극성</t>
  </si>
  <si>
    <t>DOB</t>
  </si>
  <si>
    <t>양한방</t>
  </si>
  <si>
    <t>WOMED</t>
  </si>
  <si>
    <t>UPLD</t>
  </si>
  <si>
    <t>BZ</t>
  </si>
  <si>
    <t>업무공통_공통</t>
  </si>
  <si>
    <t>CPNY</t>
  </si>
  <si>
    <t>PASP</t>
  </si>
  <si>
    <t>Passport Number</t>
  </si>
  <si>
    <t>Yes or No</t>
  </si>
  <si>
    <t>TRV</t>
  </si>
  <si>
    <t>CPBT</t>
  </si>
  <si>
    <t>CNCT</t>
  </si>
  <si>
    <t>RELA</t>
  </si>
  <si>
    <t>INDF</t>
  </si>
  <si>
    <t>EXNS</t>
  </si>
  <si>
    <t>연하</t>
  </si>
  <si>
    <t>English</t>
  </si>
  <si>
    <t>MIMG</t>
  </si>
  <si>
    <t>(MEDICAL) IMAGING</t>
  </si>
  <si>
    <t>영상의학</t>
  </si>
  <si>
    <t>RDLG</t>
  </si>
  <si>
    <t>RADIOLOGY</t>
  </si>
  <si>
    <t>RCEP</t>
  </si>
  <si>
    <t>BBY</t>
  </si>
  <si>
    <t>영양소</t>
  </si>
  <si>
    <t>NTELT</t>
  </si>
  <si>
    <t>영양제</t>
  </si>
  <si>
    <t>NTRT</t>
  </si>
  <si>
    <t>BUSH</t>
  </si>
  <si>
    <t>IFN</t>
  </si>
  <si>
    <t>RESV</t>
  </si>
  <si>
    <t>RSVT</t>
  </si>
  <si>
    <t>EPCT</t>
  </si>
  <si>
    <t>예진</t>
  </si>
  <si>
    <t>PEXM</t>
  </si>
  <si>
    <t>오르내르기</t>
  </si>
  <si>
    <t>CLIMB</t>
  </si>
  <si>
    <t>OFF</t>
  </si>
  <si>
    <t>온나라</t>
  </si>
  <si>
    <t>CMPL</t>
  </si>
  <si>
    <t>CMPTN</t>
  </si>
  <si>
    <t>FRNO</t>
  </si>
  <si>
    <t>Foreigner Registration Number</t>
  </si>
  <si>
    <t>OTPA</t>
  </si>
  <si>
    <t>외박</t>
  </si>
  <si>
    <t>OSID</t>
  </si>
  <si>
    <t>외용</t>
  </si>
  <si>
    <t>GOUT</t>
  </si>
  <si>
    <t>SMRY</t>
  </si>
  <si>
    <t>WKER</t>
  </si>
  <si>
    <t>욕창</t>
  </si>
  <si>
    <t>BDSR</t>
  </si>
  <si>
    <t>DRCN</t>
  </si>
  <si>
    <t>용변</t>
  </si>
  <si>
    <t>URNFECS</t>
  </si>
  <si>
    <t>우상</t>
  </si>
  <si>
    <t>RTUPSD</t>
  </si>
  <si>
    <t>우식</t>
  </si>
  <si>
    <t>DTCRS</t>
  </si>
  <si>
    <t>우식병</t>
  </si>
  <si>
    <t>TISSILA</t>
  </si>
  <si>
    <t>우울</t>
  </si>
  <si>
    <t>GLOOM</t>
  </si>
  <si>
    <t>우울증</t>
  </si>
  <si>
    <t>DGLM</t>
  </si>
  <si>
    <t>우하</t>
  </si>
  <si>
    <t>RLOW</t>
  </si>
  <si>
    <t>운전면허번호</t>
  </si>
  <si>
    <t>Driver's License Number</t>
  </si>
  <si>
    <t>울증</t>
  </si>
  <si>
    <t>HYPO</t>
  </si>
  <si>
    <t>원내</t>
  </si>
  <si>
    <t>INHSP</t>
  </si>
  <si>
    <t>원내약</t>
  </si>
  <si>
    <t>INDRG</t>
  </si>
  <si>
    <t>원무</t>
  </si>
  <si>
    <t>HSWK</t>
  </si>
  <si>
    <t>HOSPITAL WORK</t>
  </si>
  <si>
    <t>원무접수</t>
  </si>
  <si>
    <t>WACPT</t>
  </si>
  <si>
    <t>The Place of Origin</t>
  </si>
  <si>
    <t>원외</t>
  </si>
  <si>
    <t>OTHSP</t>
  </si>
  <si>
    <t>WHLD</t>
  </si>
  <si>
    <t>월경</t>
  </si>
  <si>
    <t>MENS</t>
  </si>
  <si>
    <t>MPAY</t>
  </si>
  <si>
    <t>월령</t>
  </si>
  <si>
    <t>MAG</t>
  </si>
  <si>
    <t>VLT</t>
  </si>
  <si>
    <t>HYGN</t>
  </si>
  <si>
    <t>위암</t>
  </si>
  <si>
    <t>Entrusting</t>
  </si>
  <si>
    <t>유가족</t>
  </si>
  <si>
    <t>BERE</t>
  </si>
  <si>
    <t>RLTD</t>
  </si>
  <si>
    <t>CHAG</t>
  </si>
  <si>
    <t>MISCA</t>
  </si>
  <si>
    <t>CLDCARE</t>
  </si>
  <si>
    <t>음압</t>
  </si>
  <si>
    <t>NGPRS</t>
  </si>
  <si>
    <t>DRNK</t>
  </si>
  <si>
    <t>Eup/Myun/Dong</t>
  </si>
  <si>
    <t>ER</t>
  </si>
  <si>
    <t>RQST</t>
  </si>
  <si>
    <t>의료급여</t>
  </si>
  <si>
    <t>CPC</t>
  </si>
  <si>
    <t>의료보험증</t>
  </si>
  <si>
    <t>의사소통</t>
  </si>
  <si>
    <t>AWRNS</t>
  </si>
  <si>
    <t>SDMP</t>
  </si>
  <si>
    <t>DRUG</t>
  </si>
  <si>
    <t>의의</t>
  </si>
  <si>
    <t>의치</t>
  </si>
  <si>
    <t>ARTTEE</t>
  </si>
  <si>
    <t>의학적소견</t>
  </si>
  <si>
    <t>MMDCS</t>
  </si>
  <si>
    <t>이민자</t>
  </si>
  <si>
    <t>MMG</t>
  </si>
  <si>
    <t>UTZ</t>
  </si>
  <si>
    <t>UND</t>
  </si>
  <si>
    <t>UNDSTD</t>
  </si>
  <si>
    <t>인공수정</t>
  </si>
  <si>
    <t>AINSEMI</t>
  </si>
  <si>
    <t>PPLT</t>
  </si>
  <si>
    <t>인구보건복지협회</t>
  </si>
  <si>
    <t>PPFK</t>
  </si>
  <si>
    <t>MPR</t>
  </si>
  <si>
    <t>ACPTN</t>
  </si>
  <si>
    <t>인식표</t>
  </si>
  <si>
    <t>IDDISC</t>
  </si>
  <si>
    <t>NOPE</t>
  </si>
  <si>
    <t>The Number of Persons</t>
  </si>
  <si>
    <t>CONF</t>
  </si>
  <si>
    <t>RACE</t>
  </si>
  <si>
    <t>Certification</t>
  </si>
  <si>
    <t>CERF</t>
  </si>
  <si>
    <t>DY</t>
  </si>
  <si>
    <t>Serial Number</t>
  </si>
  <si>
    <t>일반건강검진</t>
  </si>
  <si>
    <t>HAHC</t>
  </si>
  <si>
    <t>DAI</t>
  </si>
  <si>
    <t>Date and Time</t>
  </si>
  <si>
    <t>DTE</t>
  </si>
  <si>
    <t>YEAR Month Day</t>
  </si>
  <si>
    <t>임산출산부</t>
  </si>
  <si>
    <t>PATURBFYSP</t>
  </si>
  <si>
    <t>CLIC</t>
  </si>
  <si>
    <t>임상병리</t>
  </si>
  <si>
    <t>CLPTH</t>
  </si>
  <si>
    <t>임상심리사</t>
  </si>
  <si>
    <t>CLPYST</t>
  </si>
  <si>
    <t>임신노력</t>
  </si>
  <si>
    <t>PEFT</t>
  </si>
  <si>
    <t>임신전고혈압</t>
  </si>
  <si>
    <t>PHBP</t>
  </si>
  <si>
    <t>임신전기타</t>
  </si>
  <si>
    <t>PDZETC</t>
  </si>
  <si>
    <t>임신전당뇨</t>
  </si>
  <si>
    <t>PDIAB</t>
  </si>
  <si>
    <t>임신전몸무게</t>
  </si>
  <si>
    <t>PWEIGHT</t>
  </si>
  <si>
    <t>임신전빈혈</t>
  </si>
  <si>
    <t>PPOB</t>
  </si>
  <si>
    <t>임신전신장질환</t>
  </si>
  <si>
    <t>PKIDN</t>
  </si>
  <si>
    <t>임신전심장질환</t>
  </si>
  <si>
    <t>PHEART</t>
  </si>
  <si>
    <t>임신전영양제</t>
  </si>
  <si>
    <t>PNTRT</t>
  </si>
  <si>
    <t>임신전우울증</t>
  </si>
  <si>
    <t>PGLM</t>
  </si>
  <si>
    <t>임신전운동</t>
  </si>
  <si>
    <t>PSPO</t>
  </si>
  <si>
    <t>임신전음주</t>
  </si>
  <si>
    <t>PDRNK</t>
  </si>
  <si>
    <t>임신전자궁질환</t>
  </si>
  <si>
    <t>PWONB</t>
  </si>
  <si>
    <t>임신전흡연</t>
  </si>
  <si>
    <t>PSMK</t>
  </si>
  <si>
    <t>임신중고혈압</t>
  </si>
  <si>
    <t>DHBP</t>
  </si>
  <si>
    <t>임신중기타</t>
  </si>
  <si>
    <t>DDZETC</t>
  </si>
  <si>
    <t>임신중당뇨</t>
  </si>
  <si>
    <t>DDIAB</t>
  </si>
  <si>
    <t>임신중말기몸무게</t>
  </si>
  <si>
    <t>DWEIGHT9</t>
  </si>
  <si>
    <t>임신중보조생식술</t>
  </si>
  <si>
    <t>DSTRT</t>
  </si>
  <si>
    <t>임신중빈혈</t>
  </si>
  <si>
    <t>DPOB</t>
  </si>
  <si>
    <t>임신중산전관리기관</t>
  </si>
  <si>
    <t>DORG</t>
  </si>
  <si>
    <t>임신중생식기감염</t>
  </si>
  <si>
    <t>DORGANH</t>
  </si>
  <si>
    <t>임신중신장질환</t>
  </si>
  <si>
    <t>DKIDN</t>
  </si>
  <si>
    <t>임신중심장질환</t>
  </si>
  <si>
    <t>DHEART</t>
  </si>
  <si>
    <t>임신중영양제</t>
  </si>
  <si>
    <t>DNTRT</t>
  </si>
  <si>
    <t>임신중운동</t>
  </si>
  <si>
    <t>임신중음주</t>
  </si>
  <si>
    <t>DDRNK</t>
  </si>
  <si>
    <t>임신중임신</t>
  </si>
  <si>
    <t>DPRGN</t>
  </si>
  <si>
    <t>임신중자궁질환</t>
  </si>
  <si>
    <t>DWONB</t>
  </si>
  <si>
    <t>임신중자연임신</t>
  </si>
  <si>
    <t>DNOR</t>
  </si>
  <si>
    <t>임신중절</t>
  </si>
  <si>
    <t>임신중중기몸무게</t>
  </si>
  <si>
    <t>DWEIGHT6</t>
  </si>
  <si>
    <t>임신중초기몸무게</t>
  </si>
  <si>
    <t>DWEIGHT3</t>
  </si>
  <si>
    <t>임신중출생아사망</t>
  </si>
  <si>
    <t>DDEAD</t>
  </si>
  <si>
    <t>임신중출생아사산</t>
  </si>
  <si>
    <t>DSTILLBIRTH</t>
  </si>
  <si>
    <t>임신중현재건강상태</t>
  </si>
  <si>
    <t>DHTH</t>
  </si>
  <si>
    <t>임신중혈압</t>
  </si>
  <si>
    <t>DHP</t>
  </si>
  <si>
    <t>임신중흡연</t>
  </si>
  <si>
    <t>DSMK</t>
  </si>
  <si>
    <t>임신출산지원비</t>
  </si>
  <si>
    <t>EMOG</t>
  </si>
  <si>
    <t>임의조제불가</t>
  </si>
  <si>
    <t>UNPRSC</t>
  </si>
  <si>
    <t>임플란트</t>
  </si>
  <si>
    <t>IMPL</t>
  </si>
  <si>
    <t>ENTCNTY</t>
  </si>
  <si>
    <t>Entering a Country</t>
  </si>
  <si>
    <t>INPTR</t>
  </si>
  <si>
    <t>JNCMP</t>
  </si>
  <si>
    <t>Joining a Company</t>
  </si>
  <si>
    <t>입원보호</t>
  </si>
  <si>
    <t>HPAC</t>
  </si>
  <si>
    <t>잇솔질</t>
  </si>
  <si>
    <t>BRUSH</t>
  </si>
  <si>
    <t>QFC</t>
  </si>
  <si>
    <t>UTE</t>
  </si>
  <si>
    <t>자궁경부</t>
  </si>
  <si>
    <t>CVCN</t>
  </si>
  <si>
    <t>자궁경부암</t>
  </si>
  <si>
    <t>CVXCA</t>
  </si>
  <si>
    <t>자궁내막</t>
  </si>
  <si>
    <t>자궁내시경</t>
  </si>
  <si>
    <t>자궁색전술</t>
  </si>
  <si>
    <t>EBLS</t>
  </si>
  <si>
    <t>자궁수축억제제</t>
  </si>
  <si>
    <t>UTERTON</t>
  </si>
  <si>
    <t>자궁적출술</t>
  </si>
  <si>
    <t>ETCT</t>
  </si>
  <si>
    <t>자극</t>
  </si>
  <si>
    <t>STIMUL</t>
  </si>
  <si>
    <t>자동차등록번호</t>
  </si>
  <si>
    <t>VHRNO</t>
  </si>
  <si>
    <t>자릿수</t>
  </si>
  <si>
    <t>자보</t>
  </si>
  <si>
    <t>자부담</t>
  </si>
  <si>
    <t>SLFRSP</t>
  </si>
  <si>
    <t>SUIC</t>
  </si>
  <si>
    <t>NATR</t>
  </si>
  <si>
    <t>자원봉사</t>
  </si>
  <si>
    <t>VLNTR</t>
  </si>
  <si>
    <t>SELFSPT</t>
  </si>
  <si>
    <t>WK</t>
  </si>
  <si>
    <t>작업지도원</t>
  </si>
  <si>
    <t>WKGUIDEP</t>
  </si>
  <si>
    <t>작업치료사</t>
  </si>
  <si>
    <t>WKTRTP</t>
  </si>
  <si>
    <t>장방관</t>
  </si>
  <si>
    <t>VES</t>
  </si>
  <si>
    <t>EQIP</t>
  </si>
  <si>
    <t>PGCNT</t>
  </si>
  <si>
    <t>PAGE COUNT</t>
  </si>
  <si>
    <t>HANDICAP</t>
  </si>
  <si>
    <t>HCAP</t>
  </si>
  <si>
    <t>HCAPD</t>
  </si>
  <si>
    <t>HANDICAPPED</t>
  </si>
  <si>
    <t>재가암</t>
  </si>
  <si>
    <t>HC</t>
  </si>
  <si>
    <t>REISS</t>
  </si>
  <si>
    <t>재선별</t>
  </si>
  <si>
    <t>REEST</t>
  </si>
  <si>
    <t>재진</t>
  </si>
  <si>
    <t>OMD</t>
  </si>
  <si>
    <t>재혼</t>
  </si>
  <si>
    <t>REMRG</t>
  </si>
  <si>
    <t>REHA</t>
  </si>
  <si>
    <t>Author</t>
  </si>
  <si>
    <t>Storage</t>
  </si>
  <si>
    <t>TMY</t>
  </si>
  <si>
    <t>DSCL</t>
  </si>
  <si>
    <t>Disclose</t>
  </si>
  <si>
    <t>APLCN</t>
  </si>
  <si>
    <t>Suitability</t>
  </si>
  <si>
    <t>전문의</t>
  </si>
  <si>
    <t>전반적</t>
  </si>
  <si>
    <t>전색</t>
  </si>
  <si>
    <t>FLUP</t>
  </si>
  <si>
    <t>TRSM</t>
  </si>
  <si>
    <t>전실전과</t>
  </si>
  <si>
    <t>TRNF</t>
  </si>
  <si>
    <t>전용면적</t>
  </si>
  <si>
    <t>XUAR</t>
  </si>
  <si>
    <t>Exclusive Use Area</t>
  </si>
  <si>
    <t>Move In</t>
  </si>
  <si>
    <t>EPOST</t>
  </si>
  <si>
    <t>DIVERT</t>
  </si>
  <si>
    <t>절삭</t>
  </si>
  <si>
    <t xml:space="preserve"> Check</t>
  </si>
  <si>
    <t>Clerk</t>
  </si>
  <si>
    <t>INOC</t>
  </si>
  <si>
    <t>REGU</t>
  </si>
  <si>
    <t>정밀진찰</t>
  </si>
  <si>
    <t>PMED</t>
  </si>
  <si>
    <t>INFM</t>
  </si>
  <si>
    <t>정비전문요원</t>
  </si>
  <si>
    <t>DEPRO</t>
  </si>
  <si>
    <t>ADJT</t>
  </si>
  <si>
    <t>CLCLN</t>
  </si>
  <si>
    <t>EMTN</t>
  </si>
  <si>
    <t>PSY</t>
  </si>
  <si>
    <t>정신과</t>
  </si>
  <si>
    <t>PSYCHIATRY</t>
  </si>
  <si>
    <t>정신분열</t>
  </si>
  <si>
    <t>SCIZO</t>
  </si>
  <si>
    <t>SPERM</t>
  </si>
  <si>
    <t>VALD</t>
  </si>
  <si>
    <t>제개정</t>
  </si>
  <si>
    <t>CRVS</t>
  </si>
  <si>
    <t>CREATION AND REVISION</t>
  </si>
  <si>
    <t>PVSN</t>
  </si>
  <si>
    <t>PRVDR</t>
  </si>
  <si>
    <t>PMC</t>
  </si>
  <si>
    <t>제왕절개</t>
  </si>
  <si>
    <t>CAESEC</t>
  </si>
  <si>
    <t>MNUF</t>
  </si>
  <si>
    <t>MKR</t>
  </si>
  <si>
    <t>Maker</t>
  </si>
  <si>
    <t>SBMSN</t>
  </si>
  <si>
    <t>Submission</t>
  </si>
  <si>
    <t>제형</t>
  </si>
  <si>
    <t>CMPSHA</t>
  </si>
  <si>
    <t>CDTN</t>
  </si>
  <si>
    <t>조리원</t>
  </si>
  <si>
    <t>조무사</t>
  </si>
  <si>
    <t>SUPP</t>
  </si>
  <si>
    <t>Examination</t>
  </si>
  <si>
    <t>Examiner</t>
  </si>
  <si>
    <t>조산아</t>
  </si>
  <si>
    <t>PRECHLD</t>
  </si>
  <si>
    <t>MTRNTHSPT</t>
  </si>
  <si>
    <t>조울증</t>
  </si>
  <si>
    <t>CYCLO</t>
  </si>
  <si>
    <t>Action</t>
  </si>
  <si>
    <t>UNO</t>
  </si>
  <si>
    <t>Termination</t>
  </si>
  <si>
    <t>좌상</t>
  </si>
  <si>
    <t>LUPS</t>
  </si>
  <si>
    <t>좌하</t>
  </si>
  <si>
    <t>LLOW</t>
  </si>
  <si>
    <t>RDNC</t>
  </si>
  <si>
    <t>SBJV</t>
  </si>
  <si>
    <t>RRNO</t>
  </si>
  <si>
    <t>Resident Registration Number</t>
  </si>
  <si>
    <t>INJT</t>
  </si>
  <si>
    <t>주사제</t>
  </si>
  <si>
    <t>IJ</t>
  </si>
  <si>
    <t>주요조치</t>
  </si>
  <si>
    <t>OON</t>
  </si>
  <si>
    <t>주원인</t>
  </si>
  <si>
    <t>ENTIA</t>
  </si>
  <si>
    <t>PRK</t>
  </si>
  <si>
    <t>NTXC</t>
  </si>
  <si>
    <t>WEIGHT OF GRAVITY</t>
  </si>
  <si>
    <t>MCLAS</t>
  </si>
  <si>
    <t>중성</t>
  </si>
  <si>
    <t>NETRL</t>
  </si>
  <si>
    <t>SAD</t>
  </si>
  <si>
    <t>중환자실</t>
  </si>
  <si>
    <t>ICU</t>
  </si>
  <si>
    <t>IMDT</t>
  </si>
  <si>
    <t>IMMEDIATE</t>
  </si>
  <si>
    <t>GIVE</t>
  </si>
  <si>
    <t>Give</t>
  </si>
  <si>
    <t>지대치보철</t>
  </si>
  <si>
    <t>ABUT</t>
  </si>
  <si>
    <t>GDE</t>
  </si>
  <si>
    <t>지도원</t>
  </si>
  <si>
    <t>GDEP</t>
  </si>
  <si>
    <t>LDCG</t>
  </si>
  <si>
    <t>Land Category</t>
  </si>
  <si>
    <t>HSNO</t>
  </si>
  <si>
    <t>HOUSE NUMBER</t>
  </si>
  <si>
    <t>LOTNO</t>
  </si>
  <si>
    <t>Lot Number</t>
  </si>
  <si>
    <t>Ground</t>
  </si>
  <si>
    <t>KNG</t>
  </si>
  <si>
    <t>지역조사</t>
  </si>
  <si>
    <t>RESRC</t>
  </si>
  <si>
    <t>Support</t>
  </si>
  <si>
    <t>지원단</t>
  </si>
  <si>
    <t>SGO</t>
  </si>
  <si>
    <t>LCG</t>
  </si>
  <si>
    <t>UDGD</t>
  </si>
  <si>
    <t>직</t>
  </si>
  <si>
    <t>OCCGR</t>
  </si>
  <si>
    <t>JBGD</t>
  </si>
  <si>
    <t>Job Grade</t>
  </si>
  <si>
    <t>POSI</t>
  </si>
  <si>
    <t>JBPS</t>
  </si>
  <si>
    <t>Job Position</t>
  </si>
  <si>
    <t>Workplace</t>
  </si>
  <si>
    <t>OCCA</t>
  </si>
  <si>
    <t>DIAG</t>
  </si>
  <si>
    <t>MED</t>
  </si>
  <si>
    <t>진료실</t>
  </si>
  <si>
    <t>MDOFC</t>
  </si>
  <si>
    <t>MEDICAL OFFICE</t>
  </si>
  <si>
    <t>진술문</t>
  </si>
  <si>
    <t>진찰료</t>
  </si>
  <si>
    <t>AAMT</t>
  </si>
  <si>
    <t>QLTY</t>
  </si>
  <si>
    <t>QST</t>
  </si>
  <si>
    <t>AGG</t>
  </si>
  <si>
    <t>CNBD</t>
  </si>
  <si>
    <t>Condominium Buildings</t>
  </si>
  <si>
    <t>EXCU</t>
  </si>
  <si>
    <t>Implementation</t>
  </si>
  <si>
    <t>BGNCST</t>
  </si>
  <si>
    <t>Begin Construction</t>
  </si>
  <si>
    <t>찬</t>
  </si>
  <si>
    <t>COLD</t>
  </si>
  <si>
    <t>찬음식</t>
  </si>
  <si>
    <t>COLDFOD</t>
  </si>
  <si>
    <t>참고사항</t>
  </si>
  <si>
    <t>RFIT</t>
  </si>
  <si>
    <t>참고치</t>
  </si>
  <si>
    <t>ATNDP</t>
  </si>
  <si>
    <t>WH</t>
  </si>
  <si>
    <t>채담</t>
  </si>
  <si>
    <t>CLTSP</t>
  </si>
  <si>
    <t>CHNO</t>
  </si>
  <si>
    <t>COLLT</t>
  </si>
  <si>
    <t>TKBLD</t>
  </si>
  <si>
    <t>RPN</t>
  </si>
  <si>
    <t>RESPON</t>
  </si>
  <si>
    <t>처방전</t>
  </si>
  <si>
    <t>Disposition</t>
  </si>
  <si>
    <t>처치</t>
  </si>
  <si>
    <t>TREM</t>
  </si>
  <si>
    <t>CRIT</t>
  </si>
  <si>
    <t>천식</t>
  </si>
  <si>
    <t>ASTHMA</t>
  </si>
  <si>
    <t>RVOK</t>
  </si>
  <si>
    <t>REVOKE</t>
  </si>
  <si>
    <t>ATTC</t>
  </si>
  <si>
    <t>Attachment</t>
  </si>
  <si>
    <t>HRSS</t>
  </si>
  <si>
    <t>청각선별</t>
  </si>
  <si>
    <t>HSCR</t>
  </si>
  <si>
    <t>체외성숙</t>
  </si>
  <si>
    <t>체외수정</t>
  </si>
  <si>
    <t>IVF</t>
  </si>
  <si>
    <t>PHYCON</t>
  </si>
  <si>
    <t>WG</t>
  </si>
  <si>
    <t>CONS</t>
  </si>
  <si>
    <t>SS</t>
  </si>
  <si>
    <t>초경</t>
  </si>
  <si>
    <t>RESET</t>
  </si>
  <si>
    <t>SSWA</t>
  </si>
  <si>
    <t>GRAMT</t>
  </si>
  <si>
    <t>Gross Amount</t>
  </si>
  <si>
    <t>GFA</t>
  </si>
  <si>
    <t>Gross Floor Area</t>
  </si>
  <si>
    <t>MNGE</t>
  </si>
  <si>
    <t>총사업비</t>
  </si>
  <si>
    <t>TPCO</t>
  </si>
  <si>
    <t>Total Project Cost</t>
  </si>
  <si>
    <t>HIGHST</t>
  </si>
  <si>
    <t>LOWST</t>
  </si>
  <si>
    <t>PERSUIT</t>
  </si>
  <si>
    <t>출국자</t>
  </si>
  <si>
    <t>DETR</t>
  </si>
  <si>
    <t>TKMNY</t>
  </si>
  <si>
    <t>Taking out money</t>
  </si>
  <si>
    <t>OTPT</t>
  </si>
  <si>
    <t>출산수유부</t>
  </si>
  <si>
    <t>PATURBF</t>
  </si>
  <si>
    <t>출상</t>
  </si>
  <si>
    <t>HRSE</t>
  </si>
  <si>
    <t>HEARSE</t>
  </si>
  <si>
    <t>ORI</t>
  </si>
  <si>
    <t>OFTP</t>
  </si>
  <si>
    <t>BLED</t>
  </si>
  <si>
    <t>ACQ</t>
  </si>
  <si>
    <t>CANCELATION</t>
  </si>
  <si>
    <t>RTRCN</t>
  </si>
  <si>
    <t>Retraction</t>
  </si>
  <si>
    <t>층수</t>
  </si>
  <si>
    <t>NOFL</t>
  </si>
  <si>
    <t>The Number Of Floors</t>
  </si>
  <si>
    <t>치면세마</t>
  </si>
  <si>
    <t>치석</t>
  </si>
  <si>
    <t>TTAR</t>
  </si>
  <si>
    <t>치식</t>
  </si>
  <si>
    <t>TEE</t>
  </si>
  <si>
    <t>치은</t>
  </si>
  <si>
    <t>INFLA</t>
  </si>
  <si>
    <t>치주</t>
  </si>
  <si>
    <t>PDD</t>
  </si>
  <si>
    <t>친구</t>
  </si>
  <si>
    <t>FRIE</t>
  </si>
  <si>
    <t>COL</t>
  </si>
  <si>
    <t>CMPTR</t>
  </si>
  <si>
    <t>코멘트</t>
  </si>
  <si>
    <t>콜레스테롤</t>
  </si>
  <si>
    <t>CHOL</t>
  </si>
  <si>
    <t>SZ</t>
  </si>
  <si>
    <t>크기조절</t>
  </si>
  <si>
    <t>RESZ</t>
  </si>
  <si>
    <t>키오스크</t>
  </si>
  <si>
    <t>KIOSK</t>
  </si>
  <si>
    <t>키트</t>
  </si>
  <si>
    <t>KIT</t>
  </si>
  <si>
    <t>DROP</t>
  </si>
  <si>
    <t>WHDWL</t>
  </si>
  <si>
    <t>ATTU</t>
  </si>
  <si>
    <t>EMBR</t>
  </si>
  <si>
    <t>태아보험</t>
  </si>
  <si>
    <t>BRINS</t>
  </si>
  <si>
    <t>토지면적</t>
  </si>
  <si>
    <t>LDAR</t>
  </si>
  <si>
    <t>Land Area</t>
  </si>
  <si>
    <t>통건</t>
  </si>
  <si>
    <t>NTFCTN</t>
  </si>
  <si>
    <t>CMNET</t>
  </si>
  <si>
    <t>BNBK</t>
  </si>
  <si>
    <t>통증</t>
  </si>
  <si>
    <t>AVTSMT</t>
  </si>
  <si>
    <t>Avertissement</t>
  </si>
  <si>
    <t>통합건강증진사업</t>
  </si>
  <si>
    <t>IUHEPB</t>
  </si>
  <si>
    <t>퇴록</t>
  </si>
  <si>
    <t>DRD</t>
  </si>
  <si>
    <t>RETR</t>
  </si>
  <si>
    <t>퇴소</t>
  </si>
  <si>
    <t>DSCH</t>
  </si>
  <si>
    <t>퇴장</t>
  </si>
  <si>
    <t>퇴행성</t>
  </si>
  <si>
    <t>DGEN</t>
  </si>
  <si>
    <t>투베르쿨린</t>
  </si>
  <si>
    <t>TUBER</t>
  </si>
  <si>
    <t>DOSE</t>
  </si>
  <si>
    <t>DOSAGE</t>
  </si>
  <si>
    <t>특수재료</t>
  </si>
  <si>
    <t>SMTRL</t>
  </si>
  <si>
    <t>DIATS</t>
  </si>
  <si>
    <t>IDTF</t>
  </si>
  <si>
    <t>TMLDR</t>
  </si>
  <si>
    <t>파악자</t>
  </si>
  <si>
    <t>FL</t>
  </si>
  <si>
    <t>NTSL</t>
  </si>
  <si>
    <t>Net Sales</t>
  </si>
  <si>
    <t>JGMT</t>
  </si>
  <si>
    <t>팔꿈치</t>
  </si>
  <si>
    <t>ELBOW</t>
  </si>
  <si>
    <t>팔찌</t>
  </si>
  <si>
    <t>BRCL</t>
  </si>
  <si>
    <t>POP</t>
  </si>
  <si>
    <t>패닉</t>
  </si>
  <si>
    <t>PANIC</t>
  </si>
  <si>
    <t>패드</t>
  </si>
  <si>
    <t>PAD</t>
  </si>
  <si>
    <t>PKG</t>
  </si>
  <si>
    <t>평문</t>
  </si>
  <si>
    <t>WKDY</t>
  </si>
  <si>
    <t>WEEKDAYS</t>
  </si>
  <si>
    <t>GRDE</t>
  </si>
  <si>
    <t>Discard</t>
  </si>
  <si>
    <t>폐암</t>
  </si>
  <si>
    <t>LUCN</t>
  </si>
  <si>
    <t>CLBZ</t>
  </si>
  <si>
    <t>Closing of Business</t>
  </si>
  <si>
    <t>PKNG</t>
  </si>
  <si>
    <t>포터블</t>
  </si>
  <si>
    <t>PTBL</t>
  </si>
  <si>
    <t>PRLT</t>
  </si>
  <si>
    <t>폼</t>
  </si>
  <si>
    <t>PROF</t>
  </si>
  <si>
    <t>프리텍스트</t>
  </si>
  <si>
    <t>FREETXT</t>
  </si>
  <si>
    <t>피공여</t>
  </si>
  <si>
    <t>ATOFR</t>
  </si>
  <si>
    <t>DFND</t>
  </si>
  <si>
    <t>피부검진</t>
  </si>
  <si>
    <t>LW</t>
  </si>
  <si>
    <t>LORK</t>
  </si>
  <si>
    <t>하지</t>
  </si>
  <si>
    <t>LLMT</t>
  </si>
  <si>
    <t>ACBG</t>
  </si>
  <si>
    <t>Academic Background</t>
  </si>
  <si>
    <t>한국표준산업분류</t>
  </si>
  <si>
    <t>KSIC</t>
  </si>
  <si>
    <t>Korean Standard Industrial Classification</t>
  </si>
  <si>
    <t>Korean (Language)</t>
  </si>
  <si>
    <t>KORN</t>
  </si>
  <si>
    <t>OM</t>
  </si>
  <si>
    <t>한방과</t>
  </si>
  <si>
    <t>OMED</t>
  </si>
  <si>
    <t>한센</t>
  </si>
  <si>
    <t>HNSEN</t>
  </si>
  <si>
    <t>OMLCTR</t>
  </si>
  <si>
    <t>INSM</t>
  </si>
  <si>
    <t>합가</t>
  </si>
  <si>
    <t>MEGE</t>
  </si>
  <si>
    <t>항결핵제</t>
  </si>
  <si>
    <t>ANTITBC</t>
  </si>
  <si>
    <t>항고혈압제</t>
  </si>
  <si>
    <t>SOPAH</t>
  </si>
  <si>
    <t>항고혈압제제</t>
  </si>
  <si>
    <t>NPAH</t>
  </si>
  <si>
    <t>RLVT</t>
  </si>
  <si>
    <t>ANA</t>
  </si>
  <si>
    <t>CNCLTN</t>
  </si>
  <si>
    <t>Cancellation</t>
  </si>
  <si>
    <t>BEH</t>
  </si>
  <si>
    <t>AMDG</t>
  </si>
  <si>
    <t>Dong(Administrative District)</t>
  </si>
  <si>
    <t>DISL</t>
  </si>
  <si>
    <t>ADMDSP</t>
  </si>
  <si>
    <t>Administrative Disposition</t>
  </si>
  <si>
    <t>향정신성약물</t>
  </si>
  <si>
    <t>AP</t>
  </si>
  <si>
    <t>PMSS</t>
  </si>
  <si>
    <t>PRMSN</t>
  </si>
  <si>
    <t>헤마토크리트</t>
  </si>
  <si>
    <t>HEMA</t>
  </si>
  <si>
    <t>헤모글로빈</t>
  </si>
  <si>
    <t>HEMO</t>
  </si>
  <si>
    <t>혈</t>
  </si>
  <si>
    <t>BLTY</t>
  </si>
  <si>
    <t>CFRNCE</t>
  </si>
  <si>
    <t>호르몬</t>
  </si>
  <si>
    <t>HOR</t>
  </si>
  <si>
    <t>CALN</t>
  </si>
  <si>
    <t>BRTHE</t>
  </si>
  <si>
    <t>MIX</t>
  </si>
  <si>
    <t>MRR</t>
  </si>
  <si>
    <t>홍보물</t>
  </si>
  <si>
    <t>ASSU</t>
  </si>
  <si>
    <t>Identify</t>
  </si>
  <si>
    <t>IDFR</t>
  </si>
  <si>
    <t>CFMTN</t>
  </si>
  <si>
    <t>확진</t>
  </si>
  <si>
    <t>CK</t>
  </si>
  <si>
    <t>RFND</t>
  </si>
  <si>
    <t>RMBR</t>
  </si>
  <si>
    <t>Refundment</t>
  </si>
  <si>
    <t>RDMT</t>
  </si>
  <si>
    <t>RDM</t>
  </si>
  <si>
    <t>환자입원외래</t>
  </si>
  <si>
    <t>MPTIO</t>
  </si>
  <si>
    <t>황달</t>
  </si>
  <si>
    <t>JNDC</t>
  </si>
  <si>
    <t>황산마그네슘</t>
  </si>
  <si>
    <t>SOPMS</t>
  </si>
  <si>
    <t>회계연도</t>
  </si>
  <si>
    <t>FYR</t>
  </si>
  <si>
    <t>Fiscal Year</t>
  </si>
  <si>
    <t>NUMBER COUNT</t>
  </si>
  <si>
    <t>EF</t>
  </si>
  <si>
    <t>DPAY</t>
  </si>
  <si>
    <t>SPP</t>
  </si>
  <si>
    <t>휠체어</t>
  </si>
  <si>
    <t>WLCHR</t>
  </si>
  <si>
    <t>WHEELCHAIR</t>
  </si>
  <si>
    <t>VACT</t>
  </si>
  <si>
    <t>SUTD</t>
  </si>
  <si>
    <t>TCBIZ</t>
  </si>
  <si>
    <t>Temporary Close of Business</t>
  </si>
  <si>
    <t>CHSTST</t>
  </si>
  <si>
    <t>CHEST STATUS</t>
  </si>
  <si>
    <t>흉터</t>
  </si>
  <si>
    <t>SCAR</t>
  </si>
  <si>
    <t>SMK</t>
  </si>
  <si>
    <t>NHAL</t>
  </si>
  <si>
    <t>HOP</t>
  </si>
  <si>
    <t>10세</t>
  </si>
  <si>
    <t>AG10</t>
  </si>
  <si>
    <t>18세</t>
  </si>
  <si>
    <t>AG18</t>
  </si>
  <si>
    <t>19세</t>
  </si>
  <si>
    <t>AG19</t>
  </si>
  <si>
    <t>TIM1</t>
  </si>
  <si>
    <t>20세</t>
  </si>
  <si>
    <t>AG20</t>
  </si>
  <si>
    <t>29세</t>
  </si>
  <si>
    <t>AG29</t>
  </si>
  <si>
    <t>30세</t>
  </si>
  <si>
    <t>AG30</t>
  </si>
  <si>
    <t>39세</t>
  </si>
  <si>
    <t>AG39</t>
  </si>
  <si>
    <t>3세</t>
  </si>
  <si>
    <t>AG3</t>
  </si>
  <si>
    <t>49세</t>
  </si>
  <si>
    <t>AG49</t>
  </si>
  <si>
    <t>4세</t>
  </si>
  <si>
    <t>AG4</t>
  </si>
  <si>
    <t>50세</t>
  </si>
  <si>
    <t>AG50</t>
  </si>
  <si>
    <t>PCTG50</t>
  </si>
  <si>
    <t>FIFTY PERCENT</t>
  </si>
  <si>
    <t>55세</t>
  </si>
  <si>
    <t>AG55</t>
  </si>
  <si>
    <t>59세</t>
  </si>
  <si>
    <t>AG59</t>
  </si>
  <si>
    <t>64세</t>
  </si>
  <si>
    <t>AG64</t>
  </si>
  <si>
    <t>65세</t>
  </si>
  <si>
    <t>AG65</t>
  </si>
  <si>
    <t>66세</t>
  </si>
  <si>
    <t>AG66</t>
  </si>
  <si>
    <t>6세</t>
  </si>
  <si>
    <t>AG6</t>
  </si>
  <si>
    <t>75세</t>
  </si>
  <si>
    <t>AG75</t>
  </si>
  <si>
    <t>ASLN</t>
  </si>
  <si>
    <t>ASSAILANT</t>
  </si>
  <si>
    <t>SIMPLIFIED</t>
  </si>
  <si>
    <t>SCSTR</t>
  </si>
  <si>
    <t>고함량</t>
  </si>
  <si>
    <t>HCONT</t>
  </si>
  <si>
    <t>HIGH CONTENT</t>
  </si>
  <si>
    <t>OBSRV</t>
  </si>
  <si>
    <t>LNTH</t>
  </si>
  <si>
    <t>DEEP</t>
  </si>
  <si>
    <t>DEEPNESS</t>
  </si>
  <si>
    <t>YYYY</t>
  </si>
  <si>
    <t>LOCL</t>
  </si>
  <si>
    <t>MDUL</t>
  </si>
  <si>
    <t>MTMK</t>
  </si>
  <si>
    <t>미접속</t>
  </si>
  <si>
    <t>UCNN</t>
  </si>
  <si>
    <t>UNCONNECTION</t>
  </si>
  <si>
    <t>MULTIPLE</t>
  </si>
  <si>
    <t>보건의료정보표준</t>
  </si>
  <si>
    <t>HINS</t>
  </si>
  <si>
    <t>IRWR</t>
  </si>
  <si>
    <t>IRREGULAR WORKER</t>
  </si>
  <si>
    <t>PRELIMINARY</t>
  </si>
  <si>
    <t>AFCT</t>
  </si>
  <si>
    <t>THE FIRST HALF YEAR</t>
  </si>
  <si>
    <t>생활터</t>
  </si>
  <si>
    <t>LFST</t>
  </si>
  <si>
    <t>DOCFM</t>
  </si>
  <si>
    <t>DOCUMENT FORM</t>
  </si>
  <si>
    <t>서체</t>
  </si>
  <si>
    <t>CLGF</t>
  </si>
  <si>
    <t>CALLIGRAPHIC STYLE</t>
  </si>
  <si>
    <t>SNOR</t>
  </si>
  <si>
    <t>시군구비</t>
  </si>
  <si>
    <t>SGEX</t>
  </si>
  <si>
    <t>SI/GUN/GU EXPENSES</t>
  </si>
  <si>
    <t>시도비</t>
  </si>
  <si>
    <t>CITIES AND PROVINCES EXPENSE</t>
  </si>
  <si>
    <t>SSTM</t>
  </si>
  <si>
    <t>신경정신과</t>
  </si>
  <si>
    <t>NP</t>
  </si>
  <si>
    <t>PRACTICAL</t>
  </si>
  <si>
    <t>앉기</t>
  </si>
  <si>
    <t>STDW</t>
  </si>
  <si>
    <t>SIT DOWN</t>
  </si>
  <si>
    <t>영양의학</t>
  </si>
  <si>
    <t>NUTM</t>
  </si>
  <si>
    <t>NUTRITIONAL MEDICINE</t>
  </si>
  <si>
    <t>OTXT</t>
  </si>
  <si>
    <t>ORIGINAL TEXT</t>
  </si>
  <si>
    <t>RPLI</t>
  </si>
  <si>
    <t>REPLIER</t>
  </si>
  <si>
    <t>의과</t>
  </si>
  <si>
    <t>MEDP</t>
  </si>
  <si>
    <t>MEDICAL DEPARTMENT</t>
  </si>
  <si>
    <t>MEDN</t>
  </si>
  <si>
    <t>일어나기</t>
  </si>
  <si>
    <t>STNP</t>
  </si>
  <si>
    <t>STAND UP</t>
  </si>
  <si>
    <t>저함량</t>
  </si>
  <si>
    <t>LCONT</t>
  </si>
  <si>
    <t>LOW CONTENT</t>
  </si>
  <si>
    <t>ELB</t>
  </si>
  <si>
    <t>ELECTRONIC BOARD</t>
  </si>
  <si>
    <t>전임</t>
  </si>
  <si>
    <t>RGWR</t>
  </si>
  <si>
    <t>REGULAR WORKER</t>
  </si>
  <si>
    <t>OGN</t>
  </si>
  <si>
    <t>MRAB</t>
  </si>
  <si>
    <t>CRETX</t>
  </si>
  <si>
    <t>CONSILIDATED REAL ESTATE TAX</t>
  </si>
  <si>
    <t>LTRT</t>
  </si>
  <si>
    <t>LEFT AND RIGHT</t>
  </si>
  <si>
    <t>지방비</t>
  </si>
  <si>
    <t>LGEX</t>
  </si>
  <si>
    <t>LOCAL GOVERMENT EXPENSSE</t>
  </si>
  <si>
    <t>JBFR</t>
  </si>
  <si>
    <t>JUST BEFORE</t>
  </si>
  <si>
    <t>JAFT</t>
  </si>
  <si>
    <t>JUST AFTER</t>
  </si>
  <si>
    <t>PRSM</t>
  </si>
  <si>
    <t>DVAT</t>
  </si>
  <si>
    <t>DEVIATION</t>
  </si>
  <si>
    <t>VCTM</t>
  </si>
  <si>
    <t>TSH</t>
  </si>
  <si>
    <t>THE SECOND HALF YEAR</t>
  </si>
  <si>
    <t>후임</t>
  </si>
  <si>
    <t>JNOR</t>
  </si>
  <si>
    <t>JUNIOR</t>
  </si>
  <si>
    <t>번호</t>
    <phoneticPr fontId="7" type="noConversion"/>
  </si>
  <si>
    <t>페이지명</t>
    <phoneticPr fontId="7" type="noConversion"/>
  </si>
  <si>
    <t>page</t>
    <phoneticPr fontId="7" type="noConversion"/>
  </si>
  <si>
    <t>화면</t>
    <phoneticPr fontId="7" type="noConversion"/>
  </si>
  <si>
    <t>2.uiPrPrM</t>
  </si>
  <si>
    <t>임신출산앱 메인</t>
  </si>
  <si>
    <t>메인 공지사항  조회</t>
    <phoneticPr fontId="7" type="noConversion"/>
  </si>
  <si>
    <t>알림 정보 조회</t>
    <phoneticPr fontId="7" type="noConversion"/>
  </si>
  <si>
    <t>3.uiPrPrMbrJoinM</t>
  </si>
  <si>
    <t>회원가입메인</t>
  </si>
  <si>
    <t>회원ID 중복확인</t>
    <phoneticPr fontId="7" type="noConversion"/>
  </si>
  <si>
    <t>회원 가입</t>
    <phoneticPr fontId="7" type="noConversion"/>
  </si>
  <si>
    <t>휴대폰 인증</t>
    <phoneticPr fontId="7" type="noConversion"/>
  </si>
  <si>
    <t>4.uiPrPrIndiInfmClctUseAgrM</t>
  </si>
  <si>
    <t>개인정보수집사용동의 메인</t>
  </si>
  <si>
    <t>5.uiPrPrOwnCnfmM</t>
  </si>
  <si>
    <t>본인확인메인</t>
  </si>
  <si>
    <t>공인인증서 인증</t>
    <phoneticPr fontId="7" type="noConversion"/>
  </si>
  <si>
    <t>6.uiPrPrIdSrchM</t>
  </si>
  <si>
    <t>아이디 찾기메인</t>
  </si>
  <si>
    <t>아이디 찾기</t>
    <phoneticPr fontId="7" type="noConversion"/>
  </si>
  <si>
    <t>7.uiPrPrPwdSrchM</t>
  </si>
  <si>
    <t>비밀번호 찾기메인</t>
  </si>
  <si>
    <t>비밀번호 찾기</t>
    <phoneticPr fontId="7" type="noConversion"/>
  </si>
  <si>
    <t>8.uiPrPrMyMenuM</t>
  </si>
  <si>
    <t>마이메뉴메인</t>
  </si>
  <si>
    <t>내정보 조회</t>
    <phoneticPr fontId="7" type="noConversion"/>
  </si>
  <si>
    <t>자동 로그인 ON/OFF</t>
    <phoneticPr fontId="7" type="noConversion"/>
  </si>
  <si>
    <t>9.uiPrPrPwdChgM</t>
  </si>
  <si>
    <t>비밀번호 변경 메인</t>
  </si>
  <si>
    <t>비밀번호 변경</t>
    <phoneticPr fontId="7" type="noConversion"/>
  </si>
  <si>
    <t>10.uiPrPrMbrWhdwlM</t>
  </si>
  <si>
    <t>회원탈퇴 메인</t>
  </si>
  <si>
    <t>회원탈퇴</t>
    <phoneticPr fontId="7" type="noConversion"/>
  </si>
  <si>
    <t>11.uiPrPrIndiInfmPrcsGdlnP</t>
  </si>
  <si>
    <t>개인정보처리지침 팝업</t>
  </si>
  <si>
    <t>12.uiPrPrCoCertCenM</t>
  </si>
  <si>
    <t>공동인증센터메인</t>
  </si>
  <si>
    <t>인증서 가져오기</t>
    <phoneticPr fontId="7" type="noConversion"/>
  </si>
  <si>
    <t>인증서 관리</t>
    <phoneticPr fontId="7" type="noConversion"/>
  </si>
  <si>
    <t>13.uiPrPrPrgnInfmM</t>
  </si>
  <si>
    <t>임신</t>
    <phoneticPr fontId="1" type="noConversion"/>
  </si>
  <si>
    <t>임신정보 메인</t>
  </si>
  <si>
    <t>임신정보 조회</t>
    <phoneticPr fontId="7" type="noConversion"/>
  </si>
  <si>
    <t>14.uiPrPrPrgnInfmRegM</t>
  </si>
  <si>
    <t>임신정보 등록 메인</t>
  </si>
  <si>
    <t>임신정보 등록</t>
  </si>
  <si>
    <t>임신정보 수정</t>
  </si>
  <si>
    <t>임신정보 삭제</t>
    <phoneticPr fontId="7" type="noConversion"/>
  </si>
  <si>
    <t>15.uiPrPrPaturInfmRegP</t>
  </si>
  <si>
    <t>분만정보 등록 팝업</t>
  </si>
  <si>
    <t>분만구분별 횟수 저장</t>
    <phoneticPr fontId="7" type="noConversion"/>
  </si>
  <si>
    <t>16.uiPrPrEmbrInfmRegP</t>
  </si>
  <si>
    <t>태아정보 등록 팝업</t>
  </si>
  <si>
    <t>태아 태명 저장</t>
    <phoneticPr fontId="7" type="noConversion"/>
  </si>
  <si>
    <t>17.uiPrPrParNbM</t>
  </si>
  <si>
    <t>임산부</t>
    <phoneticPr fontId="1" type="noConversion"/>
  </si>
  <si>
    <t>임산부 수첩메인</t>
  </si>
  <si>
    <t xml:space="preserve">월별 수첩 정보 조회 </t>
    <phoneticPr fontId="7" type="noConversion"/>
  </si>
  <si>
    <t xml:space="preserve">일자별 수첩 조회 </t>
    <phoneticPr fontId="7" type="noConversion"/>
  </si>
  <si>
    <t xml:space="preserve">일자별 수첩 상세 정기진찰 조회 </t>
    <phoneticPr fontId="7" type="noConversion"/>
  </si>
  <si>
    <t xml:space="preserve">일자별 수첩 상세 임신중검사 조회 </t>
    <phoneticPr fontId="7" type="noConversion"/>
  </si>
  <si>
    <t xml:space="preserve">일자별 수첩 상세 아기에게 조회 </t>
    <phoneticPr fontId="7" type="noConversion"/>
  </si>
  <si>
    <t>18.uiPrPrProdCnstM</t>
  </si>
  <si>
    <t>정기 진찰 메인</t>
  </si>
  <si>
    <t>정기진찰현황 조회</t>
    <phoneticPr fontId="7" type="noConversion"/>
  </si>
  <si>
    <t>19.uiPrPrWgChgM</t>
  </si>
  <si>
    <t>체중변화 메인</t>
  </si>
  <si>
    <t>화면 ( 그래프 포함 )</t>
    <phoneticPr fontId="7" type="noConversion"/>
  </si>
  <si>
    <t>체중변화 조회</t>
    <phoneticPr fontId="7" type="noConversion"/>
  </si>
  <si>
    <t>체중변화 수정</t>
    <phoneticPr fontId="7" type="noConversion"/>
  </si>
  <si>
    <t>20.uiPrPrProdCnstRegP</t>
  </si>
  <si>
    <t>정기진찰 등록 팝업</t>
  </si>
  <si>
    <t>정기진찰 등록</t>
  </si>
  <si>
    <t>정기진찰 수정</t>
    <phoneticPr fontId="7" type="noConversion"/>
  </si>
  <si>
    <t>21.uiPrPrEmbrWgChgM</t>
  </si>
  <si>
    <t>태아체중변화메인</t>
  </si>
  <si>
    <t>태아 체중변화 조회</t>
    <phoneticPr fontId="7" type="noConversion"/>
  </si>
  <si>
    <t>22.uiPrPrEmbrCdasndChgM</t>
  </si>
  <si>
    <t>태아심음변화메인</t>
    <phoneticPr fontId="7" type="noConversion"/>
  </si>
  <si>
    <t>태아 심음변화 조회</t>
    <phoneticPr fontId="7" type="noConversion"/>
  </si>
  <si>
    <t>23.uiPrPrDexmM</t>
  </si>
  <si>
    <t>임신중 검사메인</t>
  </si>
  <si>
    <t>임신중검사 조회</t>
    <phoneticPr fontId="7" type="noConversion"/>
  </si>
  <si>
    <t>24.uiPrPrDexmRegP</t>
  </si>
  <si>
    <t>임신중검사등록 팝업</t>
  </si>
  <si>
    <t>공통코드</t>
    <phoneticPr fontId="7" type="noConversion"/>
  </si>
  <si>
    <t>임신중검사 공통코드 조회</t>
    <phoneticPr fontId="7" type="noConversion"/>
  </si>
  <si>
    <t>25.uiPrPrFlcagIragRcvDtlsM</t>
  </si>
  <si>
    <t>엽산제철분제수령내역 메인</t>
  </si>
  <si>
    <t>엽산제·철분제 수령 내역 조회</t>
    <phoneticPr fontId="7" type="noConversion"/>
  </si>
  <si>
    <t>본인인증후 타시스템 연계해서 데이터 가져와야함.</t>
    <phoneticPr fontId="7" type="noConversion"/>
  </si>
  <si>
    <t>26.uiPrPrBabyToLtrM</t>
  </si>
  <si>
    <t>아기에게 편지 메인</t>
  </si>
  <si>
    <t>아기에게 편지 목록 조회</t>
    <phoneticPr fontId="7" type="noConversion"/>
  </si>
  <si>
    <t>선택변환 안함. 하나씩만, PDF변환 함.</t>
    <phoneticPr fontId="7" type="noConversion"/>
  </si>
  <si>
    <t>아기에게 편지 변환</t>
    <phoneticPr fontId="7" type="noConversion"/>
  </si>
  <si>
    <t>27.uiPrPrBabyToLtrRegP</t>
  </si>
  <si>
    <t>아기에게 편지 등록 팝업</t>
    <phoneticPr fontId="7" type="noConversion"/>
  </si>
  <si>
    <t xml:space="preserve">아기에게 편지 등록 </t>
    <phoneticPr fontId="7" type="noConversion"/>
  </si>
  <si>
    <t>28.uiPrPrBabyToPrevwP</t>
  </si>
  <si>
    <t>아기에게 편지 미리보기 팝업</t>
  </si>
  <si>
    <t>PDF변환</t>
    <phoneticPr fontId="7" type="noConversion"/>
  </si>
  <si>
    <t>29.uiPrPrBabyInfmM</t>
  </si>
  <si>
    <t>아기정보메인</t>
  </si>
  <si>
    <t>아기정보 목록 조회</t>
    <phoneticPr fontId="7" type="noConversion"/>
  </si>
  <si>
    <t>30.uiPrPrBabyInfmRegM</t>
  </si>
  <si>
    <t>아기정보등록메인</t>
  </si>
  <si>
    <t>아기정보 입력</t>
    <phoneticPr fontId="7" type="noConversion"/>
  </si>
  <si>
    <t>아기정보 수정</t>
    <phoneticPr fontId="7" type="noConversion"/>
  </si>
  <si>
    <t>아기정보 삭제</t>
    <phoneticPr fontId="7" type="noConversion"/>
  </si>
  <si>
    <t>아기정보 상세 조회</t>
    <phoneticPr fontId="7" type="noConversion"/>
  </si>
  <si>
    <t>31.uiPrPrPtrInfmRegP</t>
  </si>
  <si>
    <t>보호자정보등록팝업</t>
  </si>
  <si>
    <t>보호자정보 입력</t>
    <phoneticPr fontId="7" type="noConversion"/>
  </si>
  <si>
    <t>보호자정보 수정</t>
    <phoneticPr fontId="7" type="noConversion"/>
  </si>
  <si>
    <t>보호자정보 삭제</t>
    <phoneticPr fontId="7" type="noConversion"/>
  </si>
  <si>
    <t>32.uiPrPrBabyNbM</t>
  </si>
  <si>
    <t>아기</t>
    <phoneticPr fontId="1" type="noConversion"/>
  </si>
  <si>
    <t>아기수첩메인</t>
  </si>
  <si>
    <t xml:space="preserve">일자별 수첩 상세 성장기록 조회 </t>
    <phoneticPr fontId="7" type="noConversion"/>
  </si>
  <si>
    <t xml:space="preserve">일자별 수첩 상세 의료기관방문 조회 </t>
    <phoneticPr fontId="7" type="noConversion"/>
  </si>
  <si>
    <t xml:space="preserve">일자별 수첩 상세 건강검진 조회 </t>
    <phoneticPr fontId="7" type="noConversion"/>
  </si>
  <si>
    <t xml:space="preserve">일자별 수첩 상세 표준예방접종 기록 조회 </t>
    <phoneticPr fontId="7" type="noConversion"/>
  </si>
  <si>
    <t>33.uiPrPrGrtwRcordWgM</t>
  </si>
  <si>
    <t>성장기록몸무게메인</t>
  </si>
  <si>
    <t>아기성장기록조회</t>
    <phoneticPr fontId="7" type="noConversion"/>
  </si>
  <si>
    <t>34.uiPrPrGrtwRcordHeigM</t>
  </si>
  <si>
    <t>성장기록키메인</t>
  </si>
  <si>
    <t>아기 성장기록정보 입력</t>
    <phoneticPr fontId="7" type="noConversion"/>
  </si>
  <si>
    <t>아기 성장기록정보 수정</t>
    <phoneticPr fontId="7" type="noConversion"/>
  </si>
  <si>
    <t>35.uiPrPrGrtwRcordHeadCcmfM</t>
  </si>
  <si>
    <t>성장기록머리둘레메인</t>
  </si>
  <si>
    <t>아기 성장기록 조회</t>
    <phoneticPr fontId="7" type="noConversion"/>
  </si>
  <si>
    <t>36.uiPrPrGrtwRcordRegM</t>
  </si>
  <si>
    <t>성장기록등록 팝업</t>
  </si>
  <si>
    <t>성장기록 입력</t>
    <phoneticPr fontId="7" type="noConversion"/>
  </si>
  <si>
    <t>성장기록 수정</t>
    <phoneticPr fontId="7" type="noConversion"/>
  </si>
  <si>
    <t>37.uiPrPrMdlcnstVstInfmM</t>
  </si>
  <si>
    <t>의료기관방문정보메인</t>
  </si>
  <si>
    <t>의료기관방문정보 현황 조회</t>
    <phoneticPr fontId="7" type="noConversion"/>
  </si>
  <si>
    <t>38.uiPrPrMdlcnstVstInfmRegP</t>
  </si>
  <si>
    <t>의료기관방문정보등록팝업</t>
  </si>
  <si>
    <t>의료기관방문정보 입력</t>
    <phoneticPr fontId="7" type="noConversion"/>
  </si>
  <si>
    <t>의료기관방문정보 삭제</t>
    <phoneticPr fontId="7" type="noConversion"/>
  </si>
  <si>
    <t>39.uiPrPrHthHpM</t>
  </si>
  <si>
    <t>건강검진메인</t>
  </si>
  <si>
    <t>건강검진 조회</t>
    <phoneticPr fontId="7" type="noConversion"/>
  </si>
  <si>
    <t>40.uiPrPrHthHpRegP</t>
  </si>
  <si>
    <t>건강검진등록 팝업</t>
  </si>
  <si>
    <t>건강검진 입력</t>
    <phoneticPr fontId="7" type="noConversion"/>
  </si>
  <si>
    <t>주차별 1~ 7 주 등록 화면이 상이함.</t>
    <phoneticPr fontId="7" type="noConversion"/>
  </si>
  <si>
    <t>건강검진 수정</t>
    <phoneticPr fontId="7" type="noConversion"/>
  </si>
  <si>
    <t>건강검진 삭제</t>
    <phoneticPr fontId="7" type="noConversion"/>
  </si>
  <si>
    <t>41.uiPrPrPrevntInocM</t>
  </si>
  <si>
    <t>예방접종메인</t>
  </si>
  <si>
    <t>예방접종 현황 조회</t>
    <phoneticPr fontId="7" type="noConversion"/>
  </si>
  <si>
    <t>42.uiPrPrPrevntInocRegP</t>
  </si>
  <si>
    <t>예방접종등록팝업</t>
  </si>
  <si>
    <t>예방접종 정보 등록</t>
  </si>
  <si>
    <t>43.uiPrPrTlmdInfmM</t>
  </si>
  <si>
    <t>맞춤정보메인</t>
  </si>
  <si>
    <t>맞춤정보 목록 조회</t>
    <phoneticPr fontId="7" type="noConversion"/>
  </si>
  <si>
    <t>44.uiPrPrTlmdInfmDtlP</t>
  </si>
  <si>
    <t>맞춤정보상세팝업</t>
  </si>
  <si>
    <t>맞춤정보 상세조회</t>
    <phoneticPr fontId="7" type="noConversion"/>
  </si>
  <si>
    <t>45.uiPrPrSetnM</t>
  </si>
  <si>
    <t>설정메인</t>
  </si>
  <si>
    <t>알림수신설정</t>
    <phoneticPr fontId="7" type="noConversion"/>
  </si>
  <si>
    <t>맞춤형정보 알림수신설정</t>
  </si>
  <si>
    <t>알림가능시간 설정</t>
  </si>
  <si>
    <t>46.uiPrPrNtcItmM</t>
  </si>
  <si>
    <t>공지사항메인</t>
  </si>
  <si>
    <t>공지글목록 조회</t>
    <phoneticPr fontId="7" type="noConversion"/>
  </si>
  <si>
    <t>47.uiPrPrNtcItmDtlP</t>
  </si>
  <si>
    <t>공지사항상세팝업</t>
  </si>
  <si>
    <t>공지상세조회</t>
    <phoneticPr fontId="7" type="noConversion"/>
  </si>
  <si>
    <t>48.uiPrPrFaqM</t>
  </si>
  <si>
    <t>도움말메인</t>
  </si>
  <si>
    <t>글 목록 조회</t>
    <phoneticPr fontId="7" type="noConversion"/>
  </si>
  <si>
    <t>49.uiPrPrFaqDtlP</t>
  </si>
  <si>
    <t>도움말상세팝업</t>
  </si>
  <si>
    <t>도움말 상세 조회</t>
  </si>
  <si>
    <t>50.uiPrPrMdlcnstInfmM</t>
  </si>
  <si>
    <t>의료기관정보메인</t>
  </si>
  <si>
    <t>의료기관정보조회</t>
    <phoneticPr fontId="7" type="noConversion"/>
  </si>
  <si>
    <t>지역,진료과별 의료기관정보 조회</t>
    <phoneticPr fontId="7" type="noConversion"/>
  </si>
  <si>
    <t>관리자</t>
    <phoneticPr fontId="7" type="noConversion"/>
  </si>
  <si>
    <t>51.uiPrPrNotcInfmMngM</t>
  </si>
  <si>
    <t>알림정보 관리 메인</t>
  </si>
  <si>
    <t>52.uiPrPrNotcInfmRegP</t>
  </si>
  <si>
    <t>알림정보 등록</t>
  </si>
  <si>
    <t>53.uiPrPrNotcSetnMngM</t>
  </si>
  <si>
    <t>알림설정관리 메인</t>
  </si>
  <si>
    <t>54.uiPrPrNotcSetnRegP</t>
  </si>
  <si>
    <t>알림설정등록</t>
  </si>
  <si>
    <t>55.uiPrPrMbrInfmMngM</t>
  </si>
  <si>
    <t>회원정보관리메인</t>
  </si>
  <si>
    <t>56.uiPrPrMbrInfmInsemiP</t>
  </si>
  <si>
    <t>회원정보수정팝업</t>
  </si>
  <si>
    <t>기존개발자</t>
    <phoneticPr fontId="7" type="noConversion"/>
  </si>
  <si>
    <t>72.uiPrPrParDclrGudM</t>
    <phoneticPr fontId="7" type="noConversion"/>
  </si>
  <si>
    <t>임산부 신고 안내메인</t>
  </si>
  <si>
    <t>신고서</t>
    <phoneticPr fontId="7" type="noConversion"/>
  </si>
  <si>
    <t>73.uiPrPrParDclrM</t>
  </si>
  <si>
    <t>임산부 신고메인</t>
  </si>
  <si>
    <t>주소검색팝업</t>
  </si>
  <si>
    <t>주소검색</t>
    <phoneticPr fontId="7" type="noConversion"/>
  </si>
  <si>
    <t>보건소선택</t>
    <phoneticPr fontId="7" type="noConversion"/>
  </si>
  <si>
    <t>임산부 신고 입력</t>
    <phoneticPr fontId="7" type="noConversion"/>
  </si>
  <si>
    <t>74.uiPrPrParDclrDtlM</t>
  </si>
  <si>
    <t>임산부 신고 상세보기</t>
  </si>
  <si>
    <t>임산부 신고 상세 조회</t>
    <phoneticPr fontId="7" type="noConversion"/>
  </si>
  <si>
    <t>75.uiPrPrParDclrSttusM</t>
  </si>
  <si>
    <t>임산부 신고 현황메인</t>
  </si>
  <si>
    <t>임산부 신고 현황 목록 조회</t>
    <phoneticPr fontId="7" type="noConversion"/>
  </si>
  <si>
    <t>76.uiPrPrNtrtGudM</t>
  </si>
  <si>
    <t>엽산제·철분제 신청 안내메인</t>
  </si>
  <si>
    <t>77.uiPrPrNtrtAppM</t>
  </si>
  <si>
    <t>엽산제·철분제 신청메인</t>
  </si>
  <si>
    <t>엽산제·철분제 신청 현황 입력</t>
    <phoneticPr fontId="7" type="noConversion"/>
  </si>
  <si>
    <t>78.uiPrPrNtrtSttusM</t>
  </si>
  <si>
    <t>엽산제·철분제 신청 현황메인</t>
  </si>
  <si>
    <t>임산부 신고 정보 조회</t>
    <phoneticPr fontId="7" type="noConversion"/>
  </si>
  <si>
    <t>엽산제·철분제 신청메인 목록 조회</t>
    <phoneticPr fontId="7" type="noConversion"/>
  </si>
  <si>
    <t>79.uiPrPrStdMchNbGudM</t>
  </si>
  <si>
    <t>표준모자보건수첩 신청 안내메인</t>
  </si>
  <si>
    <t>80.uiPrPrStdMchNbAppM</t>
  </si>
  <si>
    <t>표준모자보건수첩 신청메인</t>
  </si>
  <si>
    <t>표준모자보건수첩 신청 입력</t>
    <phoneticPr fontId="7" type="noConversion"/>
  </si>
  <si>
    <t>81.uiPrPrStdMchNbSttusM</t>
  </si>
  <si>
    <t>표준모자보건수첩 신청 현황메인</t>
  </si>
  <si>
    <t>표준모자보건수첩 신청 현황 목록 조회</t>
    <phoneticPr fontId="7" type="noConversion"/>
  </si>
  <si>
    <t>82.uiPrPrLfeIntlHthMngGudM</t>
  </si>
  <si>
    <t>생애초기건강관리 신청 안내메인</t>
  </si>
  <si>
    <t>83.uiPrPrLfeIntlHthMngAppM</t>
  </si>
  <si>
    <t>생애초기건강관리 신청메인</t>
  </si>
  <si>
    <t>생애초기건강관리 신청 입력</t>
    <phoneticPr fontId="7" type="noConversion"/>
  </si>
  <si>
    <t>84.uiPrPrLfeIntlHthMngSttusM</t>
  </si>
  <si>
    <t>생애초기건강관리 신청 현황메인</t>
  </si>
  <si>
    <t>85.uiPrPrEpdsDglmExmM</t>
  </si>
  <si>
    <t>에딘버러 산후우울 검사메인</t>
  </si>
  <si>
    <t>에딘버러 산후우울 검사 목록 조회</t>
    <phoneticPr fontId="7" type="noConversion"/>
  </si>
  <si>
    <t>86.uiPrPrEpdsDglmExmSttusM</t>
  </si>
  <si>
    <t>에딘버러 산후우울 검사 현황메인</t>
  </si>
  <si>
    <t>에딘버러 산후우울 검사 입력</t>
    <phoneticPr fontId="7" type="noConversion"/>
  </si>
  <si>
    <t>61.uiPrPrOnAppPrcM</t>
  </si>
  <si>
    <t>신청 처리 절차메인</t>
  </si>
  <si>
    <t>59.uiPrPrOnAppChoM</t>
  </si>
  <si>
    <t>온라인신청 선택메인</t>
  </si>
  <si>
    <t>60.uiPrPrOnAppAgrGudM</t>
  </si>
  <si>
    <t>온라인신청 정보 동의  안내메인</t>
  </si>
  <si>
    <t>57.uiPrPrAddrSrchP</t>
  </si>
  <si>
    <t>58.uiPrPrHmbrSrchP</t>
  </si>
  <si>
    <t>가구원검색팝업</t>
  </si>
  <si>
    <t>가구원검색</t>
    <phoneticPr fontId="7" type="noConversion"/>
  </si>
  <si>
    <t>62.uiPrPrOnAppRegM</t>
  </si>
  <si>
    <t>온라인신청메인</t>
  </si>
  <si>
    <t>가족구성원 추가</t>
    <phoneticPr fontId="7" type="noConversion"/>
  </si>
  <si>
    <t>가족구성원 삭제</t>
    <phoneticPr fontId="7" type="noConversion"/>
  </si>
  <si>
    <t>63.uiPrPrAppliInfmInptT</t>
  </si>
  <si>
    <t>온라인신청메인 - 신청자정보입력탭</t>
    <phoneticPr fontId="7" type="noConversion"/>
  </si>
  <si>
    <t>실명인증</t>
    <phoneticPr fontId="7" type="noConversion"/>
  </si>
  <si>
    <t>신청자 정보 입력</t>
    <phoneticPr fontId="7" type="noConversion"/>
  </si>
  <si>
    <t>신청자 정보 입력 - 임시저장</t>
    <phoneticPr fontId="7" type="noConversion"/>
  </si>
  <si>
    <t>신청자 정보 입력 - 저장</t>
    <phoneticPr fontId="7" type="noConversion"/>
  </si>
  <si>
    <t>64.uiPrPrSrvcAppInfmInptT</t>
  </si>
  <si>
    <t>온라인신청메인 - 서비스신청정보입력탭</t>
    <phoneticPr fontId="7" type="noConversion"/>
  </si>
  <si>
    <t>서비스신청정보 입력 - 임시저장</t>
    <phoneticPr fontId="7" type="noConversion"/>
  </si>
  <si>
    <t>서비스신청정보 입력 - 저장</t>
    <phoneticPr fontId="7" type="noConversion"/>
  </si>
  <si>
    <t>66.uiPrPrInptInfmCnfmT</t>
  </si>
  <si>
    <t>입력정보확인탭</t>
  </si>
  <si>
    <t>온라인신청 정보 조회</t>
    <phoneticPr fontId="7" type="noConversion"/>
  </si>
  <si>
    <t>입력정보 입력</t>
    <phoneticPr fontId="7" type="noConversion"/>
  </si>
  <si>
    <t>65.uiPrPrPrstDocAttcT</t>
  </si>
  <si>
    <t>제출 문서 첨부탭</t>
    <phoneticPr fontId="7" type="noConversion"/>
  </si>
  <si>
    <t>제출 문서 파일첨부</t>
    <phoneticPr fontId="7" type="noConversion"/>
  </si>
  <si>
    <t>제출 문서 임시 저장</t>
    <phoneticPr fontId="7" type="noConversion"/>
  </si>
  <si>
    <t>제출 문서 저장</t>
    <phoneticPr fontId="7" type="noConversion"/>
  </si>
  <si>
    <t>67.uiPrPrOnAppSttusM</t>
    <phoneticPr fontId="7" type="noConversion"/>
  </si>
  <si>
    <t>온라인신청 현황메인</t>
  </si>
  <si>
    <t>온라인신청 - 삭제</t>
    <phoneticPr fontId="7" type="noConversion"/>
  </si>
  <si>
    <t>68.uiPrPrSupDcsnAvtsmtIssuP</t>
  </si>
  <si>
    <t>지원결정통지서 발급팝업</t>
  </si>
  <si>
    <t>지원결정통지서 발급 입력</t>
    <phoneticPr fontId="7" type="noConversion"/>
  </si>
  <si>
    <t>69.uiPrPrOnAppDtlM</t>
  </si>
  <si>
    <t>온라인신청 상세보기메인</t>
  </si>
  <si>
    <t>70.uiPrPrOnAppChrgM</t>
  </si>
  <si>
    <t>온라인청구메인</t>
  </si>
  <si>
    <t>신청인 정보 조회</t>
    <phoneticPr fontId="7" type="noConversion"/>
  </si>
  <si>
    <t>청구 정보 입력</t>
    <phoneticPr fontId="7" type="noConversion"/>
  </si>
  <si>
    <t>71.uiPrPrOnAppChrgDtlM</t>
  </si>
  <si>
    <t>온라인청구상세보기메인</t>
  </si>
  <si>
    <t>온라인청구 상세 정보 조회</t>
    <phoneticPr fontId="7" type="noConversion"/>
  </si>
  <si>
    <t>87.uiPrPrOwnCertM</t>
  </si>
  <si>
    <t>본인인증메인</t>
  </si>
  <si>
    <t>샘플</t>
    <phoneticPr fontId="1" type="noConversion"/>
  </si>
  <si>
    <t>샘플 목록</t>
    <phoneticPr fontId="7" type="noConversion"/>
  </si>
  <si>
    <t>info</t>
    <phoneticPr fontId="1" type="noConversion"/>
  </si>
  <si>
    <t>detail</t>
    <phoneticPr fontId="1" type="noConversion"/>
  </si>
  <si>
    <t>상세보기</t>
    <phoneticPr fontId="1" type="noConversion"/>
  </si>
  <si>
    <t>view</t>
    <phoneticPr fontId="1" type="noConversion"/>
  </si>
  <si>
    <t>보기</t>
    <phoneticPr fontId="1" type="noConversion"/>
  </si>
  <si>
    <t>샘플 작성 화면</t>
    <phoneticPr fontId="7" type="noConversion"/>
  </si>
  <si>
    <t>샘플 목록 화면</t>
    <phoneticPr fontId="7" type="noConversion"/>
  </si>
  <si>
    <t>샘플 수정</t>
    <phoneticPr fontId="7" type="noConversion"/>
  </si>
  <si>
    <t>샘플 상세 화면</t>
    <phoneticPr fontId="7" type="noConversion"/>
  </si>
  <si>
    <t>샘플 상세</t>
    <phoneticPr fontId="7" type="noConversion"/>
  </si>
  <si>
    <t>샘플 목록 JSP</t>
    <phoneticPr fontId="7" type="noConversion"/>
  </si>
  <si>
    <t>샘플 입력 JSP</t>
    <phoneticPr fontId="7" type="noConversion"/>
  </si>
  <si>
    <t>샘플 상세 JSP</t>
    <phoneticPr fontId="7" type="noConversion"/>
  </si>
  <si>
    <t xml:space="preserve">샘플 삭제 </t>
    <phoneticPr fontId="7" type="noConversion"/>
  </si>
  <si>
    <t>selectList</t>
    <phoneticPr fontId="1" type="noConversion"/>
  </si>
  <si>
    <t>URL</t>
    <phoneticPr fontId="7" type="noConversion"/>
  </si>
  <si>
    <t>샘플 입력</t>
    <phoneticPr fontId="7" type="noConversion"/>
  </si>
  <si>
    <t>Login</t>
    <phoneticPr fontId="1" type="noConversion"/>
  </si>
  <si>
    <t>샘플 목록 Rest Api</t>
    <phoneticPr fontId="7" type="noConversion"/>
  </si>
  <si>
    <t>샘플 상세 Rest Api</t>
    <phoneticPr fontId="7" type="noConversion"/>
  </si>
  <si>
    <t>샘플 저장 Rest Api</t>
    <phoneticPr fontId="7" type="noConversion"/>
  </si>
  <si>
    <t>샘플 삭제 Rest Api</t>
    <phoneticPr fontId="7" type="noConversion"/>
  </si>
  <si>
    <t>로그인 사용자 체크</t>
    <phoneticPr fontId="7" type="noConversion"/>
  </si>
  <si>
    <t>샘플 컨트롤러</t>
    <phoneticPr fontId="1" type="noConversion"/>
  </si>
  <si>
    <t>샘플 VO</t>
    <phoneticPr fontId="1" type="noConversion"/>
  </si>
  <si>
    <t>샘플 Service</t>
    <phoneticPr fontId="1" type="noConversion"/>
  </si>
  <si>
    <t>샘플 ServiceImpl</t>
    <phoneticPr fontId="1" type="noConversion"/>
  </si>
  <si>
    <t>controller</t>
  </si>
  <si>
    <t>샘플 dao</t>
    <phoneticPr fontId="1" type="noConversion"/>
  </si>
  <si>
    <t>샘플 mapper</t>
    <phoneticPr fontId="1" type="noConversion"/>
  </si>
  <si>
    <t>샘플 sql xml</t>
    <phoneticPr fontId="1" type="noConversion"/>
  </si>
  <si>
    <t>임신출산앱 메인</t>
    <phoneticPr fontId="1" type="noConversion"/>
  </si>
  <si>
    <t>login</t>
    <phoneticPr fontId="1" type="noConversion"/>
  </si>
  <si>
    <t>로그인 컨트롤러</t>
    <phoneticPr fontId="1" type="noConversion"/>
  </si>
  <si>
    <t>로그인 Service</t>
  </si>
  <si>
    <t>로그인 ServiceImpl</t>
  </si>
  <si>
    <t>sample</t>
    <phoneticPr fontId="1" type="noConversion"/>
  </si>
  <si>
    <t>로그인 JSP</t>
    <phoneticPr fontId="7" type="noConversion"/>
  </si>
  <si>
    <t>로그인 화면</t>
    <phoneticPr fontId="7" type="noConversion"/>
  </si>
  <si>
    <t>check</t>
    <phoneticPr fontId="1" type="noConversion"/>
  </si>
  <si>
    <t>빌드구분</t>
    <phoneticPr fontId="7" type="noConversion"/>
  </si>
  <si>
    <t>빌드#1</t>
    <phoneticPr fontId="7" type="noConversion"/>
  </si>
  <si>
    <t>빌드#2</t>
    <phoneticPr fontId="7" type="noConversion"/>
  </si>
  <si>
    <t>빌드#3</t>
    <phoneticPr fontId="7" type="noConversion"/>
  </si>
  <si>
    <t>합계</t>
    <phoneticPr fontId="7" type="noConversion"/>
  </si>
  <si>
    <t>중요도</t>
    <phoneticPr fontId="7" type="noConversion"/>
  </si>
  <si>
    <t>보고서</t>
    <phoneticPr fontId="7" type="noConversion"/>
  </si>
  <si>
    <t>배치</t>
    <phoneticPr fontId="7" type="noConversion"/>
  </si>
  <si>
    <t>인터페이스</t>
    <phoneticPr fontId="7" type="noConversion"/>
  </si>
  <si>
    <t>유효시작일:</t>
    <phoneticPr fontId="7" type="noConversion"/>
  </si>
  <si>
    <t>측정기준일</t>
    <phoneticPr fontId="7" type="noConversion"/>
  </si>
  <si>
    <t>상</t>
    <phoneticPr fontId="7" type="noConversion"/>
  </si>
  <si>
    <t>유효종료일:</t>
    <phoneticPr fontId="7" type="noConversion"/>
  </si>
  <si>
    <t>중</t>
    <phoneticPr fontId="7" type="noConversion"/>
  </si>
  <si>
    <t>프로그램 개발</t>
    <phoneticPr fontId="7" type="noConversion"/>
  </si>
  <si>
    <t>개발자테스트</t>
    <phoneticPr fontId="7" type="noConversion"/>
  </si>
  <si>
    <t>PL테스트</t>
    <phoneticPr fontId="7" type="noConversion"/>
  </si>
  <si>
    <t>계획진척률</t>
    <phoneticPr fontId="7" type="noConversion"/>
  </si>
  <si>
    <t>하</t>
    <phoneticPr fontId="7" type="noConversion"/>
  </si>
  <si>
    <t>금주 계획</t>
    <phoneticPr fontId="7" type="noConversion"/>
  </si>
  <si>
    <t>금주 실적</t>
    <phoneticPr fontId="7" type="noConversion"/>
  </si>
  <si>
    <t>차주 계획</t>
    <phoneticPr fontId="7" type="noConversion"/>
  </si>
  <si>
    <t>금주 계획</t>
  </si>
  <si>
    <t>금주 실적</t>
  </si>
  <si>
    <t>차주 계획</t>
  </si>
  <si>
    <t>실적진척률</t>
    <phoneticPr fontId="7" type="noConversion"/>
  </si>
  <si>
    <t>금주</t>
    <phoneticPr fontId="7" type="noConversion"/>
  </si>
  <si>
    <t>누적</t>
    <phoneticPr fontId="7" type="noConversion"/>
  </si>
  <si>
    <t>차주</t>
    <phoneticPr fontId="7" type="noConversion"/>
  </si>
  <si>
    <t>프로그램 개발(65%)</t>
    <phoneticPr fontId="7" type="noConversion"/>
  </si>
  <si>
    <t>개발자테스트(15%)</t>
    <phoneticPr fontId="7" type="noConversion"/>
  </si>
  <si>
    <t>PL테스트(20%)</t>
    <phoneticPr fontId="7" type="noConversion"/>
  </si>
  <si>
    <t>정보원테스트</t>
    <phoneticPr fontId="7" type="noConversion"/>
  </si>
  <si>
    <t>변동내역</t>
    <phoneticPr fontId="7" type="noConversion"/>
  </si>
  <si>
    <t>테스트 이력 추적</t>
    <phoneticPr fontId="7" type="noConversion"/>
  </si>
  <si>
    <t>계획</t>
    <phoneticPr fontId="7" type="noConversion"/>
  </si>
  <si>
    <t>실적</t>
    <phoneticPr fontId="7" type="noConversion"/>
  </si>
  <si>
    <t>업무구분</t>
    <phoneticPr fontId="7" type="noConversion"/>
  </si>
  <si>
    <t>상세업무</t>
    <phoneticPr fontId="7" type="noConversion"/>
  </si>
  <si>
    <t>요구기능ID</t>
    <phoneticPr fontId="7" type="noConversion"/>
  </si>
  <si>
    <t>화면ID
(화면/보고서/배치 ID 등)</t>
    <phoneticPr fontId="7" type="noConversion"/>
  </si>
  <si>
    <t>화면명
(화면/보고서/배치 명 등)</t>
    <phoneticPr fontId="7" type="noConversion"/>
  </si>
  <si>
    <t>개발 유형</t>
    <phoneticPr fontId="7" type="noConversion"/>
  </si>
  <si>
    <t>단위테스트케이스ID : 명</t>
    <phoneticPr fontId="7" type="noConversion"/>
  </si>
  <si>
    <t>메인 프로그램 ID : 명</t>
    <phoneticPr fontId="7" type="noConversion"/>
  </si>
  <si>
    <t>난이도</t>
    <phoneticPr fontId="7" type="noConversion"/>
  </si>
  <si>
    <t>진행상태</t>
    <phoneticPr fontId="7" type="noConversion"/>
  </si>
  <si>
    <t>개발자</t>
    <phoneticPr fontId="7" type="noConversion"/>
  </si>
  <si>
    <t>계획시작일</t>
    <phoneticPr fontId="7" type="noConversion"/>
  </si>
  <si>
    <t>계획종료일</t>
    <phoneticPr fontId="7" type="noConversion"/>
  </si>
  <si>
    <t>기간</t>
    <phoneticPr fontId="7" type="noConversion"/>
  </si>
  <si>
    <t>실제시작일</t>
    <phoneticPr fontId="7" type="noConversion"/>
  </si>
  <si>
    <t>실제종료일</t>
    <phoneticPr fontId="7" type="noConversion"/>
  </si>
  <si>
    <t>진척률</t>
    <phoneticPr fontId="7" type="noConversion"/>
  </si>
  <si>
    <t>계획시작일</t>
  </si>
  <si>
    <t>계획종료일</t>
  </si>
  <si>
    <t>검증자</t>
    <phoneticPr fontId="7" type="noConversion"/>
  </si>
  <si>
    <t>실제시작일</t>
  </si>
  <si>
    <t>실제종료일</t>
  </si>
  <si>
    <t>테스트일</t>
    <phoneticPr fontId="7" type="noConversion"/>
  </si>
  <si>
    <t>담당자</t>
    <phoneticPr fontId="7" type="noConversion"/>
  </si>
  <si>
    <t>변동구분</t>
    <phoneticPr fontId="7" type="noConversion"/>
  </si>
  <si>
    <t>변동사유</t>
    <phoneticPr fontId="7" type="noConversion"/>
  </si>
  <si>
    <t>포털및모바일</t>
  </si>
  <si>
    <t>임신출산모바일앱</t>
  </si>
  <si>
    <t>REQ-POR-0206-01</t>
  </si>
  <si>
    <t>안드로이드 하이브리드 개발 환경 셋팅</t>
    <phoneticPr fontId="7" type="noConversion"/>
  </si>
  <si>
    <t>개발환경 구성</t>
    <phoneticPr fontId="7" type="noConversion"/>
  </si>
  <si>
    <t/>
  </si>
  <si>
    <t>김지훈</t>
    <phoneticPr fontId="7" type="noConversion"/>
  </si>
  <si>
    <t>빌드#2</t>
  </si>
  <si>
    <t>모바일 REST 서버 셋팅</t>
    <phoneticPr fontId="7" type="noConversion"/>
  </si>
  <si>
    <t>모바일 웹(하이브리드웹) 셋팅</t>
    <phoneticPr fontId="7" type="noConversion"/>
  </si>
  <si>
    <t>uiPrPrLgnM</t>
  </si>
  <si>
    <t>로그인 메인</t>
  </si>
  <si>
    <t>REQ-POR-0203-01
REQ-POR-0203-03
REQ-POR-0204-01
REQ-POR-0204-03
REQ-POR-0205-01
REQ-POR-0205-03</t>
  </si>
  <si>
    <t>uiPrPrM</t>
    <phoneticPr fontId="7" type="noConversion"/>
  </si>
  <si>
    <t>uiPrPrMbrJoinM</t>
  </si>
  <si>
    <t>회원가입 메인</t>
  </si>
  <si>
    <t>uiPrPrIndiInfmClctUseAgrM</t>
  </si>
  <si>
    <t>uiPrPrIdSrchM</t>
  </si>
  <si>
    <t>아이디찾기 메인</t>
  </si>
  <si>
    <t>uiPrPrPwdSrchM</t>
  </si>
  <si>
    <t>비밀번호찾기 메인</t>
  </si>
  <si>
    <t>uiPrPrMyMenuM</t>
  </si>
  <si>
    <t>마이메뉴 메인</t>
  </si>
  <si>
    <t>uiPrPrPwdChgM</t>
  </si>
  <si>
    <t>uiPrPrMbrWhdwlM</t>
  </si>
  <si>
    <t>uiPrPrIndiInfmPrcsGdlnP</t>
  </si>
  <si>
    <t>uiPrPrPrgnInfmM</t>
  </si>
  <si>
    <t>uiPrPrPrgnInfmRegM</t>
  </si>
  <si>
    <t>uiPrPrPaturInfmRegP</t>
  </si>
  <si>
    <t>uiPrPrEmbrInfmRegP</t>
  </si>
  <si>
    <t>REQ-POR-0204-03</t>
  </si>
  <si>
    <t>uiPrPrParNbM</t>
  </si>
  <si>
    <t>임산부수첩 메인</t>
  </si>
  <si>
    <t>uiPrPrProdCnstM</t>
  </si>
  <si>
    <t>정기진찰 메인</t>
  </si>
  <si>
    <t>uiPrPrWgChgM</t>
  </si>
  <si>
    <t>uiPrPrProdCnstRegP</t>
  </si>
  <si>
    <t>uiPrPrDexmM</t>
  </si>
  <si>
    <t>임신중검사 메인</t>
  </si>
  <si>
    <t>uiPrPrDexmRegP</t>
  </si>
  <si>
    <t>임신중검사 등록 팝업</t>
  </si>
  <si>
    <t>uiPrPrEmbrWgChgM</t>
  </si>
  <si>
    <t>태아체중변화 메인</t>
  </si>
  <si>
    <t>uiPrPrEmbrCdasndChgM</t>
  </si>
  <si>
    <t>태아심음변화 메인</t>
  </si>
  <si>
    <t>uiPrPrBabyToLtrM</t>
  </si>
  <si>
    <t>uiPrPrBabyToLtrRegP</t>
  </si>
  <si>
    <t>아기에게 편지 등록 팝업</t>
  </si>
  <si>
    <t>uiPrPrBabyToPrevwP</t>
  </si>
  <si>
    <t>uiPrPrBabyInfmM</t>
  </si>
  <si>
    <t>아기정보 메인</t>
  </si>
  <si>
    <t>uiPrPrBabyInfmRegM</t>
  </si>
  <si>
    <t>아기정보 등록 메인</t>
  </si>
  <si>
    <t>uiPrPrPtrInfmRegP</t>
  </si>
  <si>
    <t>보호자정보 등록 팝업</t>
  </si>
  <si>
    <t>REQ-POR-0205-03</t>
  </si>
  <si>
    <t>uiPrPrBabyNbM</t>
  </si>
  <si>
    <t>아기수첩 메인</t>
  </si>
  <si>
    <t>uiPrPrGrtwRcordWgM</t>
  </si>
  <si>
    <t>성장기록 몸무게 메인</t>
  </si>
  <si>
    <t>uiPrPrGrtwRcordHeigM</t>
  </si>
  <si>
    <t>성장기록 키 메인</t>
  </si>
  <si>
    <t>uiPrPrGrtwRcordHeadCcmfM</t>
  </si>
  <si>
    <t>성장기록 머리둘레 메인</t>
  </si>
  <si>
    <t>uiPrPrGrtwRcordRegM</t>
  </si>
  <si>
    <t>성장기록 등록 팝업</t>
  </si>
  <si>
    <t>uiPrPrMdlcnstVstInfmM</t>
  </si>
  <si>
    <t>의료기관방문정보 메인</t>
  </si>
  <si>
    <t>uiPrPrMdlcnstVstInfmRegP</t>
  </si>
  <si>
    <t>의료기관방문정보 등록 팝업</t>
  </si>
  <si>
    <t>uiPrPrSetnM</t>
  </si>
  <si>
    <t>설정 메인</t>
  </si>
  <si>
    <t>빌드#3</t>
  </si>
  <si>
    <t>uiPrPrNtcItmM</t>
  </si>
  <si>
    <t>공지사항 메인</t>
  </si>
  <si>
    <t>uiPrPrNtcItmDtlP</t>
  </si>
  <si>
    <t>공지사항 상세 팝업</t>
  </si>
  <si>
    <t>uiPrPrFaqM</t>
  </si>
  <si>
    <t>도움말 메인</t>
  </si>
  <si>
    <t>uiPrPrFaqDtlP</t>
  </si>
  <si>
    <t>도움말 상세 팝업</t>
  </si>
  <si>
    <t>REQ-POR-0203-03</t>
  </si>
  <si>
    <t>uiPrPrMdlcnstInfmM</t>
  </si>
  <si>
    <t>의료기관정보 메인</t>
  </si>
  <si>
    <t>REQ-POR-0201-01</t>
  </si>
  <si>
    <t>uiPrPrOwnCnfmM</t>
  </si>
  <si>
    <t>본인확인 메인</t>
  </si>
  <si>
    <t>uiPrPrCoCertCenM</t>
  </si>
  <si>
    <t>공동인증센터 메인</t>
  </si>
  <si>
    <t>REQ-POR-0204-03
REQ-POR-0204-02</t>
  </si>
  <si>
    <t>uiPrPrFlcagIragRcvDtlsM</t>
  </si>
  <si>
    <t>uiPrPrHthHpM</t>
  </si>
  <si>
    <t>건강검진 메인</t>
  </si>
  <si>
    <t>uiPrPrHthHpRegP</t>
  </si>
  <si>
    <t>건강검진 등록 팝업</t>
  </si>
  <si>
    <t>REQ-POR-0205-03
REQ-POR-0205-02</t>
  </si>
  <si>
    <t>uiPrPrPrevntInocM</t>
  </si>
  <si>
    <t>예방접종 메인</t>
  </si>
  <si>
    <t>uiPrPrPrevntInocRegP</t>
  </si>
  <si>
    <t>예방접종 등록 팝업</t>
  </si>
  <si>
    <t>REQ-POR-0203-01
REQ-POR-0203-02</t>
  </si>
  <si>
    <t>uiPrPrTlmdInfmM</t>
  </si>
  <si>
    <t>맞춤정보 메인</t>
  </si>
  <si>
    <t>uiPrPrTlmdInfmDtlP</t>
  </si>
  <si>
    <t>맞춤정보 상세 팝업</t>
  </si>
  <si>
    <t>uiPrPrNotcInfmMngM</t>
  </si>
  <si>
    <t>개발자1</t>
    <phoneticPr fontId="7" type="noConversion"/>
  </si>
  <si>
    <t>uiPrPrNotcInfmRegP</t>
  </si>
  <si>
    <t>uiPrPrNotcSetnMngM</t>
  </si>
  <si>
    <t>알림설정 관리 메인</t>
  </si>
  <si>
    <t>uiPrPrNotcSetnRegP</t>
  </si>
  <si>
    <t>알림설정 등록</t>
  </si>
  <si>
    <t>uiPrPrMbrInfmMngM</t>
  </si>
  <si>
    <t>회원정보관리 메인</t>
  </si>
  <si>
    <t>uiPrPrMbrInfmInsemiP</t>
  </si>
  <si>
    <t>회원정보 수정 팝업</t>
  </si>
  <si>
    <t>REQ-POR-0101-01
REQ-POR-0202-02</t>
  </si>
  <si>
    <t>uiPrPrParDclrGudM</t>
  </si>
  <si>
    <t>임산부 신고 안내 메인</t>
  </si>
  <si>
    <t>이찬희</t>
  </si>
  <si>
    <t>REQ-POR-0102-03</t>
  </si>
  <si>
    <t>uiPrPrAddrSrchP</t>
  </si>
  <si>
    <t>주소검색 팝업</t>
  </si>
  <si>
    <t>uiPrPrParDclrM</t>
  </si>
  <si>
    <t>임산부 신고 메인</t>
  </si>
  <si>
    <t>uiPrPrParDclrDtlM</t>
  </si>
  <si>
    <t>uiPrPrParDclrSttusM</t>
  </si>
  <si>
    <t>임산부 신고 현황 메인</t>
  </si>
  <si>
    <t>REQ-POR-0101-01</t>
  </si>
  <si>
    <t>uiPrPrNtrtGudM</t>
  </si>
  <si>
    <t>엽산제·철분제 신청 안내 메인</t>
  </si>
  <si>
    <t>uiPrPrNtrtAppM</t>
  </si>
  <si>
    <t>엽산제·철분제 신청 메인</t>
  </si>
  <si>
    <t>uiPrPrNtrtSttusM</t>
  </si>
  <si>
    <t>엽산제·철분제 신청 현황 메인</t>
  </si>
  <si>
    <t>uiPrPrStdMchNbGudM</t>
  </si>
  <si>
    <t>표준모자보건수첩 신청 안내 메인</t>
  </si>
  <si>
    <t>uiPrPrStdMchNbAppM</t>
  </si>
  <si>
    <t>표준모자보건수첩 신청 메인</t>
  </si>
  <si>
    <t>uiPrPrStdMchNbSttusM</t>
  </si>
  <si>
    <t>표준모자보건수첩 신청 현황 메인</t>
  </si>
  <si>
    <t xml:space="preserve">REQ-POR-0101-01 </t>
  </si>
  <si>
    <t>uiPrPrLfeIntlHthMngGudM</t>
  </si>
  <si>
    <t>생애초기건강관리 의뢰 신청 안내 메인</t>
  </si>
  <si>
    <t>uiPrPrLfeIntlHthMngAppM</t>
  </si>
  <si>
    <t>생애초기건강관리 의뢰 신청 메인</t>
  </si>
  <si>
    <t>uiPrPrLfeIntlHthMngSttusM</t>
  </si>
  <si>
    <t>생애초기건강관리 의뢰 신청 현황 메인</t>
  </si>
  <si>
    <t>uiPrPrEpdsDglmExmM</t>
  </si>
  <si>
    <t>에딘버러 우울증 검사 메인</t>
  </si>
  <si>
    <t>REQ-POR-0202-03</t>
  </si>
  <si>
    <t>uiPrPrEpdsDglmExmSttusM</t>
  </si>
  <si>
    <t>에딘버러 우울증 검사 현황 메인</t>
  </si>
  <si>
    <t>REQ-POR-0102-01
REQ-POR-0105-01
REQ-POR-0202-01
REQ-POR-0202-06</t>
  </si>
  <si>
    <t>uiPrPrOnAppChoM</t>
  </si>
  <si>
    <t>온라인신청 선택 메인</t>
  </si>
  <si>
    <t>REQ-POR-0102-01</t>
  </si>
  <si>
    <t>uiPrPrOnAppAgrGudM</t>
  </si>
  <si>
    <t>온라인신청 정보 동의 안내 메인</t>
  </si>
  <si>
    <t>uiPrPrOnAppPrcM</t>
  </si>
  <si>
    <t>신청 처리절차 메인</t>
  </si>
  <si>
    <t>REQ-POR-0102-06
REQ-POR-0202-04</t>
  </si>
  <si>
    <t>uiPrPrOnAppRegM</t>
  </si>
  <si>
    <t>온라인신청 메인</t>
  </si>
  <si>
    <t>uiPrPrAppliInfmInptT</t>
  </si>
  <si>
    <t>신청자정보 입력 탭</t>
  </si>
  <si>
    <t>REQ-POR-0102-05</t>
  </si>
  <si>
    <t>uiPrPrHmbrSrchP</t>
  </si>
  <si>
    <t>가구원검색 팝업</t>
  </si>
  <si>
    <t>REQ-POR-0102-06</t>
  </si>
  <si>
    <t>uiPrPrSrvcAppInfmInptT</t>
  </si>
  <si>
    <t>서비스 신청 정보 입력 탭</t>
  </si>
  <si>
    <t>REQ-POR-0102-04</t>
  </si>
  <si>
    <t>uiPrPrPrstDocAttcT</t>
  </si>
  <si>
    <t>제출 문서 첨부 탭</t>
  </si>
  <si>
    <t>uiPrPrInptInfmCnfmT</t>
  </si>
  <si>
    <t>입력정보확인 탭</t>
  </si>
  <si>
    <t>REQ-POR-0103-01
REQ-POR-0104-01
REQ-POR-0104-02
REQ-POR-0202-04
REQ-POR-0202-05</t>
  </si>
  <si>
    <t>uiPrPrOnAppSttusM</t>
  </si>
  <si>
    <t>온라인신청현황 메인</t>
  </si>
  <si>
    <t>REQ-POR-0103-02</t>
  </si>
  <si>
    <t>uiPrPrSupDcsnAvtsmtIssuP</t>
  </si>
  <si>
    <t>지원결정통지서 발급 팝업</t>
  </si>
  <si>
    <t>REQ-POR-0103-01</t>
  </si>
  <si>
    <t>uiPrPrOnAppDtlM</t>
  </si>
  <si>
    <t>온라인신청 상세보기 메인</t>
    <phoneticPr fontId="35" type="noConversion"/>
  </si>
  <si>
    <t>REQ-POR-0102-07
REQ-POR-0202-04</t>
  </si>
  <si>
    <t>uiPrPrOnAppChrgM</t>
  </si>
  <si>
    <t>온라인신청 청구 메인</t>
  </si>
  <si>
    <t>REQ-POR-0102-07</t>
  </si>
  <si>
    <t>uiPrPrOnAppChrgDtlM</t>
  </si>
  <si>
    <t>온라인신청 청구 상세보기 메인</t>
    <phoneticPr fontId="35" type="noConversion"/>
  </si>
  <si>
    <t>REQ-POR-0102-02
REQ-POR-0201-01</t>
  </si>
  <si>
    <t>uiPrPrOwnCertM</t>
  </si>
  <si>
    <t>본인인증 메인</t>
  </si>
  <si>
    <t>로그인 사용자 조회</t>
    <phoneticPr fontId="7" type="noConversion"/>
  </si>
  <si>
    <t>폼</t>
    <phoneticPr fontId="1" type="noConversion"/>
  </si>
  <si>
    <t>회원 VO</t>
    <phoneticPr fontId="1" type="noConversion"/>
  </si>
  <si>
    <t>로그인 sql xml</t>
    <phoneticPr fontId="1" type="noConversion"/>
  </si>
  <si>
    <t>Main</t>
    <phoneticPr fontId="1" type="noConversion"/>
  </si>
  <si>
    <t>공지</t>
    <phoneticPr fontId="1" type="noConversion"/>
  </si>
  <si>
    <t>사항</t>
    <phoneticPr fontId="1" type="noConversion"/>
  </si>
  <si>
    <t>임신출산앱 메인 화면</t>
    <phoneticPr fontId="7" type="noConversion"/>
  </si>
  <si>
    <t>앱</t>
    <phoneticPr fontId="1" type="noConversion"/>
  </si>
  <si>
    <t>App</t>
    <phoneticPr fontId="1" type="noConversion"/>
  </si>
  <si>
    <t>로그인 Rest Api</t>
  </si>
  <si>
    <t>로그인 메인 JSP</t>
  </si>
  <si>
    <t>로그인 사용자 체크</t>
  </si>
  <si>
    <t>메인 공지사항  조회</t>
  </si>
  <si>
    <t>알림 정보 조회</t>
  </si>
  <si>
    <t>회원ID 중복확인</t>
  </si>
  <si>
    <t>회원 가입</t>
  </si>
  <si>
    <t>휴대폰 인증</t>
  </si>
  <si>
    <t>공인인증서 인증</t>
  </si>
  <si>
    <t>아이디 찾기</t>
  </si>
  <si>
    <t>비밀번호 찾기</t>
  </si>
  <si>
    <t>내정보 조회</t>
  </si>
  <si>
    <t>자동 로그인 ON/OFF</t>
  </si>
  <si>
    <t>비밀번호 변경</t>
  </si>
  <si>
    <t>회원탈퇴</t>
  </si>
  <si>
    <t>인증서 가져오기</t>
  </si>
  <si>
    <t>인증서 관리</t>
  </si>
  <si>
    <t>임신정보 조회</t>
  </si>
  <si>
    <t>임신정보 삭제</t>
  </si>
  <si>
    <t>분만구분별 횟수 저장</t>
  </si>
  <si>
    <t>태아 태명 저장</t>
  </si>
  <si>
    <t xml:space="preserve">월별 수첩 정보 조회 </t>
  </si>
  <si>
    <t xml:space="preserve">일자별 수첩 조회 </t>
  </si>
  <si>
    <t xml:space="preserve">일자별 수첩 상세 정기진찰 조회 </t>
  </si>
  <si>
    <t xml:space="preserve">일자별 수첩 상세 임신중검사 조회 </t>
  </si>
  <si>
    <t xml:space="preserve">일자별 수첩 상세 아기에게 조회 </t>
  </si>
  <si>
    <t>정기진찰현황 조회</t>
  </si>
  <si>
    <t>화면 ( 그래프 포함 )</t>
  </si>
  <si>
    <t>체중변화 조회</t>
  </si>
  <si>
    <t>체중변화 수정</t>
  </si>
  <si>
    <t>정기진찰 수정</t>
  </si>
  <si>
    <t>태아 체중변화 조회</t>
  </si>
  <si>
    <t>태아 심음변화 조회</t>
  </si>
  <si>
    <t>임신중검사 조회</t>
  </si>
  <si>
    <t>공통코드</t>
  </si>
  <si>
    <t>임신중검사 공통코드 조회</t>
  </si>
  <si>
    <t>엽산제·철분제 수령 내역 조회</t>
  </si>
  <si>
    <t>본인인증후 타시스템 연계해서 데이터 가져와야함.</t>
  </si>
  <si>
    <t>아기에게 편지 목록 조회</t>
  </si>
  <si>
    <t>선택변환 안함. 하나씩만, PDF변환 함.</t>
  </si>
  <si>
    <t>아기에게 편지 변환</t>
  </si>
  <si>
    <t xml:space="preserve">아기에게 편지 등록 </t>
  </si>
  <si>
    <t>PDF변환</t>
  </si>
  <si>
    <t>아기정보 목록 조회</t>
  </si>
  <si>
    <t>아기정보 입력</t>
  </si>
  <si>
    <t>아기정보 수정</t>
  </si>
  <si>
    <t>아기정보 삭제</t>
  </si>
  <si>
    <t>아기정보 상세 조회</t>
  </si>
  <si>
    <t>보호자정보 입력</t>
  </si>
  <si>
    <t>보호자정보 수정</t>
  </si>
  <si>
    <t>보호자정보 삭제</t>
  </si>
  <si>
    <t xml:space="preserve">일자별 수첩 상세 성장기록 조회 </t>
  </si>
  <si>
    <t xml:space="preserve">일자별 수첩 상세 의료기관방문 조회 </t>
  </si>
  <si>
    <t xml:space="preserve">일자별 수첩 상세 건강검진 조회 </t>
  </si>
  <si>
    <t xml:space="preserve">일자별 수첩 상세 표준예방접종 기록 조회 </t>
  </si>
  <si>
    <t>아기성장기록조회</t>
  </si>
  <si>
    <t>아기 성장기록정보 입력</t>
  </si>
  <si>
    <t>아기 성장기록정보 수정</t>
  </si>
  <si>
    <t>아기 성장기록 조회</t>
  </si>
  <si>
    <t>성장기록 입력</t>
  </si>
  <si>
    <t>성장기록 수정</t>
  </si>
  <si>
    <t>의료기관방문정보 현황 조회</t>
  </si>
  <si>
    <t>의료기관방문정보 입력</t>
  </si>
  <si>
    <t>의료기관방문정보 삭제</t>
  </si>
  <si>
    <t>건강검진 조회</t>
  </si>
  <si>
    <t>건강검진 입력</t>
  </si>
  <si>
    <t>주차별 1~ 7 주 등록 화면이 상이함.</t>
  </si>
  <si>
    <t>건강검진 수정</t>
  </si>
  <si>
    <t>건강검진 삭제</t>
  </si>
  <si>
    <t>예방접종 현황 조회</t>
  </si>
  <si>
    <t>맞춤정보 목록 조회</t>
  </si>
  <si>
    <t>맞춤정보 상세조회</t>
  </si>
  <si>
    <t>알림수신설정</t>
  </si>
  <si>
    <t>1. uiPrPrLgnM</t>
    <phoneticPr fontId="1" type="noConversion"/>
  </si>
  <si>
    <t>로그인 ip 업데이트</t>
    <phoneticPr fontId="7" type="noConversion"/>
  </si>
  <si>
    <t>임신출산앱 메인 JSP</t>
    <phoneticPr fontId="7" type="noConversion"/>
  </si>
  <si>
    <t>임신 출산 메인 ServiceImpl</t>
    <phoneticPr fontId="1" type="noConversion"/>
  </si>
  <si>
    <t>임신 출산 메인 Service</t>
    <phoneticPr fontId="1" type="noConversion"/>
  </si>
  <si>
    <t>임신출산 메인 공지사항 조회</t>
    <phoneticPr fontId="7" type="noConversion"/>
  </si>
  <si>
    <t>임신출산앱 메인 컨트롤러</t>
    <phoneticPr fontId="1" type="noConversion"/>
  </si>
  <si>
    <t>임신 출산 메인 sql xml</t>
    <phoneticPr fontId="1" type="noConversion"/>
  </si>
  <si>
    <t>임신출산 메인 알림 정보 조회</t>
    <phoneticPr fontId="7" type="noConversion"/>
  </si>
  <si>
    <t>알림</t>
    <phoneticPr fontId="1" type="noConversion"/>
  </si>
  <si>
    <t>view</t>
  </si>
  <si>
    <t>Java</t>
  </si>
  <si>
    <t>Controller</t>
  </si>
  <si>
    <t>list</t>
  </si>
  <si>
    <t>detail</t>
  </si>
  <si>
    <t>form</t>
  </si>
  <si>
    <t>select</t>
  </si>
  <si>
    <t>jsp</t>
  </si>
  <si>
    <t>vo</t>
  </si>
  <si>
    <t>VO</t>
  </si>
  <si>
    <t>service</t>
  </si>
  <si>
    <t>Service</t>
  </si>
  <si>
    <t>ServiceImpl</t>
  </si>
  <si>
    <t>dao</t>
  </si>
  <si>
    <t>java</t>
  </si>
  <si>
    <t>DAO</t>
  </si>
  <si>
    <t>map</t>
  </si>
  <si>
    <t>Mapper</t>
  </si>
  <si>
    <t>sql-xml</t>
  </si>
  <si>
    <t>xml</t>
  </si>
  <si>
    <t>ServiceSQL</t>
  </si>
  <si>
    <t>insert</t>
  </si>
  <si>
    <t>2.uiPrPrM</t>
    <phoneticPr fontId="1" type="noConversion"/>
  </si>
  <si>
    <t>IP</t>
    <phoneticPr fontId="1" type="noConversion"/>
  </si>
  <si>
    <t>ID</t>
    <phoneticPr fontId="1" type="noConversion"/>
  </si>
  <si>
    <t>중복</t>
    <phoneticPr fontId="1" type="noConversion"/>
  </si>
  <si>
    <t>회원가입</t>
    <phoneticPr fontId="7" type="noConversion"/>
  </si>
  <si>
    <t>join</t>
    <phoneticPr fontId="1" type="noConversion"/>
  </si>
  <si>
    <t>회원가입 sql xml</t>
    <phoneticPr fontId="1" type="noConversion"/>
  </si>
  <si>
    <t>회원가입 ServiceImpl</t>
    <phoneticPr fontId="1" type="noConversion"/>
  </si>
  <si>
    <t>회원가입 Service</t>
    <phoneticPr fontId="1" type="noConversion"/>
  </si>
  <si>
    <t>회원가입 컨트롤러</t>
    <phoneticPr fontId="1" type="noConversion"/>
  </si>
  <si>
    <t>3.uiPrPrMbrJoinM</t>
    <phoneticPr fontId="1" type="noConversion"/>
  </si>
  <si>
    <t>휴대폰</t>
    <phoneticPr fontId="1" type="noConversion"/>
  </si>
  <si>
    <t>Cert</t>
    <phoneticPr fontId="1" type="noConversion"/>
  </si>
  <si>
    <t>cert</t>
    <phoneticPr fontId="1" type="noConversion"/>
  </si>
  <si>
    <t>hp</t>
    <phoneticPr fontId="1" type="noConversion"/>
  </si>
  <si>
    <t>4.uiPrPrIndiInfmClctUseAgrM</t>
    <phoneticPr fontId="1" type="noConversion"/>
  </si>
  <si>
    <t>개인</t>
    <phoneticPr fontId="1" type="noConversion"/>
  </si>
  <si>
    <t>수집</t>
    <phoneticPr fontId="1" type="noConversion"/>
  </si>
  <si>
    <t>사용</t>
    <phoneticPr fontId="1" type="noConversion"/>
  </si>
  <si>
    <t>동의</t>
    <phoneticPr fontId="1" type="noConversion"/>
  </si>
  <si>
    <t>본인</t>
    <phoneticPr fontId="1" type="noConversion"/>
  </si>
  <si>
    <t>5.uiPrPrOwnCnfmM</t>
    <phoneticPr fontId="1" type="noConversion"/>
  </si>
  <si>
    <t>본인확인</t>
    <phoneticPr fontId="7" type="noConversion"/>
  </si>
  <si>
    <t>개인정보수집사용동의</t>
    <phoneticPr fontId="7" type="noConversion"/>
  </si>
  <si>
    <t>공인</t>
    <phoneticPr fontId="1" type="noConversion"/>
  </si>
  <si>
    <t>Auth</t>
  </si>
  <si>
    <t>공인 인증</t>
    <phoneticPr fontId="7" type="noConversion"/>
  </si>
  <si>
    <t>아이디</t>
    <phoneticPr fontId="1" type="noConversion"/>
  </si>
  <si>
    <t>찾기</t>
    <phoneticPr fontId="1" type="noConversion"/>
  </si>
  <si>
    <t>비밀번호</t>
    <phoneticPr fontId="1" type="noConversion"/>
  </si>
  <si>
    <t>마이</t>
  </si>
  <si>
    <t>마이</t>
    <phoneticPr fontId="1" type="noConversion"/>
  </si>
  <si>
    <t>My</t>
    <phoneticPr fontId="1" type="noConversion"/>
  </si>
  <si>
    <t>메뉴</t>
    <phoneticPr fontId="1" type="noConversion"/>
  </si>
  <si>
    <t>menu</t>
    <phoneticPr fontId="1" type="noConversion"/>
  </si>
  <si>
    <t>마이메뉴</t>
    <phoneticPr fontId="7" type="noConversion"/>
  </si>
  <si>
    <t>비밀번호 변경</t>
    <phoneticPr fontId="1" type="noConversion"/>
  </si>
  <si>
    <t>회원탈퇴</t>
    <phoneticPr fontId="1" type="noConversion"/>
  </si>
  <si>
    <t>개인정보처리지침</t>
  </si>
  <si>
    <t>지침</t>
    <phoneticPr fontId="1" type="noConversion"/>
  </si>
  <si>
    <t>11.uiPrPrIndiInfmPrcsGdlnP</t>
    <phoneticPr fontId="1" type="noConversion"/>
  </si>
  <si>
    <t>Gdln</t>
  </si>
  <si>
    <t>방침</t>
    <phoneticPr fontId="1" type="noConversion"/>
  </si>
  <si>
    <t>변경</t>
    <phoneticPr fontId="1" type="noConversion"/>
  </si>
  <si>
    <t>탈퇴</t>
    <phoneticPr fontId="1" type="noConversion"/>
  </si>
  <si>
    <t>내</t>
    <phoneticPr fontId="1" type="noConversion"/>
  </si>
  <si>
    <t>나의</t>
    <phoneticPr fontId="1" type="noConversion"/>
  </si>
  <si>
    <t>자동</t>
    <phoneticPr fontId="1" type="noConversion"/>
  </si>
  <si>
    <t>on</t>
    <phoneticPr fontId="1" type="noConversion"/>
  </si>
  <si>
    <t>off</t>
    <phoneticPr fontId="1" type="noConversion"/>
  </si>
  <si>
    <t>마이메뉴 Service</t>
    <phoneticPr fontId="1" type="noConversion"/>
  </si>
  <si>
    <t>마이메뉴 ServiceImpl</t>
    <phoneticPr fontId="1" type="noConversion"/>
  </si>
  <si>
    <t>인증서</t>
    <phoneticPr fontId="1" type="noConversion"/>
  </si>
  <si>
    <t>가져오기</t>
    <phoneticPr fontId="1" type="noConversion"/>
  </si>
  <si>
    <t>관리</t>
    <phoneticPr fontId="1" type="noConversion"/>
  </si>
  <si>
    <t>Import</t>
    <phoneticPr fontId="1" type="noConversion"/>
  </si>
  <si>
    <t>imprt</t>
    <phoneticPr fontId="1" type="noConversion"/>
  </si>
  <si>
    <t>인증서 가져오기</t>
    <phoneticPr fontId="1" type="noConversion"/>
  </si>
  <si>
    <t>get</t>
    <phoneticPr fontId="1" type="noConversion"/>
  </si>
  <si>
    <t>REST</t>
    <phoneticPr fontId="1" type="noConversion"/>
  </si>
  <si>
    <t>마이메뉴 컨트롤러</t>
    <phoneticPr fontId="1" type="noConversion"/>
  </si>
  <si>
    <t>마이메뉴 sql xml</t>
    <phoneticPr fontId="1" type="noConversion"/>
  </si>
  <si>
    <t>SVC</t>
    <phoneticPr fontId="1" type="noConversion"/>
  </si>
  <si>
    <t>SQL</t>
    <phoneticPr fontId="1" type="noConversion"/>
  </si>
  <si>
    <t>임신정보 컨트롤러</t>
    <phoneticPr fontId="1" type="noConversion"/>
  </si>
  <si>
    <t>임신정보</t>
    <phoneticPr fontId="7" type="noConversion"/>
  </si>
  <si>
    <t>임신정보 등록</t>
    <phoneticPr fontId="1" type="noConversion"/>
  </si>
  <si>
    <t>분만정보 등록</t>
    <phoneticPr fontId="1" type="noConversion"/>
  </si>
  <si>
    <t>등록</t>
    <phoneticPr fontId="1" type="noConversion"/>
  </si>
  <si>
    <t>분만</t>
    <phoneticPr fontId="1" type="noConversion"/>
  </si>
  <si>
    <t>임신정보 수정</t>
    <phoneticPr fontId="1" type="noConversion"/>
  </si>
  <si>
    <t>임신정보 삭제</t>
    <phoneticPr fontId="1" type="noConversion"/>
  </si>
  <si>
    <t>횟수</t>
    <phoneticPr fontId="1" type="noConversion"/>
  </si>
  <si>
    <t>로그인 컨트롤러</t>
  </si>
  <si>
    <t>1. uiPrPrLgnM</t>
  </si>
  <si>
    <t>REST</t>
  </si>
  <si>
    <t>로그인 사용자 조회</t>
  </si>
  <si>
    <t>로그인 ip 업데이트</t>
  </si>
  <si>
    <t>로그인 sql xml</t>
  </si>
  <si>
    <t>임신출산앱 메인 컨트롤러</t>
  </si>
  <si>
    <t>임신출산 메인 공지사항 조회</t>
  </si>
  <si>
    <t>알림</t>
  </si>
  <si>
    <t>임신출산 메인 알림 정보 조회</t>
  </si>
  <si>
    <t>임신 출산 메인 Service</t>
  </si>
  <si>
    <t>임신 출산 메인 ServiceImpl</t>
  </si>
  <si>
    <t>임신 출산 메인 sql xml</t>
  </si>
  <si>
    <t>회원가입 컨트롤러</t>
  </si>
  <si>
    <t>회원가입</t>
  </si>
  <si>
    <t>개인정보수집사용동의</t>
  </si>
  <si>
    <t>아이디</t>
  </si>
  <si>
    <t>찾기</t>
  </si>
  <si>
    <t>비밀번호</t>
  </si>
  <si>
    <t>공인</t>
  </si>
  <si>
    <t>공인 인증</t>
  </si>
  <si>
    <t>휴대폰</t>
  </si>
  <si>
    <t>cert</t>
  </si>
  <si>
    <t>가져오기</t>
  </si>
  <si>
    <t>회원가입 Service</t>
  </si>
  <si>
    <t>회원가입 ServiceImpl</t>
  </si>
  <si>
    <t>회원가입 sql xml</t>
  </si>
  <si>
    <t>마이메뉴 컨트롤러</t>
  </si>
  <si>
    <t>마이메뉴</t>
  </si>
  <si>
    <t>지침</t>
  </si>
  <si>
    <t>내</t>
  </si>
  <si>
    <t>on</t>
  </si>
  <si>
    <t>off</t>
  </si>
  <si>
    <t>마이메뉴 Service</t>
  </si>
  <si>
    <t>마이메뉴 ServiceImpl</t>
  </si>
  <si>
    <t>마이메뉴 sql xml</t>
  </si>
  <si>
    <t>임신정보 컨트롤러</t>
  </si>
  <si>
    <t>임신정보</t>
  </si>
  <si>
    <t>패키지/경로/sql-id</t>
  </si>
  <si>
    <t>시작일자</t>
  </si>
  <si>
    <t>완료일자</t>
  </si>
  <si>
    <t>태아</t>
    <phoneticPr fontId="1" type="noConversion"/>
  </si>
  <si>
    <t>화면정의서</t>
  </si>
  <si>
    <t>클래스/메소드/파일</t>
  </si>
  <si>
    <t>api</t>
  </si>
  <si>
    <t>임산부메인 컨트롤러</t>
  </si>
  <si>
    <t>임산부메인</t>
  </si>
  <si>
    <t>별명</t>
  </si>
  <si>
    <t>정기</t>
  </si>
  <si>
    <t>진찰</t>
  </si>
  <si>
    <t>아기</t>
  </si>
  <si>
    <t>편지</t>
  </si>
  <si>
    <t>변화</t>
  </si>
  <si>
    <t>제중 변화 조회</t>
  </si>
  <si>
    <t>제중 변화 수정</t>
  </si>
  <si>
    <t>kr.go.prpr.app</t>
    <phoneticPr fontId="1" type="noConversion"/>
  </si>
  <si>
    <t>GET</t>
    <phoneticPr fontId="1" type="noConversion"/>
  </si>
  <si>
    <t>체크</t>
    <phoneticPr fontId="1" type="noConversion"/>
  </si>
  <si>
    <t>chk</t>
    <phoneticPr fontId="1" type="noConversion"/>
  </si>
  <si>
    <t>ServiceSQL</t>
    <phoneticPr fontId="1" type="noConversion"/>
  </si>
  <si>
    <t>Method</t>
    <phoneticPr fontId="1" type="noConversion"/>
  </si>
  <si>
    <t>로그아웃</t>
  </si>
  <si>
    <t>로그아웃</t>
    <phoneticPr fontId="1" type="noConversion"/>
  </si>
  <si>
    <t>exec</t>
    <phoneticPr fontId="1" type="noConversion"/>
  </si>
  <si>
    <t>logout</t>
    <phoneticPr fontId="1" type="noConversion"/>
  </si>
  <si>
    <t>POST</t>
    <phoneticPr fontId="1" type="noConversion"/>
  </si>
  <si>
    <t>VO</t>
    <phoneticPr fontId="1" type="noConversion"/>
  </si>
  <si>
    <t>로긴</t>
    <phoneticPr fontId="1" type="noConversion"/>
  </si>
  <si>
    <t>LGN</t>
    <phoneticPr fontId="1" type="noConversion"/>
  </si>
  <si>
    <t>디비만 그렇게 씀. 예외.</t>
    <phoneticPr fontId="1" type="noConversion"/>
  </si>
  <si>
    <t>회원_로그인</t>
    <phoneticPr fontId="1" type="noConversion"/>
  </si>
  <si>
    <t>회원_인증</t>
  </si>
  <si>
    <t>회원_설정</t>
  </si>
  <si>
    <t>설정</t>
    <phoneticPr fontId="1" type="noConversion"/>
  </si>
  <si>
    <t>모바일</t>
    <phoneticPr fontId="1" type="noConversion"/>
  </si>
  <si>
    <t>기기</t>
    <phoneticPr fontId="1" type="noConversion"/>
  </si>
  <si>
    <t>EQPM</t>
  </si>
  <si>
    <t>아기 건강 검진</t>
  </si>
  <si>
    <t>아기_편지</t>
  </si>
  <si>
    <t>아기_의료기관_방문</t>
  </si>
  <si>
    <t>아기_예방 접종</t>
  </si>
  <si>
    <t>콘텐츠</t>
  </si>
  <si>
    <t>BABY</t>
    <phoneticPr fontId="1" type="noConversion"/>
  </si>
  <si>
    <t>성장</t>
    <phoneticPr fontId="1" type="noConversion"/>
  </si>
  <si>
    <t>기록</t>
    <phoneticPr fontId="1" type="noConversion"/>
  </si>
  <si>
    <t>GRTW</t>
  </si>
  <si>
    <t>변화</t>
    <phoneticPr fontId="1" type="noConversion"/>
  </si>
  <si>
    <t>chg</t>
    <phoneticPr fontId="1" type="noConversion"/>
  </si>
  <si>
    <t>편지</t>
    <phoneticPr fontId="1" type="noConversion"/>
  </si>
  <si>
    <t>정기</t>
    <phoneticPr fontId="1" type="noConversion"/>
  </si>
  <si>
    <t>진찰</t>
    <phoneticPr fontId="1" type="noConversion"/>
  </si>
  <si>
    <t>별명</t>
    <phoneticPr fontId="1" type="noConversion"/>
  </si>
  <si>
    <t>nck</t>
    <phoneticPr fontId="1" type="noConversion"/>
  </si>
  <si>
    <t>이름</t>
    <phoneticPr fontId="1" type="noConversion"/>
  </si>
  <si>
    <t>nm</t>
    <phoneticPr fontId="1" type="noConversion"/>
  </si>
  <si>
    <t>LTTR</t>
    <phoneticPr fontId="1" type="noConversion"/>
  </si>
  <si>
    <t>의료기관</t>
    <phoneticPr fontId="1" type="noConversion"/>
  </si>
  <si>
    <t>CTS</t>
  </si>
  <si>
    <t>NOTC</t>
  </si>
  <si>
    <t>검사</t>
    <phoneticPr fontId="1" type="noConversion"/>
  </si>
  <si>
    <t>EXM</t>
    <phoneticPr fontId="1" type="noConversion"/>
  </si>
  <si>
    <t>RGLR</t>
  </si>
  <si>
    <t>MEDX</t>
  </si>
  <si>
    <t>건강</t>
    <phoneticPr fontId="1" type="noConversion"/>
  </si>
  <si>
    <t>검진</t>
    <phoneticPr fontId="1" type="noConversion"/>
  </si>
  <si>
    <t>방문</t>
    <phoneticPr fontId="1" type="noConversion"/>
  </si>
  <si>
    <t>예방</t>
    <phoneticPr fontId="1" type="noConversion"/>
  </si>
  <si>
    <t>접종</t>
    <phoneticPr fontId="1" type="noConversion"/>
  </si>
  <si>
    <t>콘텐츠</t>
    <phoneticPr fontId="1" type="noConversion"/>
  </si>
  <si>
    <t>모바일_기기</t>
    <phoneticPr fontId="1" type="noConversion"/>
  </si>
  <si>
    <t>알림 설정</t>
  </si>
  <si>
    <t>알림_송신</t>
  </si>
  <si>
    <t>임신_검사</t>
  </si>
  <si>
    <t>정기_진찰</t>
  </si>
  <si>
    <t>정기_진찰_태아</t>
  </si>
  <si>
    <t>아기 성장 기록</t>
    <phoneticPr fontId="1" type="noConversion"/>
  </si>
  <si>
    <t>java</t>
    <phoneticPr fontId="1" type="noConversion"/>
  </si>
  <si>
    <t>휴대폰 인증 (생성)</t>
    <phoneticPr fontId="1" type="noConversion"/>
  </si>
  <si>
    <t>본인확인 : 휴대폰 인증, 공인인증 메인 화면</t>
    <phoneticPr fontId="1" type="noConversion"/>
  </si>
  <si>
    <t>아이디 찾기</t>
    <phoneticPr fontId="1" type="noConversion"/>
  </si>
  <si>
    <t>회원가입 완료</t>
    <phoneticPr fontId="1" type="noConversion"/>
  </si>
  <si>
    <t>완료</t>
    <phoneticPr fontId="1" type="noConversion"/>
  </si>
  <si>
    <t>Y</t>
  </si>
  <si>
    <t>Y</t>
    <phoneticPr fontId="1" type="noConversion"/>
  </si>
  <si>
    <t>-</t>
    <phoneticPr fontId="1" type="noConversion"/>
  </si>
  <si>
    <t>결과</t>
    <phoneticPr fontId="1" type="noConversion"/>
  </si>
  <si>
    <t>아이디 찾기 결과</t>
    <phoneticPr fontId="1" type="noConversion"/>
  </si>
  <si>
    <t>비밀번호 찾기 휴대폰 인증</t>
    <phoneticPr fontId="1" type="noConversion"/>
  </si>
  <si>
    <t>회원 (one)</t>
    <phoneticPr fontId="1" type="noConversion"/>
  </si>
  <si>
    <t>PATCH</t>
    <phoneticPr fontId="1" type="noConversion"/>
  </si>
  <si>
    <t>설정 정보 저장 (  알림 수신 ON/OFF )</t>
    <phoneticPr fontId="1" type="noConversion"/>
  </si>
  <si>
    <t>Enum</t>
    <phoneticPr fontId="1" type="noConversion"/>
  </si>
  <si>
    <t>Common</t>
    <phoneticPr fontId="1" type="noConversion"/>
  </si>
  <si>
    <t>egovframework.system.constant</t>
    <phoneticPr fontId="1" type="noConversion"/>
  </si>
  <si>
    <t>public enum</t>
    <phoneticPr fontId="1" type="noConversion"/>
  </si>
  <si>
    <t>맞춤</t>
    <phoneticPr fontId="1" type="noConversion"/>
  </si>
  <si>
    <t>수신</t>
    <phoneticPr fontId="1" type="noConversion"/>
  </si>
  <si>
    <t>POST</t>
    <phoneticPr fontId="1" type="noConversion"/>
  </si>
  <si>
    <t>PATCH</t>
    <phoneticPr fontId="1" type="noConversion"/>
  </si>
  <si>
    <t>삭제</t>
    <phoneticPr fontId="1" type="noConversion"/>
  </si>
  <si>
    <t>정보</t>
    <phoneticPr fontId="1" type="noConversion"/>
  </si>
  <si>
    <t>3주</t>
    <phoneticPr fontId="1" type="noConversion"/>
  </si>
  <si>
    <t>4주</t>
    <phoneticPr fontId="1" type="noConversion"/>
  </si>
  <si>
    <t>5주</t>
    <phoneticPr fontId="1" type="noConversion"/>
  </si>
  <si>
    <t>여기까지만. 계약 종료.</t>
    <phoneticPr fontId="1" type="noConversion"/>
  </si>
  <si>
    <t>변경일정</t>
    <phoneticPr fontId="1" type="noConversion"/>
  </si>
  <si>
    <t>퍼블 없이 
작업됨</t>
    <phoneticPr fontId="1" type="noConversion"/>
  </si>
  <si>
    <t>분만</t>
    <phoneticPr fontId="1" type="noConversion"/>
  </si>
  <si>
    <t>출산</t>
    <phoneticPr fontId="1" type="noConversion"/>
  </si>
  <si>
    <t>구분</t>
    <phoneticPr fontId="1" type="noConversion"/>
  </si>
  <si>
    <t>자연</t>
    <phoneticPr fontId="1" type="noConversion"/>
  </si>
  <si>
    <t>제왕</t>
    <phoneticPr fontId="1" type="noConversion"/>
  </si>
  <si>
    <t>절개</t>
    <phoneticPr fontId="1" type="noConversion"/>
  </si>
  <si>
    <t>기타</t>
    <phoneticPr fontId="1" type="noConversion"/>
  </si>
  <si>
    <t>cesarean section</t>
  </si>
  <si>
    <t>cesarean</t>
    <phoneticPr fontId="1" type="noConversion"/>
  </si>
  <si>
    <t>section</t>
    <phoneticPr fontId="1" type="noConversion"/>
  </si>
  <si>
    <t>sect</t>
    <phoneticPr fontId="1" type="noConversion"/>
  </si>
  <si>
    <t>csrn</t>
    <phoneticPr fontId="1" type="noConversion"/>
  </si>
  <si>
    <t>태아 등록</t>
    <phoneticPr fontId="1" type="noConversion"/>
  </si>
  <si>
    <t>태아</t>
    <phoneticPr fontId="1" type="noConversion"/>
  </si>
  <si>
    <t>임신정보 상세 조회</t>
    <phoneticPr fontId="1" type="noConversion"/>
  </si>
  <si>
    <t>상세</t>
    <phoneticPr fontId="1" type="noConversion"/>
  </si>
  <si>
    <t>태아</t>
    <phoneticPr fontId="1" type="noConversion"/>
  </si>
  <si>
    <t>정보</t>
    <phoneticPr fontId="1" type="noConversion"/>
  </si>
  <si>
    <t>조회</t>
    <phoneticPr fontId="1" type="noConversion"/>
  </si>
  <si>
    <t>태아정보 조회</t>
    <phoneticPr fontId="1" type="noConversion"/>
  </si>
  <si>
    <t>태아 수정</t>
    <phoneticPr fontId="1" type="noConversion"/>
  </si>
  <si>
    <t>수정</t>
    <phoneticPr fontId="1" type="noConversion"/>
  </si>
  <si>
    <t>update</t>
    <phoneticPr fontId="1" type="noConversion"/>
  </si>
  <si>
    <t>모두</t>
    <phoneticPr fontId="1" type="noConversion"/>
  </si>
  <si>
    <t>all</t>
    <phoneticPr fontId="1" type="noConversion"/>
  </si>
  <si>
    <t>태아 모두 삭제</t>
    <phoneticPr fontId="1" type="noConversion"/>
  </si>
  <si>
    <t>delete</t>
    <phoneticPr fontId="1" type="noConversion"/>
  </si>
  <si>
    <t>분만구분별 횟수 조회</t>
    <phoneticPr fontId="1" type="noConversion"/>
  </si>
  <si>
    <t>select</t>
    <phoneticPr fontId="1" type="noConversion"/>
  </si>
  <si>
    <t>태아정보 등록 팝업</t>
    <phoneticPr fontId="1" type="noConversion"/>
  </si>
  <si>
    <t>월</t>
    <phoneticPr fontId="1" type="noConversion"/>
  </si>
  <si>
    <t>출산</t>
    <phoneticPr fontId="1" type="noConversion"/>
  </si>
  <si>
    <t xml:space="preserve">출산별 수첩 조회 </t>
    <phoneticPr fontId="1" type="noConversion"/>
  </si>
  <si>
    <t xml:space="preserve">출산별 수첩 상세 정기진찰 조회 </t>
    <phoneticPr fontId="1" type="noConversion"/>
  </si>
  <si>
    <t xml:space="preserve">출산별 수첩 상세 임신중검사 조회 </t>
    <phoneticPr fontId="1" type="noConversion"/>
  </si>
  <si>
    <t xml:space="preserve">출산별 수첩 상세 아기에게 조회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</si>
</sst>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#,##0;;"/>
    <numFmt numFmtId="177" formatCode="0_);[Red]\(0\)"/>
  </numFmts>
  <fonts count="5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name val="Arial"/>
      <family val="2"/>
    </font>
    <font>
      <b/>
      <sz val="30"/>
      <name val="Arial"/>
      <family val="2"/>
    </font>
    <font>
      <b/>
      <sz val="10"/>
      <color indexed="63"/>
      <name val="Arial"/>
      <family val="2"/>
    </font>
    <font>
      <sz val="8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indexed="8"/>
      <name val="Arial"/>
      <family val="2"/>
    </font>
    <font>
      <sz val="10"/>
      <color indexed="8"/>
      <name val="굴림"/>
      <family val="3"/>
      <charset val="129"/>
    </font>
    <font>
      <sz val="10"/>
      <color rgb="FF000000"/>
      <name val="돋움"/>
      <family val="3"/>
      <charset val="129"/>
    </font>
    <font>
      <sz val="11"/>
      <color rgb="FF000000"/>
      <name val="굴림"/>
      <family val="2"/>
      <charset val="129"/>
    </font>
    <font>
      <b/>
      <sz val="10"/>
      <color rgb="FFFF0000"/>
      <name val="굴림"/>
      <family val="3"/>
      <charset val="129"/>
    </font>
    <font>
      <b/>
      <sz val="10"/>
      <color rgb="FFFFC000"/>
      <name val="굴림"/>
      <family val="3"/>
      <charset val="129"/>
    </font>
    <font>
      <b/>
      <sz val="8"/>
      <color rgb="FF000000"/>
      <name val="굴림"/>
      <family val="3"/>
      <charset val="129"/>
    </font>
    <font>
      <b/>
      <sz val="8"/>
      <color indexed="8"/>
      <name val="굴림"/>
      <family val="3"/>
      <charset val="129"/>
    </font>
    <font>
      <sz val="8"/>
      <color indexed="8"/>
      <name val="Arial"/>
      <family val="2"/>
    </font>
    <font>
      <b/>
      <sz val="14"/>
      <color indexed="8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indexed="8"/>
      <name val="맑은 고딕"/>
      <family val="3"/>
      <charset val="129"/>
      <scheme val="minor"/>
    </font>
    <font>
      <b/>
      <sz val="8"/>
      <color indexed="8"/>
      <name val="맑은 고딕"/>
      <family val="3"/>
      <charset val="129"/>
      <scheme val="minor"/>
    </font>
    <font>
      <sz val="8"/>
      <color indexed="8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9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color indexed="8"/>
      <name val="Arial"/>
      <family val="2"/>
    </font>
    <font>
      <sz val="9"/>
      <color rgb="FF000000"/>
      <name val="맑은 고딕"/>
      <family val="3"/>
      <charset val="129"/>
    </font>
    <font>
      <sz val="9"/>
      <color rgb="FFFF0000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sz val="8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"/>
      <name val="굴림"/>
      <family val="3"/>
      <charset val="129"/>
    </font>
    <font>
      <sz val="9"/>
      <color rgb="FF000000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9"/>
      <color indexed="8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72"/>
      <color rgb="FFFF0000"/>
      <name val="맑은 고딕"/>
      <family val="3"/>
      <charset val="129"/>
      <scheme val="minor"/>
    </font>
    <font>
      <sz val="11"/>
      <color theme="2" tint="-0.249977111117893"/>
      <name val="맑은 고딕"/>
      <family val="2"/>
      <charset val="129"/>
      <scheme val="minor"/>
    </font>
    <font>
      <sz val="11"/>
      <color theme="2" tint="-0.24997711111789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7"/>
      <color rgb="FF202124"/>
      <name val="Inherit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0" borderId="0" xfId="0" applyFont="1" applyAlignment="1">
      <alignment horizontal="center" vertical="center" wrapText="1"/>
    </xf>
    <xf numFmtId="0" fontId="0" fillId="0" borderId="1" xfId="0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8" fillId="0" borderId="0" xfId="0" applyFont="1">
      <alignment vertical="center"/>
    </xf>
    <xf numFmtId="0" fontId="9" fillId="2" borderId="1" xfId="0" applyFont="1" applyFill="1" applyBorder="1" applyAlignment="1">
      <alignment vertical="center" wrapText="1"/>
    </xf>
    <xf numFmtId="0" fontId="9" fillId="2" borderId="3" xfId="0" applyFont="1" applyFill="1" applyBorder="1" applyAlignment="1">
      <alignment vertical="center" wrapText="1"/>
    </xf>
    <xf numFmtId="0" fontId="10" fillId="0" borderId="4" xfId="0" applyFont="1" applyBorder="1" applyAlignment="1">
      <alignment vertical="center" wrapText="1"/>
    </xf>
    <xf numFmtId="0" fontId="2" fillId="0" borderId="4" xfId="0" applyFont="1" applyBorder="1">
      <alignment vertical="center"/>
    </xf>
    <xf numFmtId="0" fontId="10" fillId="0" borderId="1" xfId="0" applyFont="1" applyFill="1" applyBorder="1" applyAlignment="1">
      <alignment vertical="center" wrapText="1"/>
    </xf>
    <xf numFmtId="0" fontId="4" fillId="0" borderId="0" xfId="0" applyFont="1" applyAlignment="1"/>
    <xf numFmtId="0" fontId="12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/>
    </xf>
    <xf numFmtId="0" fontId="13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" xfId="0" applyFont="1" applyBorder="1" applyAlignment="1">
      <alignment horizontal="left" vertical="top"/>
    </xf>
    <xf numFmtId="0" fontId="14" fillId="0" borderId="1" xfId="0" applyFont="1" applyBorder="1" applyAlignment="1">
      <alignment horizontal="left" vertical="center" readingOrder="1"/>
    </xf>
    <xf numFmtId="0" fontId="14" fillId="0" borderId="1" xfId="0" applyFont="1" applyBorder="1" applyAlignment="1"/>
    <xf numFmtId="0" fontId="13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center"/>
    </xf>
    <xf numFmtId="0" fontId="12" fillId="0" borderId="0" xfId="0" applyFont="1" applyAlignment="1"/>
    <xf numFmtId="0" fontId="12" fillId="0" borderId="0" xfId="0" applyFont="1" applyAlignment="1">
      <alignment horizontal="left"/>
    </xf>
    <xf numFmtId="0" fontId="16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12" fillId="0" borderId="0" xfId="0" applyFont="1" applyAlignment="1">
      <alignment horizontal="left" vertical="top"/>
    </xf>
    <xf numFmtId="0" fontId="18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0" fillId="5" borderId="1" xfId="0" applyFont="1" applyFill="1" applyBorder="1" applyAlignment="1">
      <alignment vertical="center" wrapText="1"/>
    </xf>
    <xf numFmtId="0" fontId="13" fillId="0" borderId="3" xfId="0" applyFont="1" applyBorder="1" applyAlignment="1">
      <alignment horizontal="left"/>
    </xf>
    <xf numFmtId="0" fontId="10" fillId="5" borderId="4" xfId="0" applyFont="1" applyFill="1" applyBorder="1" applyAlignment="1">
      <alignment vertical="center" wrapText="1"/>
    </xf>
    <xf numFmtId="0" fontId="13" fillId="0" borderId="13" xfId="0" applyFont="1" applyBorder="1" applyAlignment="1">
      <alignment horizontal="left"/>
    </xf>
    <xf numFmtId="0" fontId="13" fillId="0" borderId="15" xfId="0" applyFont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0" borderId="17" xfId="0" applyFont="1" applyBorder="1" applyAlignment="1">
      <alignment vertical="top"/>
    </xf>
    <xf numFmtId="0" fontId="13" fillId="0" borderId="17" xfId="0" applyFont="1" applyBorder="1" applyAlignment="1">
      <alignment horizontal="left" vertical="top"/>
    </xf>
    <xf numFmtId="0" fontId="13" fillId="2" borderId="17" xfId="0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2" borderId="1" xfId="0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23" fillId="6" borderId="1" xfId="0" applyFont="1" applyFill="1" applyBorder="1" applyAlignment="1" applyProtection="1">
      <alignment horizontal="center" vertical="center"/>
      <protection locked="0"/>
    </xf>
    <xf numFmtId="0" fontId="23" fillId="6" borderId="20" xfId="0" applyFont="1" applyFill="1" applyBorder="1" applyAlignment="1" applyProtection="1">
      <alignment horizontal="center" vertical="center"/>
      <protection locked="0"/>
    </xf>
    <xf numFmtId="0" fontId="23" fillId="6" borderId="21" xfId="0" applyFont="1" applyFill="1" applyBorder="1" applyAlignment="1" applyProtection="1">
      <alignment horizontal="center" vertical="center"/>
      <protection locked="0"/>
    </xf>
    <xf numFmtId="0" fontId="23" fillId="7" borderId="1" xfId="0" applyFont="1" applyFill="1" applyBorder="1" applyAlignment="1" applyProtection="1">
      <alignment horizontal="center" vertical="center"/>
      <protection locked="0"/>
    </xf>
    <xf numFmtId="0" fontId="23" fillId="7" borderId="13" xfId="0" applyFont="1" applyFill="1" applyBorder="1" applyAlignment="1" applyProtection="1">
      <alignment horizontal="center" vertical="center"/>
      <protection locked="0"/>
    </xf>
    <xf numFmtId="0" fontId="23" fillId="7" borderId="21" xfId="0" applyFont="1" applyFill="1" applyBorder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right" vertical="center"/>
      <protection locked="0"/>
    </xf>
    <xf numFmtId="58" fontId="25" fillId="8" borderId="6" xfId="0" applyNumberFormat="1" applyFont="1" applyFill="1" applyBorder="1" applyAlignment="1">
      <alignment horizontal="center" vertical="center"/>
    </xf>
    <xf numFmtId="58" fontId="25" fillId="8" borderId="7" xfId="0" applyNumberFormat="1" applyFont="1" applyFill="1" applyBorder="1" applyAlignment="1">
      <alignment horizontal="center" vertical="center"/>
    </xf>
    <xf numFmtId="58" fontId="25" fillId="8" borderId="22" xfId="0" applyNumberFormat="1" applyFont="1" applyFill="1" applyBorder="1" applyAlignment="1">
      <alignment horizontal="center" vertical="center"/>
    </xf>
    <xf numFmtId="0" fontId="26" fillId="0" borderId="0" xfId="0" applyFont="1" applyAlignment="1" applyProtection="1">
      <alignment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14" fontId="27" fillId="0" borderId="1" xfId="0" applyNumberFormat="1" applyFont="1" applyBorder="1" applyAlignment="1">
      <alignment horizontal="center" vertical="center"/>
    </xf>
    <xf numFmtId="0" fontId="28" fillId="7" borderId="1" xfId="0" applyFont="1" applyFill="1" applyBorder="1" applyAlignment="1" applyProtection="1">
      <alignment horizontal="center" vertical="center"/>
      <protection locked="0"/>
    </xf>
    <xf numFmtId="176" fontId="29" fillId="0" borderId="1" xfId="0" applyNumberFormat="1" applyFont="1" applyBorder="1" applyAlignment="1">
      <alignment horizontal="center" vertical="center"/>
    </xf>
    <xf numFmtId="176" fontId="29" fillId="0" borderId="21" xfId="0" applyNumberFormat="1" applyFont="1" applyBorder="1" applyAlignment="1" applyProtection="1">
      <alignment horizontal="center" vertical="center"/>
      <protection locked="0"/>
    </xf>
    <xf numFmtId="0" fontId="29" fillId="6" borderId="1" xfId="0" applyFont="1" applyFill="1" applyBorder="1" applyAlignment="1" applyProtection="1">
      <alignment horizontal="center" vertical="center"/>
      <protection locked="0"/>
    </xf>
    <xf numFmtId="176" fontId="29" fillId="0" borderId="13" xfId="0" applyNumberFormat="1" applyFont="1" applyBorder="1" applyAlignment="1">
      <alignment horizontal="center" vertical="center"/>
    </xf>
    <xf numFmtId="176" fontId="29" fillId="0" borderId="21" xfId="0" applyNumberFormat="1" applyFont="1" applyBorder="1" applyAlignment="1">
      <alignment horizontal="center" vertical="center"/>
    </xf>
    <xf numFmtId="58" fontId="25" fillId="8" borderId="9" xfId="0" applyNumberFormat="1" applyFont="1" applyFill="1" applyBorder="1" applyAlignment="1">
      <alignment horizontal="center" vertical="center"/>
    </xf>
    <xf numFmtId="58" fontId="25" fillId="8" borderId="1" xfId="0" applyNumberFormat="1" applyFont="1" applyFill="1" applyBorder="1" applyAlignment="1">
      <alignment horizontal="center" vertical="center"/>
    </xf>
    <xf numFmtId="58" fontId="25" fillId="8" borderId="23" xfId="0" applyNumberFormat="1" applyFont="1" applyFill="1" applyBorder="1" applyAlignment="1">
      <alignment horizontal="center" vertical="center"/>
    </xf>
    <xf numFmtId="0" fontId="21" fillId="0" borderId="24" xfId="0" applyFont="1" applyBorder="1" applyAlignment="1" applyProtection="1">
      <alignment horizontal="center" vertical="center"/>
      <protection locked="0"/>
    </xf>
    <xf numFmtId="14" fontId="27" fillId="0" borderId="24" xfId="0" applyNumberFormat="1" applyFont="1" applyBorder="1" applyAlignment="1" applyProtection="1">
      <alignment horizontal="center" vertical="center"/>
      <protection locked="0"/>
    </xf>
    <xf numFmtId="0" fontId="23" fillId="9" borderId="9" xfId="0" applyFont="1" applyFill="1" applyBorder="1" applyAlignment="1" applyProtection="1">
      <alignment horizontal="centerContinuous" vertical="center"/>
      <protection locked="0"/>
    </xf>
    <xf numFmtId="0" fontId="30" fillId="9" borderId="1" xfId="0" applyFont="1" applyFill="1" applyBorder="1" applyAlignment="1" applyProtection="1">
      <alignment horizontal="centerContinuous"/>
      <protection locked="0"/>
    </xf>
    <xf numFmtId="0" fontId="30" fillId="9" borderId="23" xfId="0" applyFont="1" applyFill="1" applyBorder="1" applyAlignment="1" applyProtection="1">
      <alignment horizontal="centerContinuous"/>
      <protection locked="0"/>
    </xf>
    <xf numFmtId="0" fontId="23" fillId="10" borderId="9" xfId="0" applyFont="1" applyFill="1" applyBorder="1" applyAlignment="1" applyProtection="1">
      <alignment horizontal="centerContinuous"/>
      <protection locked="0"/>
    </xf>
    <xf numFmtId="0" fontId="23" fillId="10" borderId="1" xfId="0" applyFont="1" applyFill="1" applyBorder="1" applyAlignment="1" applyProtection="1">
      <alignment horizontal="centerContinuous"/>
      <protection locked="0"/>
    </xf>
    <xf numFmtId="0" fontId="23" fillId="10" borderId="23" xfId="0" applyFont="1" applyFill="1" applyBorder="1" applyAlignment="1" applyProtection="1">
      <alignment horizontal="centerContinuous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9" fontId="26" fillId="0" borderId="1" xfId="0" applyNumberFormat="1" applyFont="1" applyBorder="1" applyAlignment="1" applyProtection="1">
      <alignment horizontal="center" vertical="center"/>
      <protection locked="0"/>
    </xf>
    <xf numFmtId="10" fontId="9" fillId="8" borderId="1" xfId="0" applyNumberFormat="1" applyFont="1" applyFill="1" applyBorder="1" applyAlignment="1" applyProtection="1">
      <alignment horizontal="center" vertical="center"/>
    </xf>
    <xf numFmtId="0" fontId="29" fillId="6" borderId="27" xfId="0" applyFont="1" applyFill="1" applyBorder="1" applyAlignment="1" applyProtection="1">
      <alignment horizontal="center" vertical="center"/>
      <protection locked="0"/>
    </xf>
    <xf numFmtId="176" fontId="29" fillId="0" borderId="27" xfId="0" applyNumberFormat="1" applyFont="1" applyBorder="1" applyAlignment="1">
      <alignment horizontal="center" vertical="center"/>
    </xf>
    <xf numFmtId="176" fontId="29" fillId="0" borderId="28" xfId="0" applyNumberFormat="1" applyFont="1" applyBorder="1" applyAlignment="1">
      <alignment horizontal="center" vertical="center"/>
    </xf>
    <xf numFmtId="176" fontId="29" fillId="0" borderId="29" xfId="0" applyNumberFormat="1" applyFont="1" applyBorder="1" applyAlignment="1">
      <alignment horizontal="center" vertical="center"/>
    </xf>
    <xf numFmtId="0" fontId="24" fillId="6" borderId="9" xfId="0" applyFont="1" applyFill="1" applyBorder="1" applyAlignment="1" applyProtection="1">
      <alignment horizontal="centerContinuous" vertical="center"/>
      <protection locked="0"/>
    </xf>
    <xf numFmtId="0" fontId="24" fillId="6" borderId="1" xfId="0" applyFont="1" applyFill="1" applyBorder="1" applyAlignment="1" applyProtection="1">
      <alignment horizontal="centerContinuous" vertical="center"/>
      <protection locked="0"/>
    </xf>
    <xf numFmtId="0" fontId="24" fillId="11" borderId="1" xfId="0" applyFont="1" applyFill="1" applyBorder="1" applyAlignment="1" applyProtection="1">
      <alignment horizontal="centerContinuous" vertical="center"/>
      <protection locked="0"/>
    </xf>
    <xf numFmtId="0" fontId="24" fillId="11" borderId="23" xfId="0" applyFont="1" applyFill="1" applyBorder="1" applyAlignment="1" applyProtection="1">
      <alignment horizontal="centerContinuous" vertical="center"/>
      <protection locked="0"/>
    </xf>
    <xf numFmtId="0" fontId="24" fillId="9" borderId="9" xfId="0" applyFont="1" applyFill="1" applyBorder="1" applyAlignment="1" applyProtection="1">
      <alignment horizontal="centerContinuous" vertical="center"/>
      <protection locked="0"/>
    </xf>
    <xf numFmtId="0" fontId="24" fillId="9" borderId="1" xfId="0" applyFont="1" applyFill="1" applyBorder="1" applyAlignment="1" applyProtection="1">
      <alignment horizontal="centerContinuous" vertical="center"/>
      <protection locked="0"/>
    </xf>
    <xf numFmtId="0" fontId="24" fillId="12" borderId="1" xfId="0" applyFont="1" applyFill="1" applyBorder="1" applyAlignment="1" applyProtection="1">
      <alignment horizontal="centerContinuous" vertical="center"/>
      <protection locked="0"/>
    </xf>
    <xf numFmtId="0" fontId="24" fillId="12" borderId="23" xfId="0" applyFont="1" applyFill="1" applyBorder="1" applyAlignment="1" applyProtection="1">
      <alignment horizontal="centerContinuous" vertical="center"/>
      <protection locked="0"/>
    </xf>
    <xf numFmtId="0" fontId="24" fillId="10" borderId="9" xfId="0" applyFont="1" applyFill="1" applyBorder="1" applyAlignment="1" applyProtection="1">
      <alignment horizontal="centerContinuous" vertical="center"/>
      <protection locked="0"/>
    </xf>
    <xf numFmtId="0" fontId="24" fillId="10" borderId="1" xfId="0" applyFont="1" applyFill="1" applyBorder="1" applyAlignment="1" applyProtection="1">
      <alignment horizontal="centerContinuous" vertical="center"/>
      <protection locked="0"/>
    </xf>
    <xf numFmtId="0" fontId="24" fillId="13" borderId="1" xfId="0" applyFont="1" applyFill="1" applyBorder="1" applyAlignment="1" applyProtection="1">
      <alignment horizontal="centerContinuous" vertical="center"/>
      <protection locked="0"/>
    </xf>
    <xf numFmtId="0" fontId="24" fillId="13" borderId="23" xfId="0" applyFont="1" applyFill="1" applyBorder="1" applyAlignment="1" applyProtection="1">
      <alignment horizontal="centerContinuous" vertical="center"/>
      <protection locked="0"/>
    </xf>
    <xf numFmtId="10" fontId="28" fillId="8" borderId="1" xfId="0" applyNumberFormat="1" applyFont="1" applyFill="1" applyBorder="1" applyAlignment="1" applyProtection="1">
      <alignment horizontal="center" vertical="center"/>
    </xf>
    <xf numFmtId="0" fontId="28" fillId="7" borderId="27" xfId="0" applyFont="1" applyFill="1" applyBorder="1" applyAlignment="1" applyProtection="1">
      <alignment horizontal="center" vertical="center"/>
      <protection locked="0"/>
    </xf>
    <xf numFmtId="176" fontId="29" fillId="0" borderId="30" xfId="0" applyNumberFormat="1" applyFont="1" applyBorder="1" applyAlignment="1">
      <alignment horizontal="center" vertical="center"/>
    </xf>
    <xf numFmtId="176" fontId="29" fillId="0" borderId="21" xfId="0" applyNumberFormat="1" applyFont="1" applyBorder="1" applyAlignment="1" applyProtection="1">
      <alignment vertical="center"/>
      <protection locked="0"/>
    </xf>
    <xf numFmtId="0" fontId="29" fillId="6" borderId="3" xfId="0" applyFont="1" applyFill="1" applyBorder="1" applyAlignment="1" applyProtection="1">
      <alignment horizontal="center" vertical="center"/>
      <protection locked="0"/>
    </xf>
    <xf numFmtId="176" fontId="29" fillId="0" borderId="3" xfId="0" applyNumberFormat="1" applyFont="1" applyBorder="1" applyAlignment="1">
      <alignment horizontal="center" vertical="center"/>
    </xf>
    <xf numFmtId="176" fontId="29" fillId="0" borderId="15" xfId="0" applyNumberFormat="1" applyFont="1" applyBorder="1" applyAlignment="1">
      <alignment horizontal="center" vertical="center"/>
    </xf>
    <xf numFmtId="176" fontId="29" fillId="0" borderId="31" xfId="0" applyNumberFormat="1" applyFont="1" applyBorder="1" applyAlignment="1">
      <alignment horizontal="center" vertical="center"/>
    </xf>
    <xf numFmtId="0" fontId="24" fillId="6" borderId="9" xfId="0" applyFont="1" applyFill="1" applyBorder="1" applyAlignment="1" applyProtection="1">
      <alignment horizontal="center" vertical="center"/>
      <protection locked="0"/>
    </xf>
    <xf numFmtId="0" fontId="24" fillId="6" borderId="1" xfId="0" applyFont="1" applyFill="1" applyBorder="1" applyAlignment="1" applyProtection="1">
      <alignment horizontal="center" vertical="center"/>
      <protection locked="0"/>
    </xf>
    <xf numFmtId="0" fontId="24" fillId="11" borderId="1" xfId="0" applyFont="1" applyFill="1" applyBorder="1" applyAlignment="1" applyProtection="1">
      <alignment horizontal="center" vertical="center"/>
      <protection locked="0"/>
    </xf>
    <xf numFmtId="0" fontId="24" fillId="11" borderId="23" xfId="0" applyFont="1" applyFill="1" applyBorder="1" applyAlignment="1" applyProtection="1">
      <alignment horizontal="center" vertical="center"/>
      <protection locked="0"/>
    </xf>
    <xf numFmtId="0" fontId="24" fillId="9" borderId="9" xfId="0" applyFont="1" applyFill="1" applyBorder="1" applyAlignment="1" applyProtection="1">
      <alignment horizontal="center" vertical="center"/>
      <protection locked="0"/>
    </xf>
    <xf numFmtId="0" fontId="24" fillId="9" borderId="1" xfId="0" applyFont="1" applyFill="1" applyBorder="1" applyAlignment="1" applyProtection="1">
      <alignment horizontal="center" vertical="center"/>
      <protection locked="0"/>
    </xf>
    <xf numFmtId="0" fontId="24" fillId="12" borderId="1" xfId="0" applyFont="1" applyFill="1" applyBorder="1" applyAlignment="1" applyProtection="1">
      <alignment horizontal="center" vertical="center"/>
      <protection locked="0"/>
    </xf>
    <xf numFmtId="0" fontId="24" fillId="12" borderId="23" xfId="0" applyFont="1" applyFill="1" applyBorder="1" applyAlignment="1" applyProtection="1">
      <alignment horizontal="center" vertical="center"/>
      <protection locked="0"/>
    </xf>
    <xf numFmtId="0" fontId="24" fillId="10" borderId="9" xfId="0" applyFont="1" applyFill="1" applyBorder="1" applyAlignment="1" applyProtection="1">
      <alignment horizontal="center" vertical="center"/>
      <protection locked="0"/>
    </xf>
    <xf numFmtId="0" fontId="24" fillId="10" borderId="1" xfId="0" applyFont="1" applyFill="1" applyBorder="1" applyAlignment="1" applyProtection="1">
      <alignment horizontal="center" vertical="center"/>
      <protection locked="0"/>
    </xf>
    <xf numFmtId="0" fontId="24" fillId="13" borderId="1" xfId="0" applyFont="1" applyFill="1" applyBorder="1" applyAlignment="1" applyProtection="1">
      <alignment horizontal="center" vertical="center"/>
      <protection locked="0"/>
    </xf>
    <xf numFmtId="0" fontId="24" fillId="13" borderId="23" xfId="0" applyFont="1" applyFill="1" applyBorder="1" applyAlignment="1" applyProtection="1">
      <alignment horizontal="center" vertical="center"/>
      <protection locked="0"/>
    </xf>
    <xf numFmtId="0" fontId="28" fillId="7" borderId="32" xfId="0" applyFont="1" applyFill="1" applyBorder="1" applyAlignment="1" applyProtection="1">
      <alignment horizontal="center" vertical="center"/>
      <protection locked="0"/>
    </xf>
    <xf numFmtId="176" fontId="29" fillId="0" borderId="32" xfId="0" applyNumberFormat="1" applyFont="1" applyBorder="1" applyAlignment="1">
      <alignment horizontal="center" vertical="center"/>
    </xf>
    <xf numFmtId="176" fontId="29" fillId="0" borderId="33" xfId="0" applyNumberFormat="1" applyFont="1" applyBorder="1" applyAlignment="1">
      <alignment horizontal="center" vertical="center"/>
    </xf>
    <xf numFmtId="176" fontId="29" fillId="0" borderId="34" xfId="0" applyNumberFormat="1" applyFont="1" applyBorder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9" fontId="26" fillId="0" borderId="0" xfId="0" applyNumberFormat="1" applyFont="1" applyFill="1" applyBorder="1" applyAlignment="1" applyProtection="1">
      <alignment horizontal="center" vertical="center"/>
      <protection locked="0"/>
    </xf>
    <xf numFmtId="177" fontId="26" fillId="0" borderId="10" xfId="0" applyNumberFormat="1" applyFont="1" applyBorder="1" applyAlignment="1">
      <alignment horizontal="center" vertical="center"/>
    </xf>
    <xf numFmtId="177" fontId="26" fillId="0" borderId="4" xfId="0" applyNumberFormat="1" applyFont="1" applyFill="1" applyBorder="1" applyAlignment="1" applyProtection="1">
      <alignment horizontal="center" vertical="center"/>
    </xf>
    <xf numFmtId="177" fontId="26" fillId="0" borderId="4" xfId="0" applyNumberFormat="1" applyFont="1" applyBorder="1" applyAlignment="1">
      <alignment horizontal="center" vertical="center"/>
    </xf>
    <xf numFmtId="177" fontId="26" fillId="0" borderId="35" xfId="0" applyNumberFormat="1" applyFont="1" applyFill="1" applyBorder="1" applyAlignment="1" applyProtection="1">
      <alignment horizontal="center" vertical="center"/>
    </xf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17" borderId="1" xfId="0" applyFont="1" applyFill="1" applyBorder="1" applyAlignment="1" applyProtection="1">
      <alignment horizontal="center" vertical="center"/>
      <protection locked="0"/>
    </xf>
    <xf numFmtId="9" fontId="28" fillId="17" borderId="1" xfId="0" applyNumberFormat="1" applyFont="1" applyFill="1" applyBorder="1" applyAlignment="1" applyProtection="1">
      <alignment horizontal="center" vertical="center"/>
      <protection locked="0"/>
    </xf>
    <xf numFmtId="0" fontId="28" fillId="9" borderId="1" xfId="0" applyFont="1" applyFill="1" applyBorder="1" applyAlignment="1" applyProtection="1">
      <alignment horizontal="center" vertical="center" wrapText="1"/>
      <protection locked="0"/>
    </xf>
    <xf numFmtId="0" fontId="28" fillId="9" borderId="1" xfId="0" applyFont="1" applyFill="1" applyBorder="1" applyAlignment="1" applyProtection="1">
      <alignment horizontal="center" vertical="center"/>
      <protection locked="0"/>
    </xf>
    <xf numFmtId="0" fontId="28" fillId="10" borderId="1" xfId="0" applyFont="1" applyFill="1" applyBorder="1" applyAlignment="1" applyProtection="1">
      <alignment horizontal="center" vertical="center" wrapText="1"/>
      <protection locked="0"/>
    </xf>
    <xf numFmtId="0" fontId="28" fillId="2" borderId="1" xfId="0" applyFont="1" applyFill="1" applyBorder="1" applyAlignment="1" applyProtection="1">
      <alignment horizontal="center" vertical="center"/>
      <protection locked="0"/>
    </xf>
    <xf numFmtId="0" fontId="26" fillId="0" borderId="1" xfId="0" applyFont="1" applyBorder="1" applyAlignment="1" applyProtection="1">
      <alignment vertical="center"/>
      <protection locked="0"/>
    </xf>
    <xf numFmtId="0" fontId="31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32" fillId="0" borderId="1" xfId="0" applyFont="1" applyBorder="1" applyAlignment="1">
      <alignment horizontal="center" vertical="center"/>
    </xf>
    <xf numFmtId="14" fontId="10" fillId="18" borderId="1" xfId="0" applyNumberFormat="1" applyFont="1" applyFill="1" applyBorder="1" applyAlignment="1" applyProtection="1">
      <alignment horizontal="center" vertical="center"/>
      <protection locked="0"/>
    </xf>
    <xf numFmtId="9" fontId="10" fillId="19" borderId="1" xfId="0" applyNumberFormat="1" applyFont="1" applyFill="1" applyBorder="1" applyAlignment="1" applyProtection="1">
      <alignment horizontal="center" vertical="center"/>
    </xf>
    <xf numFmtId="0" fontId="10" fillId="19" borderId="1" xfId="0" applyFont="1" applyFill="1" applyBorder="1" applyAlignment="1">
      <alignment horizontal="center" vertical="center"/>
    </xf>
    <xf numFmtId="9" fontId="10" fillId="0" borderId="1" xfId="0" applyNumberFormat="1" applyFont="1" applyBorder="1" applyAlignment="1" applyProtection="1">
      <alignment horizontal="center" vertical="center"/>
      <protection locked="0"/>
    </xf>
    <xf numFmtId="14" fontId="10" fillId="7" borderId="1" xfId="0" applyNumberFormat="1" applyFont="1" applyFill="1" applyBorder="1" applyAlignment="1" applyProtection="1">
      <alignment horizontal="center" vertical="center"/>
      <protection locked="0"/>
    </xf>
    <xf numFmtId="9" fontId="10" fillId="7" borderId="1" xfId="0" applyNumberFormat="1" applyFont="1" applyFill="1" applyBorder="1" applyAlignment="1" applyProtection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14" fontId="10" fillId="0" borderId="1" xfId="0" applyNumberFormat="1" applyFont="1" applyFill="1" applyBorder="1" applyAlignment="1" applyProtection="1">
      <alignment horizontal="center" vertical="center"/>
      <protection locked="0"/>
    </xf>
    <xf numFmtId="14" fontId="10" fillId="0" borderId="1" xfId="0" applyNumberFormat="1" applyFont="1" applyBorder="1" applyAlignment="1" applyProtection="1">
      <alignment horizontal="center" vertical="center"/>
      <protection locked="0"/>
    </xf>
    <xf numFmtId="0" fontId="10" fillId="20" borderId="1" xfId="0" applyFont="1" applyFill="1" applyBorder="1" applyAlignment="1" applyProtection="1">
      <alignment horizontal="center" vertical="center"/>
      <protection locked="0"/>
    </xf>
    <xf numFmtId="14" fontId="10" fillId="20" borderId="1" xfId="0" applyNumberFormat="1" applyFont="1" applyFill="1" applyBorder="1" applyAlignment="1" applyProtection="1">
      <alignment horizontal="center" vertical="center"/>
      <protection locked="0"/>
    </xf>
    <xf numFmtId="9" fontId="10" fillId="20" borderId="1" xfId="0" applyNumberFormat="1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9" fontId="10" fillId="0" borderId="13" xfId="0" applyNumberFormat="1" applyFont="1" applyBorder="1" applyAlignment="1" applyProtection="1">
      <alignment horizontal="center" vertical="center"/>
      <protection locked="0"/>
    </xf>
    <xf numFmtId="9" fontId="10" fillId="0" borderId="1" xfId="0" applyNumberFormat="1" applyFont="1" applyBorder="1" applyAlignment="1" applyProtection="1">
      <alignment horizontal="center" vertical="center"/>
      <protection locked="0"/>
    </xf>
    <xf numFmtId="9" fontId="10" fillId="18" borderId="17" xfId="0" applyNumberFormat="1" applyFont="1" applyFill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protection locked="0"/>
    </xf>
    <xf numFmtId="0" fontId="31" fillId="0" borderId="1" xfId="0" applyFont="1" applyBorder="1" applyAlignment="1">
      <alignment horizontal="center" vertical="top" wrapText="1"/>
    </xf>
    <xf numFmtId="49" fontId="10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26" fillId="0" borderId="2" xfId="0" applyFont="1" applyBorder="1" applyAlignment="1" applyProtection="1">
      <alignment vertical="center"/>
      <protection locked="0"/>
    </xf>
    <xf numFmtId="0" fontId="26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 wrapText="1"/>
    </xf>
    <xf numFmtId="49" fontId="10" fillId="0" borderId="2" xfId="0" applyNumberFormat="1" applyFont="1" applyBorder="1" applyAlignment="1">
      <alignment horizontal="center" vertical="center" wrapText="1"/>
    </xf>
    <xf numFmtId="0" fontId="10" fillId="0" borderId="2" xfId="0" applyFont="1" applyBorder="1" applyAlignment="1" applyProtection="1">
      <alignment horizontal="center" vertical="center"/>
      <protection locked="0"/>
    </xf>
    <xf numFmtId="0" fontId="32" fillId="0" borderId="2" xfId="0" applyFont="1" applyBorder="1" applyAlignment="1">
      <alignment horizontal="center" vertical="center"/>
    </xf>
    <xf numFmtId="14" fontId="10" fillId="18" borderId="2" xfId="0" applyNumberFormat="1" applyFont="1" applyFill="1" applyBorder="1" applyAlignment="1" applyProtection="1">
      <alignment horizontal="center" vertical="center"/>
      <protection locked="0"/>
    </xf>
    <xf numFmtId="9" fontId="10" fillId="19" borderId="2" xfId="0" applyNumberFormat="1" applyFont="1" applyFill="1" applyBorder="1" applyAlignment="1" applyProtection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9" fontId="10" fillId="0" borderId="2" xfId="0" applyNumberFormat="1" applyFont="1" applyBorder="1" applyAlignment="1" applyProtection="1">
      <alignment horizontal="center" vertical="center"/>
      <protection locked="0"/>
    </xf>
    <xf numFmtId="14" fontId="10" fillId="7" borderId="2" xfId="0" applyNumberFormat="1" applyFont="1" applyFill="1" applyBorder="1" applyAlignment="1" applyProtection="1">
      <alignment horizontal="center" vertical="center"/>
      <protection locked="0"/>
    </xf>
    <xf numFmtId="9" fontId="10" fillId="7" borderId="2" xfId="0" applyNumberFormat="1" applyFont="1" applyFill="1" applyBorder="1" applyAlignment="1" applyProtection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4" fontId="10" fillId="0" borderId="2" xfId="0" applyNumberFormat="1" applyFont="1" applyFill="1" applyBorder="1" applyAlignment="1" applyProtection="1">
      <alignment horizontal="center" vertical="center"/>
      <protection locked="0"/>
    </xf>
    <xf numFmtId="14" fontId="10" fillId="0" borderId="2" xfId="0" applyNumberFormat="1" applyFont="1" applyBorder="1" applyAlignment="1" applyProtection="1">
      <alignment horizontal="center" vertical="center"/>
      <protection locked="0"/>
    </xf>
    <xf numFmtId="0" fontId="10" fillId="20" borderId="2" xfId="0" applyFont="1" applyFill="1" applyBorder="1" applyAlignment="1" applyProtection="1">
      <alignment horizontal="center" vertical="center"/>
      <protection locked="0"/>
    </xf>
    <xf numFmtId="14" fontId="10" fillId="20" borderId="2" xfId="0" applyNumberFormat="1" applyFont="1" applyFill="1" applyBorder="1" applyAlignment="1" applyProtection="1">
      <alignment horizontal="center" vertical="center"/>
      <protection locked="0"/>
    </xf>
    <xf numFmtId="9" fontId="10" fillId="20" borderId="2" xfId="0" applyNumberFormat="1" applyFont="1" applyFill="1" applyBorder="1" applyAlignment="1">
      <alignment horizontal="center" vertical="center"/>
    </xf>
    <xf numFmtId="0" fontId="10" fillId="20" borderId="2" xfId="0" applyFont="1" applyFill="1" applyBorder="1" applyAlignment="1">
      <alignment horizontal="center" vertical="center"/>
    </xf>
    <xf numFmtId="9" fontId="10" fillId="0" borderId="11" xfId="0" applyNumberFormat="1" applyFont="1" applyBorder="1" applyAlignment="1" applyProtection="1">
      <alignment horizontal="center" vertical="center"/>
      <protection locked="0"/>
    </xf>
    <xf numFmtId="9" fontId="10" fillId="0" borderId="2" xfId="0" applyNumberFormat="1" applyFont="1" applyBorder="1" applyAlignment="1" applyProtection="1">
      <alignment horizontal="center" vertical="center"/>
      <protection locked="0"/>
    </xf>
    <xf numFmtId="0" fontId="26" fillId="0" borderId="6" xfId="0" applyFont="1" applyBorder="1" applyAlignment="1" applyProtection="1">
      <alignment vertical="center"/>
      <protection locked="0"/>
    </xf>
    <xf numFmtId="0" fontId="26" fillId="0" borderId="7" xfId="0" applyFont="1" applyBorder="1" applyAlignment="1" applyProtection="1">
      <alignment horizontal="center" vertical="center"/>
      <protection locked="0"/>
    </xf>
    <xf numFmtId="0" fontId="31" fillId="0" borderId="7" xfId="0" applyFont="1" applyBorder="1" applyAlignment="1">
      <alignment horizontal="center" vertical="center" wrapText="1"/>
    </xf>
    <xf numFmtId="49" fontId="10" fillId="0" borderId="7" xfId="0" applyNumberFormat="1" applyFont="1" applyBorder="1" applyAlignment="1">
      <alignment horizontal="center" vertical="center" wrapText="1"/>
    </xf>
    <xf numFmtId="0" fontId="2" fillId="0" borderId="7" xfId="0" applyFont="1" applyBorder="1" applyAlignment="1">
      <alignment horizontal="left" vertical="center"/>
    </xf>
    <xf numFmtId="0" fontId="10" fillId="0" borderId="7" xfId="0" applyFont="1" applyBorder="1" applyAlignment="1" applyProtection="1">
      <alignment horizontal="center" vertical="center"/>
      <protection locked="0"/>
    </xf>
    <xf numFmtId="0" fontId="32" fillId="0" borderId="7" xfId="0" applyFont="1" applyBorder="1" applyAlignment="1">
      <alignment horizontal="center" vertical="center"/>
    </xf>
    <xf numFmtId="14" fontId="10" fillId="18" borderId="7" xfId="0" applyNumberFormat="1" applyFont="1" applyFill="1" applyBorder="1" applyAlignment="1" applyProtection="1">
      <alignment horizontal="center" vertical="center"/>
      <protection locked="0"/>
    </xf>
    <xf numFmtId="9" fontId="10" fillId="19" borderId="7" xfId="0" applyNumberFormat="1" applyFont="1" applyFill="1" applyBorder="1" applyAlignment="1" applyProtection="1">
      <alignment horizontal="center" vertical="center"/>
    </xf>
    <xf numFmtId="0" fontId="10" fillId="19" borderId="7" xfId="0" applyFont="1" applyFill="1" applyBorder="1" applyAlignment="1">
      <alignment horizontal="center" vertical="center"/>
    </xf>
    <xf numFmtId="9" fontId="10" fillId="0" borderId="7" xfId="0" applyNumberFormat="1" applyFont="1" applyBorder="1" applyAlignment="1" applyProtection="1">
      <alignment horizontal="center" vertical="center"/>
      <protection locked="0"/>
    </xf>
    <xf numFmtId="14" fontId="10" fillId="7" borderId="7" xfId="0" applyNumberFormat="1" applyFont="1" applyFill="1" applyBorder="1" applyAlignment="1" applyProtection="1">
      <alignment horizontal="center" vertical="center"/>
      <protection locked="0"/>
    </xf>
    <xf numFmtId="9" fontId="10" fillId="7" borderId="7" xfId="0" applyNumberFormat="1" applyFont="1" applyFill="1" applyBorder="1" applyAlignment="1" applyProtection="1">
      <alignment horizontal="center" vertical="center"/>
    </xf>
    <xf numFmtId="0" fontId="10" fillId="7" borderId="7" xfId="0" applyFont="1" applyFill="1" applyBorder="1" applyAlignment="1">
      <alignment horizontal="center" vertical="center"/>
    </xf>
    <xf numFmtId="14" fontId="10" fillId="0" borderId="7" xfId="0" applyNumberFormat="1" applyFont="1" applyFill="1" applyBorder="1" applyAlignment="1" applyProtection="1">
      <alignment horizontal="center" vertical="center"/>
      <protection locked="0"/>
    </xf>
    <xf numFmtId="14" fontId="10" fillId="0" borderId="7" xfId="0" applyNumberFormat="1" applyFont="1" applyBorder="1" applyAlignment="1" applyProtection="1">
      <alignment horizontal="center" vertical="center"/>
      <protection locked="0"/>
    </xf>
    <xf numFmtId="0" fontId="10" fillId="20" borderId="7" xfId="0" applyFont="1" applyFill="1" applyBorder="1" applyAlignment="1" applyProtection="1">
      <alignment horizontal="center" vertical="center"/>
      <protection locked="0"/>
    </xf>
    <xf numFmtId="14" fontId="10" fillId="20" borderId="7" xfId="0" applyNumberFormat="1" applyFont="1" applyFill="1" applyBorder="1" applyAlignment="1" applyProtection="1">
      <alignment horizontal="center" vertical="center"/>
      <protection locked="0"/>
    </xf>
    <xf numFmtId="9" fontId="10" fillId="20" borderId="7" xfId="0" applyNumberFormat="1" applyFont="1" applyFill="1" applyBorder="1" applyAlignment="1">
      <alignment horizontal="center" vertical="center"/>
    </xf>
    <xf numFmtId="0" fontId="10" fillId="20" borderId="7" xfId="0" applyFont="1" applyFill="1" applyBorder="1" applyAlignment="1">
      <alignment horizontal="center" vertical="center"/>
    </xf>
    <xf numFmtId="9" fontId="10" fillId="0" borderId="12" xfId="0" applyNumberFormat="1" applyFont="1" applyBorder="1" applyAlignment="1" applyProtection="1">
      <alignment horizontal="center" vertical="center"/>
      <protection locked="0"/>
    </xf>
    <xf numFmtId="9" fontId="10" fillId="0" borderId="7" xfId="0" applyNumberFormat="1" applyFont="1" applyBorder="1" applyAlignment="1" applyProtection="1">
      <alignment horizontal="center" vertical="center"/>
      <protection locked="0"/>
    </xf>
    <xf numFmtId="9" fontId="10" fillId="18" borderId="16" xfId="0" applyNumberFormat="1" applyFont="1" applyFill="1" applyBorder="1" applyAlignment="1" applyProtection="1">
      <alignment horizontal="center" vertical="center"/>
      <protection locked="0"/>
    </xf>
    <xf numFmtId="0" fontId="26" fillId="0" borderId="7" xfId="0" applyFont="1" applyBorder="1" applyAlignment="1" applyProtection="1">
      <alignment vertical="center"/>
      <protection locked="0"/>
    </xf>
    <xf numFmtId="0" fontId="33" fillId="0" borderId="8" xfId="0" applyFont="1" applyBorder="1" applyAlignment="1" applyProtection="1">
      <protection locked="0"/>
    </xf>
    <xf numFmtId="0" fontId="26" fillId="0" borderId="9" xfId="0" applyFont="1" applyBorder="1" applyAlignment="1" applyProtection="1">
      <alignment vertical="center"/>
      <protection locked="0"/>
    </xf>
    <xf numFmtId="0" fontId="26" fillId="0" borderId="10" xfId="0" applyFont="1" applyBorder="1" applyAlignment="1" applyProtection="1">
      <alignment vertical="center"/>
      <protection locked="0"/>
    </xf>
    <xf numFmtId="0" fontId="26" fillId="0" borderId="4" xfId="0" applyFont="1" applyBorder="1" applyAlignment="1" applyProtection="1">
      <alignment horizontal="center" vertical="center"/>
      <protection locked="0"/>
    </xf>
    <xf numFmtId="0" fontId="31" fillId="0" borderId="4" xfId="0" applyFont="1" applyBorder="1" applyAlignment="1">
      <alignment horizontal="center" vertical="center" wrapText="1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4" xfId="0" applyFont="1" applyBorder="1" applyAlignment="1">
      <alignment horizontal="left" vertical="center" wrapText="1"/>
    </xf>
    <xf numFmtId="0" fontId="10" fillId="0" borderId="4" xfId="0" applyFont="1" applyBorder="1" applyAlignment="1" applyProtection="1">
      <alignment horizontal="center" vertical="center"/>
      <protection locked="0"/>
    </xf>
    <xf numFmtId="0" fontId="32" fillId="0" borderId="4" xfId="0" applyFont="1" applyBorder="1" applyAlignment="1">
      <alignment horizontal="center" vertical="center"/>
    </xf>
    <xf numFmtId="14" fontId="10" fillId="18" borderId="4" xfId="0" applyNumberFormat="1" applyFont="1" applyFill="1" applyBorder="1" applyAlignment="1" applyProtection="1">
      <alignment horizontal="center" vertical="center"/>
      <protection locked="0"/>
    </xf>
    <xf numFmtId="9" fontId="10" fillId="19" borderId="4" xfId="0" applyNumberFormat="1" applyFont="1" applyFill="1" applyBorder="1" applyAlignment="1" applyProtection="1">
      <alignment horizontal="center" vertical="center"/>
    </xf>
    <xf numFmtId="0" fontId="10" fillId="19" borderId="4" xfId="0" applyFont="1" applyFill="1" applyBorder="1" applyAlignment="1">
      <alignment horizontal="center" vertical="center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14" fontId="10" fillId="7" borderId="4" xfId="0" applyNumberFormat="1" applyFont="1" applyFill="1" applyBorder="1" applyAlignment="1" applyProtection="1">
      <alignment horizontal="center" vertical="center"/>
      <protection locked="0"/>
    </xf>
    <xf numFmtId="9" fontId="10" fillId="7" borderId="4" xfId="0" applyNumberFormat="1" applyFont="1" applyFill="1" applyBorder="1" applyAlignment="1" applyProtection="1">
      <alignment horizontal="center" vertical="center"/>
    </xf>
    <xf numFmtId="0" fontId="10" fillId="7" borderId="4" xfId="0" applyFont="1" applyFill="1" applyBorder="1" applyAlignment="1">
      <alignment horizontal="center" vertical="center"/>
    </xf>
    <xf numFmtId="14" fontId="10" fillId="0" borderId="4" xfId="0" applyNumberFormat="1" applyFont="1" applyFill="1" applyBorder="1" applyAlignment="1" applyProtection="1">
      <alignment horizontal="center" vertical="center"/>
      <protection locked="0"/>
    </xf>
    <xf numFmtId="14" fontId="10" fillId="0" borderId="4" xfId="0" applyNumberFormat="1" applyFont="1" applyBorder="1" applyAlignment="1" applyProtection="1">
      <alignment horizontal="center" vertical="center"/>
      <protection locked="0"/>
    </xf>
    <xf numFmtId="0" fontId="10" fillId="20" borderId="4" xfId="0" applyFont="1" applyFill="1" applyBorder="1" applyAlignment="1" applyProtection="1">
      <alignment horizontal="center" vertical="center"/>
      <protection locked="0"/>
    </xf>
    <xf numFmtId="14" fontId="10" fillId="20" borderId="4" xfId="0" applyNumberFormat="1" applyFont="1" applyFill="1" applyBorder="1" applyAlignment="1" applyProtection="1">
      <alignment horizontal="center" vertical="center"/>
      <protection locked="0"/>
    </xf>
    <xf numFmtId="9" fontId="10" fillId="20" borderId="4" xfId="0" applyNumberFormat="1" applyFont="1" applyFill="1" applyBorder="1" applyAlignment="1">
      <alignment horizontal="center" vertical="center"/>
    </xf>
    <xf numFmtId="0" fontId="10" fillId="20" borderId="4" xfId="0" applyFont="1" applyFill="1" applyBorder="1" applyAlignment="1">
      <alignment horizontal="center" vertical="center"/>
    </xf>
    <xf numFmtId="9" fontId="10" fillId="0" borderId="14" xfId="0" applyNumberFormat="1" applyFont="1" applyBorder="1" applyAlignment="1" applyProtection="1">
      <alignment horizontal="center" vertical="center"/>
      <protection locked="0"/>
    </xf>
    <xf numFmtId="9" fontId="10" fillId="0" borderId="4" xfId="0" applyNumberFormat="1" applyFont="1" applyBorder="1" applyAlignment="1" applyProtection="1">
      <alignment horizontal="center" vertical="center"/>
      <protection locked="0"/>
    </xf>
    <xf numFmtId="0" fontId="26" fillId="0" borderId="4" xfId="0" applyFont="1" applyBorder="1" applyAlignment="1" applyProtection="1">
      <alignment vertical="center"/>
      <protection locked="0"/>
    </xf>
    <xf numFmtId="0" fontId="12" fillId="0" borderId="5" xfId="0" applyFont="1" applyBorder="1" applyAlignment="1"/>
    <xf numFmtId="0" fontId="26" fillId="0" borderId="3" xfId="0" applyFont="1" applyBorder="1" applyAlignment="1" applyProtection="1">
      <alignment vertical="center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vertical="center" wrapText="1"/>
    </xf>
    <xf numFmtId="0" fontId="10" fillId="0" borderId="3" xfId="0" applyFont="1" applyBorder="1" applyAlignment="1" applyProtection="1">
      <alignment horizontal="center" vertical="center"/>
      <protection locked="0"/>
    </xf>
    <xf numFmtId="0" fontId="32" fillId="0" borderId="3" xfId="0" applyFont="1" applyBorder="1" applyAlignment="1">
      <alignment horizontal="center" vertical="center"/>
    </xf>
    <xf numFmtId="14" fontId="10" fillId="18" borderId="3" xfId="0" applyNumberFormat="1" applyFont="1" applyFill="1" applyBorder="1" applyAlignment="1" applyProtection="1">
      <alignment horizontal="center" vertical="center"/>
      <protection locked="0"/>
    </xf>
    <xf numFmtId="9" fontId="10" fillId="19" borderId="3" xfId="0" applyNumberFormat="1" applyFont="1" applyFill="1" applyBorder="1" applyAlignment="1" applyProtection="1">
      <alignment horizontal="center" vertical="center"/>
    </xf>
    <xf numFmtId="0" fontId="10" fillId="19" borderId="3" xfId="0" applyFont="1" applyFill="1" applyBorder="1" applyAlignment="1">
      <alignment horizontal="center" vertical="center"/>
    </xf>
    <xf numFmtId="9" fontId="10" fillId="0" borderId="3" xfId="0" applyNumberFormat="1" applyFont="1" applyBorder="1" applyAlignment="1" applyProtection="1">
      <alignment horizontal="center" vertical="center"/>
      <protection locked="0"/>
    </xf>
    <xf numFmtId="14" fontId="10" fillId="7" borderId="3" xfId="0" applyNumberFormat="1" applyFont="1" applyFill="1" applyBorder="1" applyAlignment="1" applyProtection="1">
      <alignment horizontal="center" vertical="center"/>
      <protection locked="0"/>
    </xf>
    <xf numFmtId="9" fontId="10" fillId="7" borderId="3" xfId="0" applyNumberFormat="1" applyFont="1" applyFill="1" applyBorder="1" applyAlignment="1" applyProtection="1">
      <alignment horizontal="center" vertical="center"/>
    </xf>
    <xf numFmtId="0" fontId="10" fillId="7" borderId="3" xfId="0" applyFont="1" applyFill="1" applyBorder="1" applyAlignment="1">
      <alignment horizontal="center" vertical="center"/>
    </xf>
    <xf numFmtId="14" fontId="10" fillId="0" borderId="3" xfId="0" applyNumberFormat="1" applyFont="1" applyFill="1" applyBorder="1" applyAlignment="1" applyProtection="1">
      <alignment horizontal="center" vertical="center"/>
      <protection locked="0"/>
    </xf>
    <xf numFmtId="14" fontId="10" fillId="0" borderId="3" xfId="0" applyNumberFormat="1" applyFont="1" applyBorder="1" applyAlignment="1" applyProtection="1">
      <alignment horizontal="center" vertical="center"/>
      <protection locked="0"/>
    </xf>
    <xf numFmtId="0" fontId="10" fillId="20" borderId="3" xfId="0" applyFont="1" applyFill="1" applyBorder="1" applyAlignment="1" applyProtection="1">
      <alignment horizontal="center" vertical="center"/>
      <protection locked="0"/>
    </xf>
    <xf numFmtId="14" fontId="10" fillId="20" borderId="3" xfId="0" applyNumberFormat="1" applyFont="1" applyFill="1" applyBorder="1" applyAlignment="1" applyProtection="1">
      <alignment horizontal="center" vertical="center"/>
      <protection locked="0"/>
    </xf>
    <xf numFmtId="9" fontId="10" fillId="20" borderId="3" xfId="0" applyNumberFormat="1" applyFont="1" applyFill="1" applyBorder="1" applyAlignment="1">
      <alignment horizontal="center" vertical="center"/>
    </xf>
    <xf numFmtId="0" fontId="10" fillId="20" borderId="3" xfId="0" applyFont="1" applyFill="1" applyBorder="1" applyAlignment="1">
      <alignment horizontal="center" vertical="center"/>
    </xf>
    <xf numFmtId="9" fontId="10" fillId="0" borderId="15" xfId="0" applyNumberFormat="1" applyFont="1" applyBorder="1" applyAlignment="1" applyProtection="1">
      <alignment horizontal="center" vertical="center"/>
      <protection locked="0"/>
    </xf>
    <xf numFmtId="9" fontId="10" fillId="0" borderId="3" xfId="0" applyNumberFormat="1" applyFont="1" applyBorder="1" applyAlignment="1" applyProtection="1">
      <alignment horizontal="center" vertical="center"/>
      <protection locked="0"/>
    </xf>
    <xf numFmtId="49" fontId="10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vertical="center" wrapText="1"/>
    </xf>
    <xf numFmtId="0" fontId="26" fillId="8" borderId="1" xfId="0" applyFont="1" applyFill="1" applyBorder="1" applyAlignment="1" applyProtection="1">
      <alignment vertical="center"/>
      <protection locked="0"/>
    </xf>
    <xf numFmtId="0" fontId="26" fillId="8" borderId="1" xfId="0" applyFont="1" applyFill="1" applyBorder="1" applyAlignment="1" applyProtection="1">
      <alignment horizontal="center" vertical="center"/>
      <protection locked="0"/>
    </xf>
    <xf numFmtId="0" fontId="31" fillId="8" borderId="1" xfId="0" applyFont="1" applyFill="1" applyBorder="1" applyAlignment="1">
      <alignment horizontal="center" vertical="center" wrapText="1"/>
    </xf>
    <xf numFmtId="49" fontId="10" fillId="8" borderId="1" xfId="0" applyNumberFormat="1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 applyProtection="1">
      <alignment horizontal="center" vertical="center"/>
      <protection locked="0"/>
    </xf>
    <xf numFmtId="0" fontId="32" fillId="8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9" fontId="10" fillId="8" borderId="1" xfId="0" applyNumberFormat="1" applyFont="1" applyFill="1" applyBorder="1" applyAlignment="1" applyProtection="1">
      <alignment horizontal="center" vertical="center"/>
    </xf>
    <xf numFmtId="14" fontId="10" fillId="8" borderId="1" xfId="0" applyNumberFormat="1" applyFont="1" applyFill="1" applyBorder="1" applyAlignment="1" applyProtection="1">
      <alignment horizontal="center" vertical="center"/>
      <protection locked="0"/>
    </xf>
    <xf numFmtId="9" fontId="10" fillId="8" borderId="1" xfId="0" applyNumberFormat="1" applyFont="1" applyFill="1" applyBorder="1" applyAlignment="1" applyProtection="1">
      <alignment horizontal="center" vertical="center"/>
      <protection locked="0"/>
    </xf>
    <xf numFmtId="14" fontId="10" fillId="8" borderId="1" xfId="0" applyNumberFormat="1" applyFont="1" applyFill="1" applyBorder="1" applyAlignment="1" applyProtection="1">
      <alignment horizontal="center" vertical="center"/>
      <protection locked="0"/>
    </xf>
    <xf numFmtId="9" fontId="10" fillId="8" borderId="1" xfId="0" applyNumberFormat="1" applyFont="1" applyFill="1" applyBorder="1" applyAlignment="1">
      <alignment horizontal="center" vertical="center"/>
    </xf>
    <xf numFmtId="9" fontId="10" fillId="8" borderId="13" xfId="0" applyNumberFormat="1" applyFont="1" applyFill="1" applyBorder="1" applyAlignment="1" applyProtection="1">
      <alignment horizontal="center" vertical="center"/>
      <protection locked="0"/>
    </xf>
    <xf numFmtId="9" fontId="10" fillId="8" borderId="1" xfId="0" applyNumberFormat="1" applyFont="1" applyFill="1" applyBorder="1" applyAlignment="1" applyProtection="1">
      <alignment horizontal="center" vertical="center"/>
      <protection locked="0"/>
    </xf>
    <xf numFmtId="0" fontId="12" fillId="8" borderId="0" xfId="0" applyFont="1" applyFill="1" applyAlignment="1"/>
    <xf numFmtId="0" fontId="34" fillId="0" borderId="1" xfId="0" applyFont="1" applyBorder="1" applyAlignment="1">
      <alignment horizontal="center" vertical="center" wrapText="1"/>
    </xf>
    <xf numFmtId="14" fontId="0" fillId="0" borderId="0" xfId="0" applyNumberFormat="1">
      <alignment vertical="center"/>
    </xf>
    <xf numFmtId="0" fontId="38" fillId="0" borderId="1" xfId="0" applyFont="1" applyBorder="1" applyAlignment="1">
      <alignment horizontal="left"/>
    </xf>
    <xf numFmtId="0" fontId="38" fillId="0" borderId="1" xfId="0" applyFont="1" applyBorder="1" applyAlignment="1">
      <alignment horizontal="center"/>
    </xf>
    <xf numFmtId="0" fontId="38" fillId="0" borderId="17" xfId="0" applyFont="1" applyBorder="1" applyAlignment="1">
      <alignment vertical="top"/>
    </xf>
    <xf numFmtId="0" fontId="38" fillId="0" borderId="7" xfId="0" applyFont="1" applyBorder="1" applyAlignment="1">
      <alignment horizontal="center"/>
    </xf>
    <xf numFmtId="0" fontId="38" fillId="0" borderId="17" xfId="0" applyFont="1" applyBorder="1" applyAlignment="1">
      <alignment horizontal="left"/>
    </xf>
    <xf numFmtId="0" fontId="38" fillId="0" borderId="18" xfId="0" applyFont="1" applyBorder="1" applyAlignment="1">
      <alignment horizontal="left"/>
    </xf>
    <xf numFmtId="0" fontId="38" fillId="0" borderId="3" xfId="0" applyFont="1" applyBorder="1" applyAlignment="1">
      <alignment horizontal="center"/>
    </xf>
    <xf numFmtId="0" fontId="38" fillId="0" borderId="4" xfId="0" applyFont="1" applyBorder="1" applyAlignment="1">
      <alignment horizontal="left"/>
    </xf>
    <xf numFmtId="0" fontId="38" fillId="0" borderId="3" xfId="0" applyFont="1" applyBorder="1" applyAlignment="1">
      <alignment horizontal="left"/>
    </xf>
    <xf numFmtId="0" fontId="39" fillId="0" borderId="1" xfId="0" applyFont="1" applyBorder="1" applyAlignment="1">
      <alignment horizontal="left" vertical="center" readingOrder="1"/>
    </xf>
    <xf numFmtId="0" fontId="39" fillId="0" borderId="1" xfId="0" applyFont="1" applyBorder="1" applyAlignment="1"/>
    <xf numFmtId="0" fontId="38" fillId="2" borderId="1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center" vertical="center"/>
    </xf>
    <xf numFmtId="0" fontId="9" fillId="0" borderId="3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vertical="top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2" borderId="1" xfId="0" applyFont="1" applyFill="1" applyBorder="1" applyAlignment="1">
      <alignment horizontal="center" vertical="center"/>
    </xf>
    <xf numFmtId="0" fontId="40" fillId="0" borderId="0" xfId="0" applyFont="1" applyFill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2" fillId="0" borderId="1" xfId="0" applyFont="1" applyBorder="1" applyAlignment="1">
      <alignment horizontal="left"/>
    </xf>
    <xf numFmtId="0" fontId="42" fillId="0" borderId="15" xfId="0" applyFont="1" applyBorder="1" applyAlignment="1">
      <alignment horizontal="left"/>
    </xf>
    <xf numFmtId="0" fontId="42" fillId="0" borderId="3" xfId="0" applyFont="1" applyBorder="1" applyAlignment="1">
      <alignment horizontal="center"/>
    </xf>
    <xf numFmtId="0" fontId="42" fillId="0" borderId="19" xfId="0" applyFont="1" applyBorder="1" applyAlignment="1">
      <alignment vertical="top"/>
    </xf>
    <xf numFmtId="0" fontId="42" fillId="0" borderId="13" xfId="0" applyFont="1" applyBorder="1" applyAlignment="1">
      <alignment horizontal="left"/>
    </xf>
    <xf numFmtId="0" fontId="42" fillId="0" borderId="1" xfId="0" applyFont="1" applyBorder="1" applyAlignment="1">
      <alignment horizontal="center"/>
    </xf>
    <xf numFmtId="0" fontId="42" fillId="0" borderId="17" xfId="0" applyFont="1" applyBorder="1" applyAlignment="1">
      <alignment vertical="top"/>
    </xf>
    <xf numFmtId="0" fontId="42" fillId="0" borderId="17" xfId="0" applyFont="1" applyBorder="1" applyAlignment="1">
      <alignment horizontal="left" vertical="top"/>
    </xf>
    <xf numFmtId="0" fontId="42" fillId="2" borderId="13" xfId="0" applyFont="1" applyFill="1" applyBorder="1" applyAlignment="1">
      <alignment horizontal="left"/>
    </xf>
    <xf numFmtId="0" fontId="42" fillId="2" borderId="1" xfId="0" applyFont="1" applyFill="1" applyBorder="1" applyAlignment="1">
      <alignment horizontal="center"/>
    </xf>
    <xf numFmtId="0" fontId="42" fillId="2" borderId="17" xfId="0" applyFont="1" applyFill="1" applyBorder="1" applyAlignment="1">
      <alignment horizontal="left" vertical="top"/>
    </xf>
    <xf numFmtId="0" fontId="13" fillId="0" borderId="17" xfId="0" applyFont="1" applyBorder="1" applyAlignment="1">
      <alignment vertical="center"/>
    </xf>
    <xf numFmtId="0" fontId="13" fillId="0" borderId="17" xfId="0" applyFont="1" applyFill="1" applyBorder="1" applyAlignment="1">
      <alignment vertical="center"/>
    </xf>
    <xf numFmtId="0" fontId="13" fillId="0" borderId="1" xfId="0" applyFont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 wrapText="1"/>
    </xf>
    <xf numFmtId="0" fontId="3" fillId="2" borderId="1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9" fillId="2" borderId="7" xfId="0" applyFont="1" applyFill="1" applyBorder="1" applyAlignment="1">
      <alignment vertical="center" wrapText="1"/>
    </xf>
    <xf numFmtId="0" fontId="3" fillId="2" borderId="7" xfId="0" applyFont="1" applyFill="1" applyBorder="1" applyAlignment="1">
      <alignment horizontal="center" vertical="center"/>
    </xf>
    <xf numFmtId="0" fontId="3" fillId="2" borderId="7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>
      <alignment vertical="center"/>
    </xf>
    <xf numFmtId="0" fontId="2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6" xfId="0" applyFont="1" applyFill="1" applyBorder="1">
      <alignment vertical="center"/>
    </xf>
    <xf numFmtId="0" fontId="3" fillId="0" borderId="9" xfId="0" applyFont="1" applyBorder="1">
      <alignment vertical="center"/>
    </xf>
    <xf numFmtId="0" fontId="2" fillId="0" borderId="0" xfId="0" applyFont="1" applyBorder="1">
      <alignment vertical="center"/>
    </xf>
    <xf numFmtId="0" fontId="3" fillId="0" borderId="10" xfId="0" applyFont="1" applyBorder="1">
      <alignment vertical="center"/>
    </xf>
    <xf numFmtId="0" fontId="2" fillId="0" borderId="4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3" fillId="2" borderId="9" xfId="0" applyFont="1" applyFill="1" applyBorder="1">
      <alignment vertical="center"/>
    </xf>
    <xf numFmtId="0" fontId="3" fillId="2" borderId="41" xfId="0" applyFont="1" applyFill="1" applyBorder="1">
      <alignment vertical="center"/>
    </xf>
    <xf numFmtId="0" fontId="3" fillId="20" borderId="9" xfId="0" applyFont="1" applyFill="1" applyBorder="1">
      <alignment vertical="center"/>
    </xf>
    <xf numFmtId="0" fontId="2" fillId="20" borderId="1" xfId="0" applyFont="1" applyFill="1" applyBorder="1">
      <alignment vertical="center"/>
    </xf>
    <xf numFmtId="0" fontId="2" fillId="20" borderId="1" xfId="0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vertical="center" wrapText="1"/>
    </xf>
    <xf numFmtId="14" fontId="10" fillId="20" borderId="1" xfId="0" applyNumberFormat="1" applyFont="1" applyFill="1" applyBorder="1" applyAlignment="1">
      <alignment horizontal="center" vertical="center" wrapText="1"/>
    </xf>
    <xf numFmtId="0" fontId="2" fillId="20" borderId="0" xfId="0" applyFont="1" applyFill="1" applyBorder="1">
      <alignment vertical="center"/>
    </xf>
    <xf numFmtId="0" fontId="43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44" fillId="20" borderId="1" xfId="0" applyFont="1" applyFill="1" applyBorder="1" applyAlignment="1">
      <alignment horizontal="center" vertical="center"/>
    </xf>
    <xf numFmtId="0" fontId="45" fillId="0" borderId="0" xfId="0" applyFont="1">
      <alignment vertical="center"/>
    </xf>
    <xf numFmtId="14" fontId="46" fillId="0" borderId="0" xfId="0" applyNumberFormat="1" applyFont="1">
      <alignment vertical="center"/>
    </xf>
    <xf numFmtId="0" fontId="43" fillId="0" borderId="0" xfId="0" applyFont="1">
      <alignment vertical="center"/>
    </xf>
    <xf numFmtId="14" fontId="43" fillId="0" borderId="0" xfId="0" applyNumberFormat="1" applyFont="1">
      <alignment vertical="center"/>
    </xf>
    <xf numFmtId="14" fontId="48" fillId="0" borderId="0" xfId="0" applyNumberFormat="1" applyFont="1">
      <alignment vertical="center"/>
    </xf>
    <xf numFmtId="0" fontId="48" fillId="0" borderId="0" xfId="0" applyFont="1" applyAlignment="1">
      <alignment horizontal="center" vertical="center"/>
    </xf>
    <xf numFmtId="0" fontId="50" fillId="21" borderId="0" xfId="0" applyFont="1" applyFill="1">
      <alignment vertical="center"/>
    </xf>
    <xf numFmtId="0" fontId="45" fillId="0" borderId="43" xfId="0" applyFont="1" applyBorder="1">
      <alignment vertical="center"/>
    </xf>
    <xf numFmtId="14" fontId="46" fillId="0" borderId="8" xfId="0" applyNumberFormat="1" applyFont="1" applyBorder="1">
      <alignment vertical="center"/>
    </xf>
    <xf numFmtId="0" fontId="48" fillId="0" borderId="8" xfId="0" applyFont="1" applyBorder="1" applyAlignment="1">
      <alignment horizontal="center" vertical="center"/>
    </xf>
    <xf numFmtId="14" fontId="48" fillId="0" borderId="8" xfId="0" applyNumberFormat="1" applyFont="1" applyBorder="1">
      <alignment vertical="center"/>
    </xf>
    <xf numFmtId="0" fontId="45" fillId="0" borderId="8" xfId="0" applyFont="1" applyBorder="1">
      <alignment vertical="center"/>
    </xf>
    <xf numFmtId="0" fontId="47" fillId="0" borderId="44" xfId="0" applyFont="1" applyBorder="1">
      <alignment vertical="center"/>
    </xf>
    <xf numFmtId="14" fontId="47" fillId="0" borderId="0" xfId="0" applyNumberFormat="1" applyFont="1" applyBorder="1">
      <alignment vertical="center"/>
    </xf>
    <xf numFmtId="0" fontId="48" fillId="0" borderId="0" xfId="0" applyFont="1" applyBorder="1" applyAlignment="1">
      <alignment horizontal="center" vertical="center"/>
    </xf>
    <xf numFmtId="0" fontId="47" fillId="0" borderId="0" xfId="0" applyFont="1" applyBorder="1">
      <alignment vertical="center"/>
    </xf>
    <xf numFmtId="0" fontId="47" fillId="0" borderId="45" xfId="0" applyFont="1" applyBorder="1">
      <alignment vertical="center"/>
    </xf>
    <xf numFmtId="14" fontId="47" fillId="0" borderId="5" xfId="0" applyNumberFormat="1" applyFont="1" applyBorder="1">
      <alignment vertical="center"/>
    </xf>
    <xf numFmtId="0" fontId="48" fillId="0" borderId="5" xfId="0" applyFont="1" applyBorder="1" applyAlignment="1">
      <alignment horizontal="center" vertical="center"/>
    </xf>
    <xf numFmtId="0" fontId="47" fillId="0" borderId="5" xfId="0" applyFont="1" applyBorder="1">
      <alignment vertical="center"/>
    </xf>
    <xf numFmtId="0" fontId="43" fillId="0" borderId="43" xfId="0" applyFont="1" applyBorder="1">
      <alignment vertical="center"/>
    </xf>
    <xf numFmtId="14" fontId="43" fillId="0" borderId="8" xfId="0" applyNumberFormat="1" applyFont="1" applyBorder="1">
      <alignment vertical="center"/>
    </xf>
    <xf numFmtId="0" fontId="43" fillId="0" borderId="8" xfId="0" applyFont="1" applyBorder="1">
      <alignment vertical="center"/>
    </xf>
    <xf numFmtId="0" fontId="43" fillId="0" borderId="45" xfId="0" applyFont="1" applyBorder="1">
      <alignment vertical="center"/>
    </xf>
    <xf numFmtId="14" fontId="43" fillId="0" borderId="5" xfId="0" applyNumberFormat="1" applyFont="1" applyBorder="1">
      <alignment vertical="center"/>
    </xf>
    <xf numFmtId="14" fontId="48" fillId="0" borderId="5" xfId="0" applyNumberFormat="1" applyFont="1" applyBorder="1">
      <alignment vertical="center"/>
    </xf>
    <xf numFmtId="0" fontId="43" fillId="0" borderId="5" xfId="0" applyFont="1" applyBorder="1">
      <alignment vertical="center"/>
    </xf>
    <xf numFmtId="0" fontId="43" fillId="0" borderId="46" xfId="0" applyFont="1" applyBorder="1">
      <alignment vertical="center"/>
    </xf>
    <xf numFmtId="14" fontId="43" fillId="0" borderId="47" xfId="0" applyNumberFormat="1" applyFont="1" applyBorder="1">
      <alignment vertical="center"/>
    </xf>
    <xf numFmtId="0" fontId="48" fillId="0" borderId="47" xfId="0" applyFont="1" applyBorder="1" applyAlignment="1">
      <alignment horizontal="center" vertical="center"/>
    </xf>
    <xf numFmtId="14" fontId="48" fillId="0" borderId="47" xfId="0" applyNumberFormat="1" applyFont="1" applyBorder="1">
      <alignment vertical="center"/>
    </xf>
    <xf numFmtId="0" fontId="43" fillId="0" borderId="47" xfId="0" applyFont="1" applyBorder="1">
      <alignment vertical="center"/>
    </xf>
    <xf numFmtId="0" fontId="43" fillId="0" borderId="42" xfId="0" applyFont="1" applyBorder="1" applyAlignment="1">
      <alignment horizontal="center" vertical="center"/>
    </xf>
    <xf numFmtId="0" fontId="49" fillId="0" borderId="46" xfId="0" applyFont="1" applyBorder="1" applyAlignment="1">
      <alignment horizontal="center" vertical="center"/>
    </xf>
    <xf numFmtId="0" fontId="49" fillId="0" borderId="51" xfId="0" applyFont="1" applyBorder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47" fillId="0" borderId="7" xfId="0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3" fillId="0" borderId="48" xfId="0" applyFont="1" applyBorder="1" applyAlignment="1">
      <alignment horizontal="center" vertical="center"/>
    </xf>
    <xf numFmtId="0" fontId="43" fillId="0" borderId="49" xfId="0" applyFont="1" applyBorder="1" applyAlignment="1">
      <alignment horizontal="center" vertical="center"/>
    </xf>
    <xf numFmtId="0" fontId="50" fillId="21" borderId="0" xfId="0" applyFont="1" applyFill="1" applyAlignment="1">
      <alignment horizontal="center" vertical="center"/>
    </xf>
    <xf numFmtId="0" fontId="47" fillId="0" borderId="48" xfId="0" applyFont="1" applyBorder="1" applyAlignment="1">
      <alignment horizontal="center" vertical="center" wrapText="1"/>
    </xf>
    <xf numFmtId="0" fontId="47" fillId="0" borderId="50" xfId="0" applyFont="1" applyBorder="1" applyAlignment="1">
      <alignment horizontal="center" vertical="center" wrapText="1"/>
    </xf>
    <xf numFmtId="0" fontId="47" fillId="0" borderId="4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4" fillId="0" borderId="0" xfId="0" applyFont="1" applyAlignment="1"/>
    <xf numFmtId="0" fontId="28" fillId="6" borderId="13" xfId="0" applyFont="1" applyFill="1" applyBorder="1" applyAlignment="1" applyProtection="1">
      <alignment horizontal="center" vertical="center"/>
      <protection locked="0"/>
    </xf>
    <xf numFmtId="0" fontId="12" fillId="0" borderId="24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28" fillId="12" borderId="12" xfId="0" applyFont="1" applyFill="1" applyBorder="1" applyAlignment="1" applyProtection="1">
      <alignment horizontal="center" vertical="center"/>
      <protection locked="0"/>
    </xf>
    <xf numFmtId="0" fontId="12" fillId="0" borderId="36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28" fillId="13" borderId="12" xfId="0" applyFont="1" applyFill="1" applyBorder="1" applyAlignment="1" applyProtection="1">
      <alignment horizontal="center" vertical="center"/>
      <protection locked="0"/>
    </xf>
    <xf numFmtId="0" fontId="28" fillId="16" borderId="13" xfId="0" applyFont="1" applyFill="1" applyBorder="1" applyAlignment="1" applyProtection="1">
      <alignment horizontal="center" vertical="center"/>
      <protection locked="0"/>
    </xf>
    <xf numFmtId="0" fontId="12" fillId="0" borderId="17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28" fillId="12" borderId="13" xfId="0" applyFont="1" applyFill="1" applyBorder="1" applyAlignment="1" applyProtection="1">
      <alignment horizontal="center" vertical="center"/>
      <protection locked="0"/>
    </xf>
    <xf numFmtId="0" fontId="28" fillId="14" borderId="37" xfId="0" applyFont="1" applyFill="1" applyBorder="1" applyAlignment="1" applyProtection="1">
      <alignment horizontal="center" vertical="center"/>
      <protection locked="0"/>
    </xf>
    <xf numFmtId="0" fontId="12" fillId="0" borderId="38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9" fontId="28" fillId="15" borderId="39" xfId="0" applyNumberFormat="1" applyFont="1" applyFill="1" applyBorder="1" applyAlignment="1" applyProtection="1">
      <alignment horizontal="center" vertical="center" wrapText="1"/>
      <protection locked="0"/>
    </xf>
    <xf numFmtId="9" fontId="28" fillId="15" borderId="0" xfId="0" applyNumberFormat="1" applyFont="1" applyFill="1" applyBorder="1" applyAlignment="1" applyProtection="1">
      <alignment horizontal="center" vertical="center" wrapText="1"/>
      <protection locked="0"/>
    </xf>
    <xf numFmtId="9" fontId="28" fillId="15" borderId="15" xfId="0" applyNumberFormat="1" applyFont="1" applyFill="1" applyBorder="1" applyAlignment="1" applyProtection="1">
      <alignment horizontal="center" vertical="center" wrapText="1"/>
      <protection locked="0"/>
    </xf>
    <xf numFmtId="9" fontId="28" fillId="15" borderId="40" xfId="0" applyNumberFormat="1" applyFont="1" applyFill="1" applyBorder="1" applyAlignment="1" applyProtection="1">
      <alignment horizontal="center" vertical="center" wrapText="1"/>
      <protection locked="0"/>
    </xf>
    <xf numFmtId="0" fontId="28" fillId="13" borderId="13" xfId="0" applyFont="1" applyFill="1" applyBorder="1" applyAlignment="1" applyProtection="1">
      <alignment horizontal="center" vertical="center"/>
      <protection locked="0"/>
    </xf>
    <xf numFmtId="0" fontId="23" fillId="6" borderId="25" xfId="0" applyFont="1" applyFill="1" applyBorder="1" applyAlignment="1" applyProtection="1">
      <alignment horizontal="center" vertical="center"/>
      <protection locked="0"/>
    </xf>
    <xf numFmtId="0" fontId="12" fillId="0" borderId="26" xfId="0" applyFont="1" applyBorder="1" applyAlignment="1">
      <alignment vertical="center"/>
    </xf>
  </cellXfs>
  <cellStyles count="1">
    <cellStyle name="표준" xfId="0" builtinId="0"/>
  </cellStyles>
  <dxfs count="2570"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auto="1"/>
      </font>
      <fill>
        <patternFill>
          <bgColor rgb="FFC1ECF5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rgb="FFC1ECF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FFFF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0"/>
  <sheetViews>
    <sheetView workbookViewId="0">
      <selection activeCell="E17" sqref="E17"/>
    </sheetView>
  </sheetViews>
  <sheetFormatPr defaultRowHeight="17.399999999999999"/>
  <cols>
    <col min="1" max="1" width="26.09765625" bestFit="1" customWidth="1"/>
    <col min="2" max="3" width="10.8984375" bestFit="1" customWidth="1"/>
    <col min="4" max="4" width="11.5" style="1" bestFit="1" customWidth="1"/>
    <col min="5" max="6" width="10.8984375" bestFit="1" customWidth="1"/>
  </cols>
  <sheetData>
    <row r="1" spans="1:7" s="362" customFormat="1" ht="17.399999999999999" customHeight="1">
      <c r="A1" s="362" t="s">
        <v>4482</v>
      </c>
      <c r="B1" s="363">
        <v>44511</v>
      </c>
      <c r="C1" s="363">
        <v>44515</v>
      </c>
      <c r="D1" s="404" t="s">
        <v>5407</v>
      </c>
    </row>
    <row r="2" spans="1:7" s="362" customFormat="1">
      <c r="A2" s="362" t="s">
        <v>4893</v>
      </c>
      <c r="B2" s="363">
        <v>44516</v>
      </c>
      <c r="C2" s="363">
        <v>44518</v>
      </c>
      <c r="D2" s="405"/>
    </row>
    <row r="3" spans="1:7" s="362" customFormat="1">
      <c r="A3" s="362" t="s">
        <v>4491</v>
      </c>
      <c r="B3" s="363">
        <v>44519</v>
      </c>
      <c r="C3" s="363">
        <v>44519</v>
      </c>
      <c r="D3" s="405"/>
    </row>
    <row r="4" spans="1:7" s="362" customFormat="1">
      <c r="A4" s="362" t="s">
        <v>4896</v>
      </c>
      <c r="B4" s="363">
        <v>44522</v>
      </c>
      <c r="C4" s="363">
        <v>44522</v>
      </c>
      <c r="D4" s="405"/>
    </row>
    <row r="5" spans="1:7" s="362" customFormat="1">
      <c r="A5" s="362" t="s">
        <v>4898</v>
      </c>
      <c r="B5" s="363">
        <v>44523</v>
      </c>
      <c r="C5" s="363">
        <v>44524</v>
      </c>
      <c r="D5" s="405"/>
    </row>
    <row r="6" spans="1:7" s="362" customFormat="1">
      <c r="A6" s="362" t="s">
        <v>4900</v>
      </c>
      <c r="B6" s="363">
        <v>44525</v>
      </c>
      <c r="C6" s="363">
        <v>44529</v>
      </c>
      <c r="D6" s="405"/>
    </row>
    <row r="7" spans="1:7" s="362" customFormat="1" ht="18" thickBot="1">
      <c r="A7" s="362" t="s">
        <v>4506</v>
      </c>
      <c r="B7" s="363">
        <v>44530</v>
      </c>
      <c r="C7" s="363">
        <v>44531</v>
      </c>
      <c r="D7" s="405"/>
    </row>
    <row r="8" spans="1:7" s="362" customFormat="1" ht="18" thickBot="1">
      <c r="A8" s="362" t="s">
        <v>4509</v>
      </c>
      <c r="B8" s="363">
        <v>44532</v>
      </c>
      <c r="C8" s="363">
        <v>44533</v>
      </c>
      <c r="D8" s="406"/>
      <c r="E8" s="395" t="s">
        <v>5406</v>
      </c>
      <c r="F8" s="396" t="s">
        <v>5406</v>
      </c>
    </row>
    <row r="9" spans="1:7" s="373" customFormat="1">
      <c r="A9" s="369" t="s">
        <v>4512</v>
      </c>
      <c r="B9" s="370">
        <v>44536</v>
      </c>
      <c r="C9" s="370">
        <v>44536</v>
      </c>
      <c r="D9" s="371">
        <v>1</v>
      </c>
      <c r="E9" s="372">
        <f>B9+(7*D9)</f>
        <v>44543</v>
      </c>
      <c r="F9" s="372">
        <f>C9+(7*D9)</f>
        <v>44543</v>
      </c>
      <c r="G9" s="398" t="s">
        <v>5402</v>
      </c>
    </row>
    <row r="10" spans="1:7" s="377" customFormat="1">
      <c r="A10" s="374" t="s">
        <v>4519</v>
      </c>
      <c r="B10" s="375">
        <v>44537</v>
      </c>
      <c r="C10" s="375">
        <v>44538</v>
      </c>
      <c r="D10" s="376">
        <v>1</v>
      </c>
      <c r="E10" s="375">
        <f>B10+7</f>
        <v>44544</v>
      </c>
      <c r="F10" s="375">
        <f>C10+7</f>
        <v>44545</v>
      </c>
      <c r="G10" s="399"/>
    </row>
    <row r="11" spans="1:7" s="381" customFormat="1" ht="18" thickBot="1">
      <c r="A11" s="378" t="s">
        <v>4522</v>
      </c>
      <c r="B11" s="379">
        <v>44539</v>
      </c>
      <c r="C11" s="379">
        <v>44543</v>
      </c>
      <c r="D11" s="380">
        <v>1</v>
      </c>
      <c r="E11" s="379">
        <f t="shared" ref="E11:E50" si="0">B11+7</f>
        <v>44546</v>
      </c>
      <c r="F11" s="379">
        <f t="shared" ref="F11:F50" si="1">C11+7</f>
        <v>44550</v>
      </c>
      <c r="G11" s="400"/>
    </row>
    <row r="12" spans="1:7" s="384" customFormat="1">
      <c r="A12" s="382" t="s">
        <v>4527</v>
      </c>
      <c r="B12" s="383">
        <v>44544</v>
      </c>
      <c r="C12" s="383">
        <v>44546</v>
      </c>
      <c r="D12" s="371">
        <v>1</v>
      </c>
      <c r="E12" s="372">
        <f t="shared" si="0"/>
        <v>44551</v>
      </c>
      <c r="F12" s="372">
        <f t="shared" si="1"/>
        <v>44553</v>
      </c>
      <c r="G12" s="401" t="s">
        <v>5403</v>
      </c>
    </row>
    <row r="13" spans="1:7" s="388" customFormat="1" ht="18" thickBot="1">
      <c r="A13" s="385" t="s">
        <v>5437</v>
      </c>
      <c r="B13" s="386">
        <v>44547</v>
      </c>
      <c r="C13" s="386">
        <v>44551</v>
      </c>
      <c r="D13" s="380">
        <v>1</v>
      </c>
      <c r="E13" s="387">
        <f t="shared" si="0"/>
        <v>44554</v>
      </c>
      <c r="F13" s="387">
        <f t="shared" si="1"/>
        <v>44558</v>
      </c>
      <c r="G13" s="402"/>
    </row>
    <row r="14" spans="1:7" s="393" customFormat="1" ht="18" thickBot="1">
      <c r="A14" s="389" t="s">
        <v>4910</v>
      </c>
      <c r="B14" s="390">
        <v>44552</v>
      </c>
      <c r="C14" s="390">
        <v>44554</v>
      </c>
      <c r="D14" s="391">
        <v>1</v>
      </c>
      <c r="E14" s="392">
        <f t="shared" si="0"/>
        <v>44559</v>
      </c>
      <c r="F14" s="392">
        <f t="shared" si="1"/>
        <v>44561</v>
      </c>
      <c r="G14" s="394" t="s">
        <v>5404</v>
      </c>
    </row>
    <row r="15" spans="1:7" s="368" customFormat="1">
      <c r="A15" s="403" t="s">
        <v>5405</v>
      </c>
      <c r="B15" s="403"/>
      <c r="C15" s="403"/>
      <c r="D15" s="403"/>
      <c r="E15" s="403"/>
      <c r="F15" s="403"/>
      <c r="G15" s="403"/>
    </row>
    <row r="16" spans="1:7" s="364" customFormat="1">
      <c r="A16" s="364" t="s">
        <v>4912</v>
      </c>
      <c r="B16" s="365">
        <v>44557</v>
      </c>
      <c r="C16" s="365">
        <v>44558</v>
      </c>
      <c r="D16" s="367">
        <v>1</v>
      </c>
      <c r="E16" s="366">
        <f t="shared" si="0"/>
        <v>44564</v>
      </c>
      <c r="F16" s="366">
        <f t="shared" si="1"/>
        <v>44565</v>
      </c>
    </row>
    <row r="17" spans="1:6" s="364" customFormat="1">
      <c r="A17" s="364" t="s">
        <v>4544</v>
      </c>
      <c r="B17" s="365">
        <v>44559</v>
      </c>
      <c r="C17" s="365">
        <v>44560</v>
      </c>
      <c r="D17" s="367">
        <v>1</v>
      </c>
      <c r="E17" s="366">
        <f t="shared" si="0"/>
        <v>44566</v>
      </c>
      <c r="F17" s="366">
        <f t="shared" si="1"/>
        <v>44567</v>
      </c>
    </row>
    <row r="18" spans="1:6" s="364" customFormat="1">
      <c r="A18" s="364" t="s">
        <v>4549</v>
      </c>
      <c r="B18" s="365">
        <v>44561</v>
      </c>
      <c r="C18" s="365">
        <v>44561</v>
      </c>
      <c r="D18" s="367">
        <v>1</v>
      </c>
      <c r="E18" s="366">
        <f t="shared" si="0"/>
        <v>44568</v>
      </c>
      <c r="F18" s="366">
        <f t="shared" si="1"/>
        <v>44568</v>
      </c>
    </row>
    <row r="19" spans="1:6">
      <c r="A19" t="s">
        <v>4916</v>
      </c>
      <c r="B19" s="293">
        <v>44564</v>
      </c>
      <c r="C19" s="293">
        <v>44565</v>
      </c>
      <c r="D19" s="367">
        <v>1</v>
      </c>
      <c r="E19" s="366">
        <f t="shared" si="0"/>
        <v>44571</v>
      </c>
      <c r="F19" s="366">
        <f t="shared" si="1"/>
        <v>44572</v>
      </c>
    </row>
    <row r="20" spans="1:6">
      <c r="A20" t="s">
        <v>4918</v>
      </c>
      <c r="B20" s="293">
        <v>44566</v>
      </c>
      <c r="C20" s="293">
        <v>44566</v>
      </c>
      <c r="D20" s="367">
        <v>1</v>
      </c>
      <c r="E20" s="366">
        <f t="shared" si="0"/>
        <v>44573</v>
      </c>
      <c r="F20" s="366">
        <f t="shared" si="1"/>
        <v>44573</v>
      </c>
    </row>
    <row r="21" spans="1:6">
      <c r="A21" t="s">
        <v>4920</v>
      </c>
      <c r="B21" s="293">
        <v>44567</v>
      </c>
      <c r="C21" s="293">
        <v>44567</v>
      </c>
      <c r="D21" s="367">
        <v>1</v>
      </c>
      <c r="E21" s="366">
        <f t="shared" si="0"/>
        <v>44574</v>
      </c>
      <c r="F21" s="366">
        <f t="shared" si="1"/>
        <v>44574</v>
      </c>
    </row>
    <row r="22" spans="1:6">
      <c r="A22" t="s">
        <v>4922</v>
      </c>
      <c r="B22" s="293">
        <v>44568</v>
      </c>
      <c r="C22" s="293">
        <v>44568</v>
      </c>
      <c r="D22" s="367">
        <v>1</v>
      </c>
      <c r="E22" s="366">
        <f t="shared" si="0"/>
        <v>44575</v>
      </c>
      <c r="F22" s="366">
        <f t="shared" si="1"/>
        <v>44575</v>
      </c>
    </row>
    <row r="23" spans="1:6">
      <c r="A23" t="s">
        <v>4570</v>
      </c>
      <c r="B23" s="293">
        <v>44571</v>
      </c>
      <c r="C23" s="293">
        <v>44571</v>
      </c>
      <c r="D23" s="367">
        <v>1</v>
      </c>
      <c r="E23" s="366">
        <f t="shared" si="0"/>
        <v>44578</v>
      </c>
      <c r="F23" s="366">
        <f t="shared" si="1"/>
        <v>44578</v>
      </c>
    </row>
    <row r="24" spans="1:6">
      <c r="A24" t="s">
        <v>4925</v>
      </c>
      <c r="B24" s="293">
        <v>44572</v>
      </c>
      <c r="C24" s="293">
        <v>44573</v>
      </c>
      <c r="D24" s="367">
        <v>1</v>
      </c>
      <c r="E24" s="366">
        <f t="shared" si="0"/>
        <v>44579</v>
      </c>
      <c r="F24" s="366">
        <f t="shared" si="1"/>
        <v>44580</v>
      </c>
    </row>
    <row r="25" spans="1:6">
      <c r="A25" t="s">
        <v>4578</v>
      </c>
      <c r="B25" s="293">
        <v>44574</v>
      </c>
      <c r="C25" s="293">
        <v>44574</v>
      </c>
      <c r="D25" s="367">
        <v>1</v>
      </c>
      <c r="E25" s="366">
        <f t="shared" si="0"/>
        <v>44581</v>
      </c>
      <c r="F25" s="366">
        <f t="shared" si="1"/>
        <v>44581</v>
      </c>
    </row>
    <row r="26" spans="1:6">
      <c r="A26" t="s">
        <v>4928</v>
      </c>
      <c r="B26" s="293">
        <v>44575</v>
      </c>
      <c r="C26" s="293">
        <v>44578</v>
      </c>
      <c r="D26" s="367">
        <v>1</v>
      </c>
      <c r="E26" s="366">
        <f t="shared" si="0"/>
        <v>44582</v>
      </c>
      <c r="F26" s="366">
        <f t="shared" si="1"/>
        <v>44585</v>
      </c>
    </row>
    <row r="27" spans="1:6">
      <c r="A27" t="s">
        <v>4930</v>
      </c>
      <c r="B27" s="293">
        <v>44579</v>
      </c>
      <c r="C27" s="293">
        <v>44579</v>
      </c>
      <c r="D27" s="367">
        <v>1</v>
      </c>
      <c r="E27" s="366">
        <f t="shared" si="0"/>
        <v>44586</v>
      </c>
      <c r="F27" s="366">
        <f t="shared" si="1"/>
        <v>44586</v>
      </c>
    </row>
    <row r="28" spans="1:6">
      <c r="A28" t="s">
        <v>4932</v>
      </c>
      <c r="B28" s="293">
        <v>44580</v>
      </c>
      <c r="C28" s="293">
        <v>44580</v>
      </c>
      <c r="D28" s="367">
        <v>1</v>
      </c>
      <c r="E28" s="366">
        <f t="shared" si="0"/>
        <v>44587</v>
      </c>
      <c r="F28" s="366">
        <f t="shared" si="1"/>
        <v>44587</v>
      </c>
    </row>
    <row r="29" spans="1:6">
      <c r="A29" t="s">
        <v>4935</v>
      </c>
      <c r="B29" s="293">
        <v>44581</v>
      </c>
      <c r="C29" s="293">
        <v>44585</v>
      </c>
      <c r="D29" s="367">
        <v>1</v>
      </c>
      <c r="E29" s="366">
        <f t="shared" si="0"/>
        <v>44588</v>
      </c>
      <c r="F29" s="366">
        <f t="shared" si="1"/>
        <v>44592</v>
      </c>
    </row>
    <row r="30" spans="1:6">
      <c r="A30" t="s">
        <v>4937</v>
      </c>
      <c r="B30" s="293">
        <v>44586</v>
      </c>
      <c r="C30" s="293">
        <v>44586</v>
      </c>
      <c r="D30" s="367">
        <v>1</v>
      </c>
      <c r="E30" s="366">
        <f t="shared" si="0"/>
        <v>44593</v>
      </c>
      <c r="F30" s="366">
        <f t="shared" si="1"/>
        <v>44593</v>
      </c>
    </row>
    <row r="31" spans="1:6">
      <c r="A31" t="s">
        <v>4939</v>
      </c>
      <c r="B31" s="293">
        <v>44587</v>
      </c>
      <c r="C31" s="293">
        <v>44587</v>
      </c>
      <c r="D31" s="367">
        <v>1</v>
      </c>
      <c r="E31" s="366">
        <f t="shared" si="0"/>
        <v>44594</v>
      </c>
      <c r="F31" s="366">
        <f t="shared" si="1"/>
        <v>44594</v>
      </c>
    </row>
    <row r="32" spans="1:6">
      <c r="A32" t="s">
        <v>4941</v>
      </c>
      <c r="B32" s="293">
        <v>44588</v>
      </c>
      <c r="C32" s="293">
        <v>44588</v>
      </c>
      <c r="D32" s="367">
        <v>1</v>
      </c>
      <c r="E32" s="366">
        <f t="shared" si="0"/>
        <v>44595</v>
      </c>
      <c r="F32" s="366">
        <f t="shared" si="1"/>
        <v>44595</v>
      </c>
    </row>
    <row r="33" spans="1:6">
      <c r="A33" t="s">
        <v>4943</v>
      </c>
      <c r="B33" s="293">
        <v>44589</v>
      </c>
      <c r="C33" s="293">
        <v>44589</v>
      </c>
      <c r="D33" s="367">
        <v>1</v>
      </c>
      <c r="E33" s="366">
        <f t="shared" si="0"/>
        <v>44596</v>
      </c>
      <c r="F33" s="366">
        <f t="shared" si="1"/>
        <v>44596</v>
      </c>
    </row>
    <row r="34" spans="1:6">
      <c r="A34" t="s">
        <v>4945</v>
      </c>
      <c r="B34" s="293">
        <v>44592</v>
      </c>
      <c r="C34" s="293">
        <v>44592</v>
      </c>
      <c r="D34" s="367">
        <v>1</v>
      </c>
      <c r="E34" s="366">
        <f t="shared" si="0"/>
        <v>44599</v>
      </c>
      <c r="F34" s="366">
        <f t="shared" si="1"/>
        <v>44599</v>
      </c>
    </row>
    <row r="35" spans="1:6">
      <c r="A35" t="s">
        <v>4947</v>
      </c>
      <c r="B35" s="293">
        <v>44593</v>
      </c>
      <c r="C35" s="293">
        <v>44594</v>
      </c>
      <c r="D35" s="367">
        <v>1</v>
      </c>
      <c r="E35" s="366">
        <f t="shared" si="0"/>
        <v>44600</v>
      </c>
      <c r="F35" s="366">
        <f t="shared" si="1"/>
        <v>44601</v>
      </c>
    </row>
    <row r="36" spans="1:6">
      <c r="A36" t="s">
        <v>4949</v>
      </c>
      <c r="B36" s="293">
        <v>44595</v>
      </c>
      <c r="C36" s="293">
        <v>44596</v>
      </c>
      <c r="D36" s="367">
        <v>1</v>
      </c>
      <c r="E36" s="366">
        <f t="shared" si="0"/>
        <v>44602</v>
      </c>
      <c r="F36" s="366">
        <f t="shared" si="1"/>
        <v>44603</v>
      </c>
    </row>
    <row r="37" spans="1:6">
      <c r="A37" t="s">
        <v>4952</v>
      </c>
      <c r="B37" s="293">
        <v>44599</v>
      </c>
      <c r="C37" s="293">
        <v>44599</v>
      </c>
      <c r="D37" s="367">
        <v>1</v>
      </c>
      <c r="E37" s="366">
        <f t="shared" si="0"/>
        <v>44606</v>
      </c>
      <c r="F37" s="366">
        <f t="shared" si="1"/>
        <v>44606</v>
      </c>
    </row>
    <row r="38" spans="1:6">
      <c r="A38" t="s">
        <v>4954</v>
      </c>
      <c r="B38" s="293">
        <v>44600</v>
      </c>
      <c r="C38" s="293">
        <v>44600</v>
      </c>
      <c r="D38" s="367">
        <v>1</v>
      </c>
      <c r="E38" s="366">
        <f t="shared" si="0"/>
        <v>44607</v>
      </c>
      <c r="F38" s="366">
        <f t="shared" si="1"/>
        <v>44607</v>
      </c>
    </row>
    <row r="39" spans="1:6">
      <c r="A39" t="s">
        <v>4956</v>
      </c>
      <c r="B39" s="293">
        <v>44601</v>
      </c>
      <c r="C39" s="293">
        <v>44601</v>
      </c>
      <c r="D39" s="367">
        <v>1</v>
      </c>
      <c r="E39" s="366">
        <f t="shared" si="0"/>
        <v>44608</v>
      </c>
      <c r="F39" s="366">
        <f t="shared" si="1"/>
        <v>44608</v>
      </c>
    </row>
    <row r="40" spans="1:6">
      <c r="A40" t="s">
        <v>4958</v>
      </c>
      <c r="B40" s="293">
        <v>44602</v>
      </c>
      <c r="C40" s="293">
        <v>44602</v>
      </c>
      <c r="D40" s="367">
        <v>1</v>
      </c>
      <c r="E40" s="366">
        <f t="shared" si="0"/>
        <v>44609</v>
      </c>
      <c r="F40" s="366">
        <f t="shared" si="1"/>
        <v>44609</v>
      </c>
    </row>
    <row r="41" spans="1:6">
      <c r="A41" t="s">
        <v>4961</v>
      </c>
      <c r="B41" s="293">
        <v>44603</v>
      </c>
      <c r="C41" s="293">
        <v>44606</v>
      </c>
      <c r="D41" s="367">
        <v>1</v>
      </c>
      <c r="E41" s="366">
        <f t="shared" si="0"/>
        <v>44610</v>
      </c>
      <c r="F41" s="366">
        <f t="shared" si="1"/>
        <v>44613</v>
      </c>
    </row>
    <row r="42" spans="1:6">
      <c r="A42" t="s">
        <v>4964</v>
      </c>
      <c r="B42" s="293">
        <v>44607</v>
      </c>
      <c r="C42" s="293">
        <v>44608</v>
      </c>
      <c r="D42" s="367">
        <v>1</v>
      </c>
      <c r="E42" s="366">
        <f t="shared" si="0"/>
        <v>44614</v>
      </c>
      <c r="F42" s="366">
        <f t="shared" si="1"/>
        <v>44615</v>
      </c>
    </row>
    <row r="43" spans="1:6">
      <c r="A43" t="s">
        <v>4966</v>
      </c>
      <c r="B43" s="293">
        <v>44609</v>
      </c>
      <c r="C43" s="293">
        <v>44610</v>
      </c>
      <c r="D43" s="367">
        <v>1</v>
      </c>
      <c r="E43" s="366">
        <f t="shared" si="0"/>
        <v>44616</v>
      </c>
      <c r="F43" s="366">
        <f t="shared" si="1"/>
        <v>44617</v>
      </c>
    </row>
    <row r="44" spans="1:6">
      <c r="A44" t="s">
        <v>4566</v>
      </c>
      <c r="B44" s="293">
        <v>44613</v>
      </c>
      <c r="C44" s="293">
        <v>44615</v>
      </c>
      <c r="D44" s="367">
        <v>1</v>
      </c>
      <c r="E44" s="366">
        <f t="shared" si="0"/>
        <v>44620</v>
      </c>
      <c r="F44" s="366">
        <f t="shared" si="1"/>
        <v>44622</v>
      </c>
    </row>
    <row r="45" spans="1:6">
      <c r="A45" t="s">
        <v>4970</v>
      </c>
      <c r="B45" s="293">
        <v>44616</v>
      </c>
      <c r="C45" s="293">
        <v>44620</v>
      </c>
      <c r="D45" s="367">
        <v>1</v>
      </c>
      <c r="E45" s="366">
        <f t="shared" si="0"/>
        <v>44623</v>
      </c>
      <c r="F45" s="366">
        <f t="shared" si="1"/>
        <v>44627</v>
      </c>
    </row>
    <row r="46" spans="1:6">
      <c r="A46" t="s">
        <v>4972</v>
      </c>
      <c r="B46" s="293">
        <v>44621</v>
      </c>
      <c r="C46" s="293">
        <v>44622</v>
      </c>
      <c r="D46" s="367">
        <v>1</v>
      </c>
      <c r="E46" s="366">
        <f t="shared" si="0"/>
        <v>44628</v>
      </c>
      <c r="F46" s="366">
        <f t="shared" si="1"/>
        <v>44629</v>
      </c>
    </row>
    <row r="47" spans="1:6">
      <c r="A47" t="s">
        <v>4975</v>
      </c>
      <c r="B47" s="293">
        <v>44623</v>
      </c>
      <c r="C47" s="293">
        <v>44627</v>
      </c>
      <c r="D47" s="367">
        <v>1</v>
      </c>
      <c r="E47" s="366">
        <f t="shared" si="0"/>
        <v>44630</v>
      </c>
      <c r="F47" s="366">
        <f t="shared" si="1"/>
        <v>44634</v>
      </c>
    </row>
    <row r="48" spans="1:6">
      <c r="A48" t="s">
        <v>4977</v>
      </c>
      <c r="B48" s="293">
        <v>44628</v>
      </c>
      <c r="C48" s="293">
        <v>44629</v>
      </c>
      <c r="D48" s="367">
        <v>1</v>
      </c>
      <c r="E48" s="366">
        <f t="shared" si="0"/>
        <v>44635</v>
      </c>
      <c r="F48" s="366">
        <f t="shared" si="1"/>
        <v>44636</v>
      </c>
    </row>
    <row r="49" spans="1:6">
      <c r="A49" t="s">
        <v>4980</v>
      </c>
      <c r="B49" s="293">
        <v>44630</v>
      </c>
      <c r="C49" s="293">
        <v>44636</v>
      </c>
      <c r="D49" s="367">
        <v>1</v>
      </c>
      <c r="E49" s="366">
        <f t="shared" si="0"/>
        <v>44637</v>
      </c>
      <c r="F49" s="366">
        <f t="shared" si="1"/>
        <v>44643</v>
      </c>
    </row>
    <row r="50" spans="1:6">
      <c r="A50" t="s">
        <v>4982</v>
      </c>
      <c r="B50" s="293">
        <v>44637</v>
      </c>
      <c r="C50" s="293">
        <v>44638</v>
      </c>
      <c r="D50" s="367">
        <v>1</v>
      </c>
      <c r="E50" s="366">
        <f t="shared" si="0"/>
        <v>44644</v>
      </c>
      <c r="F50" s="366">
        <f t="shared" si="1"/>
        <v>44645</v>
      </c>
    </row>
  </sheetData>
  <mergeCells count="4">
    <mergeCell ref="G9:G11"/>
    <mergeCell ref="G12:G13"/>
    <mergeCell ref="A15:G15"/>
    <mergeCell ref="D1:D8"/>
  </mergeCells>
  <phoneticPr fontId="1" type="noConversion"/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208"/>
  <sheetViews>
    <sheetView tabSelected="1" zoomScale="70" zoomScaleNormal="70" workbookViewId="0">
      <pane ySplit="1" topLeftCell="A135" activePane="bottomLeft" state="frozen"/>
      <selection pane="bottomLeft" activeCell="A125" sqref="A125:X125"/>
    </sheetView>
  </sheetViews>
  <sheetFormatPr defaultRowHeight="16.05" customHeight="1"/>
  <cols>
    <col min="1" max="1" width="21.296875" style="342" customWidth="1"/>
    <col min="2" max="2" width="6.19921875" style="340" customWidth="1"/>
    <col min="3" max="3" width="5.19921875" style="54" customWidth="1"/>
    <col min="4" max="4" width="27" style="340" bestFit="1" customWidth="1"/>
    <col min="5" max="5" width="8.796875" style="340" hidden="1" customWidth="1"/>
    <col min="6" max="6" width="3.69921875" style="54" customWidth="1"/>
    <col min="7" max="7" width="6.59765625" style="54" customWidth="1"/>
    <col min="8" max="13" width="5.19921875" style="54" customWidth="1"/>
    <col min="14" max="21" width="0" style="340" hidden="1" customWidth="1"/>
    <col min="22" max="22" width="9.3984375" style="54" customWidth="1"/>
    <col min="23" max="23" width="26.09765625" style="340" customWidth="1"/>
    <col min="24" max="24" width="7.3984375" style="340" customWidth="1"/>
    <col min="25" max="25" width="7.296875" style="54" customWidth="1"/>
    <col min="26" max="26" width="9.796875" style="54" customWidth="1"/>
    <col min="27" max="27" width="28.69921875" style="340" bestFit="1" customWidth="1"/>
    <col min="28" max="28" width="28.8984375" style="340" customWidth="1"/>
    <col min="29" max="29" width="8.796875" style="340"/>
    <col min="30" max="30" width="10.296875" style="340" customWidth="1"/>
    <col min="31" max="31" width="10.796875" style="340" customWidth="1"/>
    <col min="32" max="16384" width="8.796875" style="340"/>
  </cols>
  <sheetData>
    <row r="1" spans="1:36" ht="16.05" customHeight="1">
      <c r="A1" s="7" t="s">
        <v>5303</v>
      </c>
      <c r="B1" s="7" t="s">
        <v>1817</v>
      </c>
      <c r="C1" s="7" t="s">
        <v>343</v>
      </c>
      <c r="D1" s="7" t="s">
        <v>5316</v>
      </c>
      <c r="E1" s="7"/>
      <c r="F1" s="7" t="s">
        <v>5382</v>
      </c>
      <c r="G1" s="7" t="s">
        <v>2823</v>
      </c>
      <c r="H1" s="7">
        <v>2</v>
      </c>
      <c r="I1" s="7">
        <v>3</v>
      </c>
      <c r="J1" s="7">
        <v>4</v>
      </c>
      <c r="K1" s="7">
        <v>5</v>
      </c>
      <c r="L1" s="7">
        <v>6</v>
      </c>
      <c r="M1" s="7">
        <v>7</v>
      </c>
      <c r="N1" s="7" t="s">
        <v>2830</v>
      </c>
      <c r="O1" s="7" t="s">
        <v>2831</v>
      </c>
      <c r="P1" s="7" t="s">
        <v>2832</v>
      </c>
      <c r="Q1" s="7" t="s">
        <v>2833</v>
      </c>
      <c r="R1" s="7" t="s">
        <v>2834</v>
      </c>
      <c r="S1" s="7" t="s">
        <v>2835</v>
      </c>
      <c r="T1" s="7" t="s">
        <v>2836</v>
      </c>
      <c r="U1" s="7" t="s">
        <v>2837</v>
      </c>
      <c r="V1" s="7" t="s">
        <v>1907</v>
      </c>
      <c r="W1" s="331" t="s">
        <v>2820</v>
      </c>
      <c r="X1" s="7" t="s">
        <v>62</v>
      </c>
      <c r="Y1" s="7" t="s">
        <v>2838</v>
      </c>
      <c r="Z1" s="7" t="s">
        <v>5321</v>
      </c>
      <c r="AA1" s="7" t="s">
        <v>5304</v>
      </c>
      <c r="AB1" s="7" t="s">
        <v>5299</v>
      </c>
      <c r="AC1" s="7"/>
      <c r="AD1" s="7" t="s">
        <v>5300</v>
      </c>
      <c r="AE1" s="7" t="s">
        <v>5301</v>
      </c>
      <c r="AF1" s="7" t="s">
        <v>5299</v>
      </c>
      <c r="AG1" s="7" t="s">
        <v>5305</v>
      </c>
      <c r="AH1" s="7"/>
      <c r="AI1" s="7"/>
      <c r="AJ1" s="7"/>
    </row>
    <row r="2" spans="1:36" s="333" customFormat="1" ht="16.05" customHeight="1">
      <c r="A2" s="350" t="s">
        <v>5392</v>
      </c>
      <c r="B2" s="332"/>
      <c r="C2" s="52"/>
      <c r="D2" s="52" t="s">
        <v>5394</v>
      </c>
      <c r="E2" s="360"/>
      <c r="F2" s="311" t="s">
        <v>5384</v>
      </c>
      <c r="G2" s="360" t="s">
        <v>5393</v>
      </c>
      <c r="H2" s="311"/>
      <c r="I2" s="311"/>
      <c r="J2" s="311"/>
      <c r="K2" s="311"/>
      <c r="L2" s="311"/>
      <c r="M2" s="311"/>
      <c r="N2" s="360"/>
      <c r="O2" s="360"/>
      <c r="P2" s="360"/>
      <c r="Q2" s="360"/>
      <c r="R2" s="360"/>
      <c r="S2" s="360"/>
      <c r="T2" s="360"/>
      <c r="U2" s="360"/>
      <c r="V2" s="311" t="s">
        <v>5392</v>
      </c>
      <c r="W2" s="360" t="s">
        <v>5393</v>
      </c>
      <c r="X2" s="360"/>
      <c r="Y2" s="311" t="s">
        <v>5377</v>
      </c>
      <c r="Z2" s="311"/>
      <c r="AA2" s="360" t="str">
        <f>gen(C2,D2,E2,F2,G2,H2,I2,J2,K2,L2,M2,V2,W2,X2,Y2,Z2)</f>
        <v>CommonEnum.java</v>
      </c>
      <c r="AB2" s="13" t="str">
        <f>genUrl(C2,D2,E2,F2,G2,H2,I2,J2,K2,L2,M2,V2,W2,X2,Y2,Z2)</f>
        <v/>
      </c>
      <c r="AC2" s="332"/>
      <c r="AD2" s="332"/>
      <c r="AE2" s="332"/>
      <c r="AF2" s="332"/>
      <c r="AG2" s="332"/>
      <c r="AH2" s="332"/>
      <c r="AI2" s="332"/>
      <c r="AJ2" s="332"/>
    </row>
    <row r="3" spans="1:36" s="333" customFormat="1" ht="16.05" customHeight="1">
      <c r="A3" s="350"/>
      <c r="B3" s="332"/>
      <c r="C3" s="52"/>
      <c r="D3" s="52" t="str">
        <f t="shared" ref="D3:D70" si="0">genPackage($D$1,C3)</f>
        <v/>
      </c>
      <c r="E3" s="360"/>
      <c r="F3" s="311"/>
      <c r="G3" s="360" t="s">
        <v>5334</v>
      </c>
      <c r="H3" s="311" t="s">
        <v>4</v>
      </c>
      <c r="I3" s="311"/>
      <c r="J3" s="311"/>
      <c r="K3" s="311"/>
      <c r="L3" s="311"/>
      <c r="M3" s="311"/>
      <c r="N3" s="360"/>
      <c r="O3" s="360"/>
      <c r="P3" s="360"/>
      <c r="Q3" s="360"/>
      <c r="R3" s="360"/>
      <c r="S3" s="360"/>
      <c r="T3" s="360"/>
      <c r="U3" s="360"/>
      <c r="V3" s="311" t="s">
        <v>5395</v>
      </c>
      <c r="W3" s="360" t="str">
        <f>V3 &amp; " " &amp; UPPER(b("",G3,H3))</f>
        <v>public enum SETN_INFO</v>
      </c>
      <c r="X3" s="360"/>
      <c r="Y3" s="311"/>
      <c r="Z3" s="311"/>
      <c r="AA3" s="360" t="str">
        <f t="shared" ref="AA3:AA70" si="1">gen(C3,D3,E3,F3,G3,H3,I3,J3,K3,L3,M3,V3,W3,X3,Y3,Z3)</f>
        <v>SetnInfopublic enum.</v>
      </c>
      <c r="AB3" s="13" t="str">
        <f t="shared" ref="AB3:AB70" si="2">genUrl(C3,D3,E3,F3,G3,H3,I3,J3,K3,L3,M3,V3,W3,X3,Y3,Z3)</f>
        <v/>
      </c>
      <c r="AC3" s="332"/>
      <c r="AD3" s="332"/>
      <c r="AE3" s="332"/>
      <c r="AF3" s="332"/>
      <c r="AG3" s="332"/>
      <c r="AH3" s="332"/>
      <c r="AI3" s="332"/>
      <c r="AJ3" s="332"/>
    </row>
    <row r="4" spans="1:36" s="333" customFormat="1" ht="16.05" customHeight="1">
      <c r="A4" s="350"/>
      <c r="B4" s="332"/>
      <c r="C4" s="52"/>
      <c r="D4" s="52" t="str">
        <f t="shared" si="0"/>
        <v/>
      </c>
      <c r="E4" s="360"/>
      <c r="F4" s="311"/>
      <c r="G4" s="360" t="s">
        <v>5165</v>
      </c>
      <c r="H4" s="311" t="s">
        <v>5397</v>
      </c>
      <c r="I4" s="311"/>
      <c r="J4" s="311"/>
      <c r="K4" s="311"/>
      <c r="L4" s="311"/>
      <c r="M4" s="311"/>
      <c r="N4" s="360"/>
      <c r="O4" s="360"/>
      <c r="P4" s="360"/>
      <c r="Q4" s="360"/>
      <c r="R4" s="360"/>
      <c r="S4" s="360"/>
      <c r="T4" s="360"/>
      <c r="U4" s="360"/>
      <c r="V4" s="311"/>
      <c r="W4" s="360" t="str" cm="1">
        <f t="array" ref="W4">UPPER(b("",G4,H4))</f>
        <v>NOTC_RECP</v>
      </c>
      <c r="X4" s="360"/>
      <c r="Y4" s="311"/>
      <c r="Z4" s="311"/>
      <c r="AA4" s="360" t="str">
        <f t="shared" si="1"/>
        <v>NotcRecp.</v>
      </c>
      <c r="AB4" s="13" t="str">
        <f t="shared" si="2"/>
        <v/>
      </c>
      <c r="AC4" s="332"/>
      <c r="AD4" s="332"/>
      <c r="AE4" s="332"/>
      <c r="AF4" s="332"/>
      <c r="AG4" s="332"/>
      <c r="AH4" s="332"/>
      <c r="AI4" s="332"/>
      <c r="AJ4" s="332"/>
    </row>
    <row r="5" spans="1:36" s="333" customFormat="1" ht="16.05" customHeight="1">
      <c r="A5" s="350"/>
      <c r="B5" s="332"/>
      <c r="C5" s="52"/>
      <c r="D5" s="52" t="str">
        <f t="shared" ref="D5" si="3">genPackage($D$1,C5)</f>
        <v/>
      </c>
      <c r="E5" s="360"/>
      <c r="F5" s="311"/>
      <c r="G5" s="360" t="s">
        <v>5396</v>
      </c>
      <c r="H5" s="311" t="s">
        <v>5165</v>
      </c>
      <c r="I5" s="311" t="s">
        <v>5397</v>
      </c>
      <c r="J5" s="311"/>
      <c r="K5" s="311"/>
      <c r="L5" s="311"/>
      <c r="M5" s="311"/>
      <c r="N5" s="360"/>
      <c r="O5" s="360"/>
      <c r="P5" s="360"/>
      <c r="Q5" s="360"/>
      <c r="R5" s="360"/>
      <c r="S5" s="360"/>
      <c r="T5" s="360"/>
      <c r="U5" s="360"/>
      <c r="V5" s="311"/>
      <c r="W5" s="360" t="str" cm="1">
        <f t="array" ref="W5">UPPER(b("",G5,H5,I5))</f>
        <v>_NOTC_RECP</v>
      </c>
      <c r="X5" s="360"/>
      <c r="Y5" s="311"/>
      <c r="Z5" s="311"/>
      <c r="AA5" s="360" t="str">
        <f t="shared" ref="AA5" si="4">gen(C5,D5,E5,F5,G5,H5,I5,J5,K5,L5,M5,V5,W5,X5,Y5,Z5)</f>
        <v>NotcRecp.</v>
      </c>
      <c r="AB5" s="13" t="str">
        <f t="shared" ref="AB5" si="5">genUrl(C5,D5,E5,F5,G5,H5,I5,J5,K5,L5,M5,V5,W5,X5,Y5,Z5)</f>
        <v/>
      </c>
      <c r="AC5" s="332"/>
      <c r="AD5" s="332"/>
      <c r="AE5" s="332"/>
      <c r="AF5" s="332"/>
      <c r="AG5" s="332"/>
      <c r="AH5" s="332"/>
      <c r="AI5" s="332"/>
      <c r="AJ5" s="332"/>
    </row>
    <row r="6" spans="1:36" s="333" customFormat="1" ht="16.05" customHeight="1">
      <c r="A6" s="350"/>
      <c r="B6" s="332"/>
      <c r="C6" s="52"/>
      <c r="D6" s="52" t="str">
        <f t="shared" si="0"/>
        <v/>
      </c>
      <c r="E6" s="360"/>
      <c r="F6" s="311"/>
      <c r="G6" s="360" t="s">
        <v>5409</v>
      </c>
      <c r="H6" s="311" t="s">
        <v>5410</v>
      </c>
      <c r="I6" s="311"/>
      <c r="J6" s="311"/>
      <c r="K6" s="311"/>
      <c r="L6" s="311"/>
      <c r="M6" s="311"/>
      <c r="N6" s="360"/>
      <c r="O6" s="360"/>
      <c r="P6" s="360"/>
      <c r="Q6" s="360"/>
      <c r="R6" s="360"/>
      <c r="S6" s="360"/>
      <c r="T6" s="360"/>
      <c r="U6" s="360"/>
      <c r="V6" s="311" t="s">
        <v>5395</v>
      </c>
      <c r="W6" s="360" t="str">
        <f>V6 &amp; " " &amp; UPPER(b("",G6,H6))</f>
        <v>public enum PRTR_SE</v>
      </c>
      <c r="X6" s="360"/>
      <c r="Y6" s="311"/>
      <c r="Z6" s="311"/>
      <c r="AA6" s="360" t="str">
        <f t="shared" si="1"/>
        <v>PrtrSepublic enum.</v>
      </c>
      <c r="AB6" s="13" t="str">
        <f t="shared" si="2"/>
        <v/>
      </c>
      <c r="AC6" s="332"/>
      <c r="AD6" s="332"/>
      <c r="AE6" s="332"/>
      <c r="AF6" s="332"/>
      <c r="AG6" s="332"/>
      <c r="AH6" s="332"/>
      <c r="AI6" s="332"/>
      <c r="AJ6" s="332"/>
    </row>
    <row r="7" spans="1:36" s="333" customFormat="1" ht="16.05" customHeight="1">
      <c r="A7" s="350"/>
      <c r="B7" s="332"/>
      <c r="C7" s="52"/>
      <c r="D7" s="52" t="str">
        <f t="shared" si="0"/>
        <v/>
      </c>
      <c r="E7" s="360"/>
      <c r="F7" s="311"/>
      <c r="G7" s="360" t="s">
        <v>5411</v>
      </c>
      <c r="H7" s="311" t="s">
        <v>5408</v>
      </c>
      <c r="I7" s="311"/>
      <c r="J7" s="311"/>
      <c r="K7" s="311"/>
      <c r="L7" s="311"/>
      <c r="M7" s="311"/>
      <c r="N7" s="360"/>
      <c r="O7" s="360"/>
      <c r="P7" s="360"/>
      <c r="Q7" s="360"/>
      <c r="R7" s="360"/>
      <c r="S7" s="360"/>
      <c r="T7" s="360"/>
      <c r="U7" s="360"/>
      <c r="V7" s="311"/>
      <c r="W7" s="360" t="str" cm="1">
        <f t="array" ref="W7">UPPER(b("",G7,H7,I7))</f>
        <v>NATR_PATUR</v>
      </c>
      <c r="X7" s="360"/>
      <c r="Y7" s="311"/>
      <c r="Z7" s="311"/>
      <c r="AA7" s="360" t="str">
        <f t="shared" si="1"/>
        <v>NatrPatur.</v>
      </c>
      <c r="AB7" s="13" t="str">
        <f t="shared" si="2"/>
        <v/>
      </c>
      <c r="AC7" s="332"/>
      <c r="AD7" s="332"/>
      <c r="AE7" s="332"/>
      <c r="AF7" s="332"/>
      <c r="AG7" s="332"/>
      <c r="AH7" s="332"/>
      <c r="AI7" s="332"/>
      <c r="AJ7" s="332"/>
    </row>
    <row r="8" spans="1:36" s="333" customFormat="1" ht="16.05" customHeight="1">
      <c r="A8" s="350"/>
      <c r="B8" s="332"/>
      <c r="C8" s="52"/>
      <c r="D8" s="52" t="str">
        <f t="shared" ref="D8" si="6">genPackage($D$1,C8)</f>
        <v/>
      </c>
      <c r="E8" s="360"/>
      <c r="F8" s="311"/>
      <c r="G8" s="360" t="s">
        <v>5412</v>
      </c>
      <c r="H8" s="311" t="s">
        <v>5413</v>
      </c>
      <c r="I8" s="311"/>
      <c r="J8" s="311"/>
      <c r="K8" s="311"/>
      <c r="L8" s="311"/>
      <c r="M8" s="311"/>
      <c r="N8" s="360"/>
      <c r="O8" s="360"/>
      <c r="P8" s="360"/>
      <c r="Q8" s="360"/>
      <c r="R8" s="360"/>
      <c r="S8" s="360"/>
      <c r="T8" s="360"/>
      <c r="U8" s="360"/>
      <c r="V8" s="311"/>
      <c r="W8" s="360" t="str">
        <f>UPPER(b("",G8,H8,I8))</f>
        <v>CSRN_SECT</v>
      </c>
      <c r="X8" s="360"/>
      <c r="Y8" s="311"/>
      <c r="Z8" s="311"/>
      <c r="AA8" s="360" t="str">
        <f t="shared" ref="AA8" si="7">gen(C8,D8,E8,F8,G8,H8,I8,J8,K8,L8,M8,V8,W8,X8,Y8,Z8)</f>
        <v>CsrnSect.</v>
      </c>
      <c r="AB8" s="13" t="str">
        <f t="shared" ref="AB8" si="8">genUrl(C8,D8,E8,F8,G8,H8,I8,J8,K8,L8,M8,V8,W8,X8,Y8,Z8)</f>
        <v/>
      </c>
      <c r="AC8" s="332"/>
      <c r="AD8" s="332"/>
      <c r="AE8" s="332"/>
      <c r="AF8" s="332"/>
      <c r="AG8" s="332"/>
      <c r="AH8" s="332"/>
      <c r="AI8" s="332"/>
      <c r="AJ8" s="332"/>
    </row>
    <row r="9" spans="1:36" s="333" customFormat="1" ht="16.05" customHeight="1">
      <c r="A9" s="350"/>
      <c r="B9" s="332"/>
      <c r="C9" s="52"/>
      <c r="D9" s="52" t="str">
        <f t="shared" si="0"/>
        <v/>
      </c>
      <c r="E9" s="360"/>
      <c r="F9" s="311"/>
      <c r="G9" s="360" t="s">
        <v>5414</v>
      </c>
      <c r="H9" s="311"/>
      <c r="I9" s="311"/>
      <c r="J9" s="311"/>
      <c r="K9" s="311"/>
      <c r="L9" s="311"/>
      <c r="M9" s="311"/>
      <c r="N9" s="360"/>
      <c r="O9" s="360"/>
      <c r="P9" s="360"/>
      <c r="Q9" s="360"/>
      <c r="R9" s="360"/>
      <c r="S9" s="360"/>
      <c r="T9" s="360"/>
      <c r="U9" s="360"/>
      <c r="V9" s="311"/>
      <c r="W9" s="360" t="str" cm="1">
        <f t="array" ref="W9">UPPER(b("",G9,H9,I9))</f>
        <v>ETC</v>
      </c>
      <c r="X9" s="360"/>
      <c r="Y9" s="311"/>
      <c r="Z9" s="311"/>
      <c r="AA9" s="360" t="str">
        <f t="shared" si="1"/>
        <v>Etc.</v>
      </c>
      <c r="AB9" s="13" t="str">
        <f t="shared" si="2"/>
        <v/>
      </c>
      <c r="AC9" s="332"/>
      <c r="AD9" s="332"/>
      <c r="AE9" s="332"/>
      <c r="AF9" s="332"/>
      <c r="AG9" s="332"/>
      <c r="AH9" s="332"/>
      <c r="AI9" s="332"/>
      <c r="AJ9" s="332"/>
    </row>
    <row r="10" spans="1:36" s="333" customFormat="1" ht="16.05" customHeight="1">
      <c r="A10" s="350" t="s">
        <v>5327</v>
      </c>
      <c r="B10" s="332"/>
      <c r="C10" s="52"/>
      <c r="D10" s="52" t="str">
        <f t="shared" si="0"/>
        <v>kr.go.prpr.app.vo</v>
      </c>
      <c r="E10" s="360"/>
      <c r="F10" s="311" t="s">
        <v>5384</v>
      </c>
      <c r="G10" s="311" t="s">
        <v>4595</v>
      </c>
      <c r="H10" s="311"/>
      <c r="I10" s="311"/>
      <c r="J10" s="311"/>
      <c r="K10" s="311"/>
      <c r="L10" s="311"/>
      <c r="M10" s="311"/>
      <c r="N10" s="360"/>
      <c r="O10" s="360"/>
      <c r="P10" s="360"/>
      <c r="Q10" s="360"/>
      <c r="R10" s="360"/>
      <c r="S10" s="360"/>
      <c r="T10" s="360"/>
      <c r="U10" s="360"/>
      <c r="V10" s="311" t="s">
        <v>5327</v>
      </c>
      <c r="W10" s="360" t="s">
        <v>5311</v>
      </c>
      <c r="X10" s="360"/>
      <c r="Y10" s="311" t="s">
        <v>5377</v>
      </c>
      <c r="Z10" s="311"/>
      <c r="AA10" s="360" t="str">
        <f t="shared" si="1"/>
        <v>BabyVO.java</v>
      </c>
      <c r="AB10" s="13" t="str">
        <f t="shared" si="2"/>
        <v/>
      </c>
      <c r="AC10" s="332"/>
      <c r="AD10" s="332"/>
      <c r="AE10" s="332"/>
      <c r="AF10" s="332"/>
      <c r="AG10" s="332"/>
      <c r="AH10" s="332"/>
      <c r="AI10" s="332"/>
      <c r="AJ10" s="332"/>
    </row>
    <row r="11" spans="1:36" s="333" customFormat="1" ht="16.05" customHeight="1">
      <c r="A11" s="350" t="s">
        <v>5175</v>
      </c>
      <c r="B11" s="332"/>
      <c r="C11" s="52"/>
      <c r="D11" s="52" t="str">
        <f t="shared" si="0"/>
        <v>kr.go.prpr.app.vo</v>
      </c>
      <c r="E11" s="360"/>
      <c r="F11" s="311" t="s">
        <v>5384</v>
      </c>
      <c r="G11" s="311" t="s">
        <v>4595</v>
      </c>
      <c r="H11" s="311" t="s">
        <v>5344</v>
      </c>
      <c r="I11" s="311" t="s">
        <v>5345</v>
      </c>
      <c r="J11" s="311"/>
      <c r="K11" s="311"/>
      <c r="L11" s="311"/>
      <c r="M11" s="311"/>
      <c r="N11" s="360"/>
      <c r="O11" s="360"/>
      <c r="P11" s="360"/>
      <c r="Q11" s="360"/>
      <c r="R11" s="360"/>
      <c r="S11" s="360"/>
      <c r="T11" s="360"/>
      <c r="U11" s="360"/>
      <c r="V11" s="311" t="s">
        <v>5327</v>
      </c>
      <c r="W11" s="360" t="s">
        <v>5376</v>
      </c>
      <c r="X11" s="360"/>
      <c r="Y11" s="311" t="s">
        <v>5377</v>
      </c>
      <c r="Z11" s="311"/>
      <c r="AA11" s="360" t="str">
        <f t="shared" si="1"/>
        <v>BabyGrtwRcordVO.java</v>
      </c>
      <c r="AB11" s="13" t="str">
        <f t="shared" si="2"/>
        <v/>
      </c>
      <c r="AC11" s="332"/>
      <c r="AD11" s="332"/>
      <c r="AE11" s="332"/>
      <c r="AF11" s="332"/>
      <c r="AG11" s="332"/>
      <c r="AH11" s="332"/>
      <c r="AI11" s="332"/>
      <c r="AJ11" s="332"/>
    </row>
    <row r="12" spans="1:36" s="333" customFormat="1" ht="16.05" customHeight="1">
      <c r="A12" s="350" t="s">
        <v>5175</v>
      </c>
      <c r="B12" s="332"/>
      <c r="C12" s="52"/>
      <c r="D12" s="52" t="str">
        <f t="shared" si="0"/>
        <v>kr.go.prpr.app.vo</v>
      </c>
      <c r="E12" s="360"/>
      <c r="F12" s="311" t="s">
        <v>5384</v>
      </c>
      <c r="G12" s="311" t="s">
        <v>4595</v>
      </c>
      <c r="H12" s="311" t="s">
        <v>5364</v>
      </c>
      <c r="I12" s="311" t="s">
        <v>5365</v>
      </c>
      <c r="J12" s="311"/>
      <c r="K12" s="311"/>
      <c r="L12" s="311"/>
      <c r="M12" s="311"/>
      <c r="N12" s="360"/>
      <c r="O12" s="360"/>
      <c r="P12" s="360"/>
      <c r="Q12" s="360"/>
      <c r="R12" s="360"/>
      <c r="S12" s="360"/>
      <c r="T12" s="360"/>
      <c r="U12" s="360"/>
      <c r="V12" s="311" t="s">
        <v>5327</v>
      </c>
      <c r="W12" s="360" t="s">
        <v>5338</v>
      </c>
      <c r="X12" s="360"/>
      <c r="Y12" s="311" t="s">
        <v>5377</v>
      </c>
      <c r="Z12" s="311"/>
      <c r="AA12" s="360" t="str">
        <f t="shared" si="1"/>
        <v>BabyHthHpVO.java</v>
      </c>
      <c r="AB12" s="13" t="str">
        <f t="shared" si="2"/>
        <v/>
      </c>
      <c r="AC12" s="332"/>
      <c r="AD12" s="332"/>
      <c r="AE12" s="332"/>
      <c r="AF12" s="332"/>
      <c r="AG12" s="332"/>
      <c r="AH12" s="332"/>
      <c r="AI12" s="332"/>
      <c r="AJ12" s="332"/>
    </row>
    <row r="13" spans="1:36" s="333" customFormat="1" ht="16.05" customHeight="1">
      <c r="A13" s="350" t="s">
        <v>5175</v>
      </c>
      <c r="B13" s="332"/>
      <c r="C13" s="52"/>
      <c r="D13" s="52" t="str">
        <f t="shared" si="0"/>
        <v>kr.go.prpr.app.vo</v>
      </c>
      <c r="E13" s="360"/>
      <c r="F13" s="311" t="s">
        <v>5384</v>
      </c>
      <c r="G13" s="311" t="s">
        <v>4595</v>
      </c>
      <c r="H13" s="311" t="s">
        <v>5349</v>
      </c>
      <c r="I13" s="311"/>
      <c r="J13" s="311"/>
      <c r="K13" s="311"/>
      <c r="L13" s="311"/>
      <c r="M13" s="311"/>
      <c r="N13" s="360"/>
      <c r="O13" s="360"/>
      <c r="P13" s="360"/>
      <c r="Q13" s="360"/>
      <c r="R13" s="360"/>
      <c r="S13" s="360"/>
      <c r="T13" s="360"/>
      <c r="U13" s="360"/>
      <c r="V13" s="311" t="s">
        <v>5327</v>
      </c>
      <c r="W13" s="360" t="s">
        <v>5339</v>
      </c>
      <c r="X13" s="360"/>
      <c r="Y13" s="311" t="s">
        <v>5377</v>
      </c>
      <c r="Z13" s="311"/>
      <c r="AA13" s="360" t="str">
        <f t="shared" si="1"/>
        <v>BabyLttrVO.java</v>
      </c>
      <c r="AB13" s="13" t="str">
        <f t="shared" si="2"/>
        <v/>
      </c>
      <c r="AC13" s="332"/>
      <c r="AD13" s="332"/>
      <c r="AE13" s="332"/>
      <c r="AF13" s="332"/>
      <c r="AG13" s="332"/>
      <c r="AH13" s="332"/>
      <c r="AI13" s="332"/>
      <c r="AJ13" s="332"/>
    </row>
    <row r="14" spans="1:36" s="333" customFormat="1" ht="16.05" customHeight="1">
      <c r="A14" s="350" t="s">
        <v>5175</v>
      </c>
      <c r="B14" s="332"/>
      <c r="C14" s="52"/>
      <c r="D14" s="52" t="str">
        <f t="shared" si="0"/>
        <v>kr.go.prpr.app.vo</v>
      </c>
      <c r="E14" s="360"/>
      <c r="F14" s="311" t="s">
        <v>5384</v>
      </c>
      <c r="G14" s="311" t="s">
        <v>4595</v>
      </c>
      <c r="H14" s="311" t="s">
        <v>5357</v>
      </c>
      <c r="I14" s="311" t="s">
        <v>5366</v>
      </c>
      <c r="J14" s="311"/>
      <c r="K14" s="311"/>
      <c r="L14" s="311"/>
      <c r="M14" s="311"/>
      <c r="N14" s="360"/>
      <c r="O14" s="360"/>
      <c r="P14" s="360"/>
      <c r="Q14" s="360"/>
      <c r="R14" s="360"/>
      <c r="S14" s="360"/>
      <c r="T14" s="360"/>
      <c r="U14" s="360"/>
      <c r="V14" s="311" t="s">
        <v>5327</v>
      </c>
      <c r="W14" s="360" t="s">
        <v>5340</v>
      </c>
      <c r="X14" s="360"/>
      <c r="Y14" s="311" t="s">
        <v>5377</v>
      </c>
      <c r="Z14" s="311"/>
      <c r="AA14" s="360" t="str">
        <f t="shared" si="1"/>
        <v>BabyMdlcnstVstVO.java</v>
      </c>
      <c r="AB14" s="13" t="str">
        <f t="shared" si="2"/>
        <v/>
      </c>
      <c r="AC14" s="332"/>
      <c r="AD14" s="332"/>
      <c r="AE14" s="332"/>
      <c r="AF14" s="332"/>
      <c r="AG14" s="332"/>
      <c r="AH14" s="332"/>
      <c r="AI14" s="332"/>
      <c r="AJ14" s="332"/>
    </row>
    <row r="15" spans="1:36" s="333" customFormat="1" ht="16.05" customHeight="1">
      <c r="A15" s="350" t="s">
        <v>5175</v>
      </c>
      <c r="B15" s="332"/>
      <c r="C15" s="52"/>
      <c r="D15" s="52" t="str">
        <f t="shared" si="0"/>
        <v>kr.go.prpr.app.vo</v>
      </c>
      <c r="E15" s="360"/>
      <c r="F15" s="311" t="s">
        <v>5384</v>
      </c>
      <c r="G15" s="311" t="s">
        <v>4595</v>
      </c>
      <c r="H15" s="311" t="s">
        <v>5367</v>
      </c>
      <c r="I15" s="311" t="s">
        <v>5368</v>
      </c>
      <c r="J15" s="311"/>
      <c r="K15" s="311"/>
      <c r="L15" s="311"/>
      <c r="M15" s="311"/>
      <c r="N15" s="360"/>
      <c r="O15" s="360"/>
      <c r="P15" s="360"/>
      <c r="Q15" s="360"/>
      <c r="R15" s="360"/>
      <c r="S15" s="360"/>
      <c r="T15" s="360"/>
      <c r="U15" s="360"/>
      <c r="V15" s="311" t="s">
        <v>5327</v>
      </c>
      <c r="W15" s="360" t="s">
        <v>5341</v>
      </c>
      <c r="X15" s="360"/>
      <c r="Y15" s="311" t="s">
        <v>5377</v>
      </c>
      <c r="Z15" s="311"/>
      <c r="AA15" s="360" t="str">
        <f t="shared" si="1"/>
        <v>BabyPrevntInocVO.java</v>
      </c>
      <c r="AB15" s="13" t="str">
        <f t="shared" si="2"/>
        <v/>
      </c>
      <c r="AC15" s="332"/>
      <c r="AD15" s="332"/>
      <c r="AE15" s="332"/>
      <c r="AF15" s="332"/>
      <c r="AG15" s="332"/>
      <c r="AH15" s="332"/>
      <c r="AI15" s="332"/>
      <c r="AJ15" s="332"/>
    </row>
    <row r="16" spans="1:36" s="333" customFormat="1" ht="16.05" customHeight="1">
      <c r="A16" s="350" t="s">
        <v>5175</v>
      </c>
      <c r="B16" s="332"/>
      <c r="C16" s="52"/>
      <c r="D16" s="52" t="str">
        <f t="shared" si="0"/>
        <v>kr.go.prpr.app.vo</v>
      </c>
      <c r="E16" s="360"/>
      <c r="F16" s="311" t="s">
        <v>5384</v>
      </c>
      <c r="G16" s="311" t="s">
        <v>5369</v>
      </c>
      <c r="H16" s="311"/>
      <c r="I16" s="311"/>
      <c r="J16" s="311"/>
      <c r="K16" s="311"/>
      <c r="L16" s="311"/>
      <c r="M16" s="311"/>
      <c r="N16" s="360"/>
      <c r="O16" s="360"/>
      <c r="P16" s="360"/>
      <c r="Q16" s="360"/>
      <c r="R16" s="360"/>
      <c r="S16" s="360"/>
      <c r="T16" s="360"/>
      <c r="U16" s="360"/>
      <c r="V16" s="311" t="s">
        <v>5327</v>
      </c>
      <c r="W16" s="360" t="s">
        <v>5342</v>
      </c>
      <c r="X16" s="360"/>
      <c r="Y16" s="311" t="s">
        <v>5377</v>
      </c>
      <c r="Z16" s="311"/>
      <c r="AA16" s="360" t="str">
        <f t="shared" si="1"/>
        <v>CtsVO.java</v>
      </c>
      <c r="AB16" s="13" t="str">
        <f t="shared" si="2"/>
        <v/>
      </c>
      <c r="AC16" s="332"/>
      <c r="AD16" s="332"/>
      <c r="AE16" s="332"/>
      <c r="AF16" s="332"/>
      <c r="AG16" s="332"/>
      <c r="AH16" s="332"/>
      <c r="AI16" s="332"/>
      <c r="AJ16" s="332"/>
    </row>
    <row r="17" spans="1:36" s="333" customFormat="1" ht="16.05" customHeight="1">
      <c r="A17" s="350" t="s">
        <v>5175</v>
      </c>
      <c r="B17" s="332"/>
      <c r="C17" s="52"/>
      <c r="D17" s="52" t="str">
        <f t="shared" si="0"/>
        <v>kr.go.prpr.app.vo</v>
      </c>
      <c r="E17" s="360"/>
      <c r="F17" s="311" t="s">
        <v>5384</v>
      </c>
      <c r="G17" s="311" t="s">
        <v>5302</v>
      </c>
      <c r="H17" s="311"/>
      <c r="I17" s="311"/>
      <c r="J17" s="311"/>
      <c r="K17" s="311"/>
      <c r="L17" s="311"/>
      <c r="M17" s="311"/>
      <c r="N17" s="360"/>
      <c r="O17" s="360"/>
      <c r="P17" s="360"/>
      <c r="Q17" s="360"/>
      <c r="R17" s="360"/>
      <c r="S17" s="360"/>
      <c r="T17" s="360"/>
      <c r="U17" s="360"/>
      <c r="V17" s="311" t="s">
        <v>5327</v>
      </c>
      <c r="W17" s="360" t="s">
        <v>2637</v>
      </c>
      <c r="X17" s="360"/>
      <c r="Y17" s="311" t="s">
        <v>5377</v>
      </c>
      <c r="Z17" s="311"/>
      <c r="AA17" s="360" t="str">
        <f t="shared" si="1"/>
        <v>EmbrVO.java</v>
      </c>
      <c r="AB17" s="13" t="str">
        <f t="shared" si="2"/>
        <v/>
      </c>
      <c r="AC17" s="332"/>
      <c r="AD17" s="332"/>
      <c r="AE17" s="332"/>
      <c r="AF17" s="332"/>
      <c r="AG17" s="332"/>
      <c r="AH17" s="332"/>
      <c r="AI17" s="332"/>
      <c r="AJ17" s="332"/>
    </row>
    <row r="18" spans="1:36" s="333" customFormat="1" ht="16.05" customHeight="1">
      <c r="A18" s="350" t="s">
        <v>5175</v>
      </c>
      <c r="B18" s="332"/>
      <c r="C18" s="52"/>
      <c r="D18" s="52" t="str">
        <f t="shared" si="0"/>
        <v>kr.go.prpr.app.vo</v>
      </c>
      <c r="E18" s="360"/>
      <c r="F18" s="311" t="s">
        <v>5384</v>
      </c>
      <c r="G18" s="311" t="s">
        <v>1</v>
      </c>
      <c r="H18" s="311"/>
      <c r="I18" s="311"/>
      <c r="J18" s="311"/>
      <c r="K18" s="311"/>
      <c r="L18" s="311"/>
      <c r="M18" s="311"/>
      <c r="N18" s="360"/>
      <c r="O18" s="360"/>
      <c r="P18" s="360"/>
      <c r="Q18" s="360"/>
      <c r="R18" s="360"/>
      <c r="S18" s="360"/>
      <c r="T18" s="360"/>
      <c r="U18" s="360"/>
      <c r="V18" s="311" t="s">
        <v>5327</v>
      </c>
      <c r="W18" s="360" t="s">
        <v>1</v>
      </c>
      <c r="X18" s="360"/>
      <c r="Y18" s="311" t="s">
        <v>5377</v>
      </c>
      <c r="Z18" s="311"/>
      <c r="AA18" s="360" t="str">
        <f t="shared" si="1"/>
        <v>MbrVO.java</v>
      </c>
      <c r="AB18" s="13" t="str">
        <f t="shared" si="2"/>
        <v/>
      </c>
      <c r="AC18" s="332"/>
      <c r="AD18" s="332"/>
      <c r="AE18" s="332"/>
      <c r="AF18" s="332"/>
      <c r="AG18" s="332"/>
      <c r="AH18" s="332"/>
      <c r="AI18" s="332"/>
      <c r="AJ18" s="332"/>
    </row>
    <row r="19" spans="1:36" s="333" customFormat="1" ht="16.05" customHeight="1">
      <c r="A19" s="350" t="s">
        <v>5175</v>
      </c>
      <c r="B19" s="332"/>
      <c r="C19" s="52"/>
      <c r="D19" s="52" t="str">
        <f t="shared" si="0"/>
        <v>kr.go.prpr.app.vo</v>
      </c>
      <c r="E19" s="360"/>
      <c r="F19" s="311" t="s">
        <v>5384</v>
      </c>
      <c r="G19" s="311" t="s">
        <v>1</v>
      </c>
      <c r="H19" s="311" t="s">
        <v>5328</v>
      </c>
      <c r="I19" s="311"/>
      <c r="J19" s="311"/>
      <c r="K19" s="311"/>
      <c r="L19" s="311"/>
      <c r="M19" s="311"/>
      <c r="N19" s="360"/>
      <c r="O19" s="360"/>
      <c r="P19" s="360"/>
      <c r="Q19" s="360"/>
      <c r="R19" s="360"/>
      <c r="S19" s="360"/>
      <c r="T19" s="360"/>
      <c r="U19" s="360"/>
      <c r="V19" s="311" t="s">
        <v>5327</v>
      </c>
      <c r="W19" s="360" t="s">
        <v>5331</v>
      </c>
      <c r="X19" s="360"/>
      <c r="Y19" s="311" t="s">
        <v>5377</v>
      </c>
      <c r="Z19" s="311"/>
      <c r="AA19" s="360" t="str">
        <f t="shared" si="1"/>
        <v>MbrLgnVO.java</v>
      </c>
      <c r="AB19" s="13" t="str">
        <f t="shared" si="2"/>
        <v/>
      </c>
      <c r="AC19" s="332"/>
      <c r="AD19" s="332"/>
      <c r="AE19" s="332"/>
      <c r="AF19" s="332"/>
      <c r="AG19" s="332"/>
      <c r="AH19" s="332"/>
      <c r="AI19" s="332"/>
      <c r="AJ19" s="332"/>
    </row>
    <row r="20" spans="1:36" s="333" customFormat="1" ht="16.05" customHeight="1">
      <c r="A20" s="350" t="s">
        <v>5175</v>
      </c>
      <c r="B20" s="332"/>
      <c r="C20" s="52"/>
      <c r="D20" s="52" t="str">
        <f t="shared" si="0"/>
        <v>kr.go.prpr.app.vo</v>
      </c>
      <c r="E20" s="360"/>
      <c r="F20" s="311" t="s">
        <v>5384</v>
      </c>
      <c r="G20" s="311" t="s">
        <v>1</v>
      </c>
      <c r="H20" s="311" t="s">
        <v>61</v>
      </c>
      <c r="I20" s="311"/>
      <c r="J20" s="311"/>
      <c r="K20" s="311"/>
      <c r="L20" s="311"/>
      <c r="M20" s="311"/>
      <c r="N20" s="360"/>
      <c r="O20" s="360"/>
      <c r="P20" s="360"/>
      <c r="Q20" s="360"/>
      <c r="R20" s="360"/>
      <c r="S20" s="360"/>
      <c r="T20" s="360"/>
      <c r="U20" s="360"/>
      <c r="V20" s="311" t="s">
        <v>5327</v>
      </c>
      <c r="W20" s="360" t="s">
        <v>5332</v>
      </c>
      <c r="X20" s="360"/>
      <c r="Y20" s="311" t="s">
        <v>5377</v>
      </c>
      <c r="Z20" s="311"/>
      <c r="AA20" s="360" t="str">
        <f t="shared" si="1"/>
        <v>MbrCertVO.java</v>
      </c>
      <c r="AB20" s="13" t="str">
        <f t="shared" si="2"/>
        <v/>
      </c>
      <c r="AC20" s="332"/>
      <c r="AD20" s="332"/>
      <c r="AE20" s="332"/>
      <c r="AF20" s="332"/>
      <c r="AG20" s="332"/>
      <c r="AH20" s="332"/>
      <c r="AI20" s="332"/>
      <c r="AJ20" s="332"/>
    </row>
    <row r="21" spans="1:36" s="333" customFormat="1" ht="16.05" customHeight="1">
      <c r="A21" s="350" t="s">
        <v>5175</v>
      </c>
      <c r="B21" s="332"/>
      <c r="C21" s="52"/>
      <c r="D21" s="52" t="str">
        <f t="shared" si="0"/>
        <v>kr.go.prpr.app.vo</v>
      </c>
      <c r="E21" s="360"/>
      <c r="F21" s="311" t="s">
        <v>5384</v>
      </c>
      <c r="G21" s="311" t="s">
        <v>1</v>
      </c>
      <c r="H21" s="311" t="s">
        <v>5334</v>
      </c>
      <c r="I21" s="311"/>
      <c r="J21" s="311"/>
      <c r="K21" s="311"/>
      <c r="L21" s="311"/>
      <c r="M21" s="311"/>
      <c r="N21" s="360"/>
      <c r="O21" s="360"/>
      <c r="P21" s="360"/>
      <c r="Q21" s="360"/>
      <c r="R21" s="360"/>
      <c r="S21" s="360"/>
      <c r="T21" s="360"/>
      <c r="U21" s="360"/>
      <c r="V21" s="311" t="s">
        <v>5327</v>
      </c>
      <c r="W21" s="360" t="s">
        <v>5333</v>
      </c>
      <c r="X21" s="360"/>
      <c r="Y21" s="311" t="s">
        <v>5377</v>
      </c>
      <c r="Z21" s="311"/>
      <c r="AA21" s="360" t="str">
        <f t="shared" si="1"/>
        <v>MbrSetnVO.java</v>
      </c>
      <c r="AB21" s="13" t="str">
        <f t="shared" si="2"/>
        <v/>
      </c>
      <c r="AC21" s="332"/>
      <c r="AD21" s="332"/>
      <c r="AE21" s="332"/>
      <c r="AF21" s="332"/>
      <c r="AG21" s="332"/>
      <c r="AH21" s="332"/>
      <c r="AI21" s="332"/>
      <c r="AJ21" s="332"/>
    </row>
    <row r="22" spans="1:36" s="333" customFormat="1" ht="16.05" customHeight="1">
      <c r="A22" s="350" t="s">
        <v>5175</v>
      </c>
      <c r="B22" s="332"/>
      <c r="C22" s="52"/>
      <c r="D22" s="52" t="str">
        <f t="shared" si="0"/>
        <v>kr.go.prpr.app.vo</v>
      </c>
      <c r="E22" s="360"/>
      <c r="F22" s="311" t="s">
        <v>5384</v>
      </c>
      <c r="G22" s="311" t="s">
        <v>5335</v>
      </c>
      <c r="H22" s="311" t="s">
        <v>5336</v>
      </c>
      <c r="I22" s="311"/>
      <c r="J22" s="311"/>
      <c r="K22" s="311"/>
      <c r="L22" s="311"/>
      <c r="M22" s="311"/>
      <c r="N22" s="360"/>
      <c r="O22" s="360"/>
      <c r="P22" s="360"/>
      <c r="Q22" s="360"/>
      <c r="R22" s="360"/>
      <c r="S22" s="360"/>
      <c r="T22" s="360"/>
      <c r="U22" s="360"/>
      <c r="V22" s="311" t="s">
        <v>5327</v>
      </c>
      <c r="W22" s="360" t="s">
        <v>5370</v>
      </c>
      <c r="X22" s="360"/>
      <c r="Y22" s="311" t="s">
        <v>5377</v>
      </c>
      <c r="Z22" s="311"/>
      <c r="AA22" s="360" t="str">
        <f t="shared" si="1"/>
        <v>MoblEqpmVO.java</v>
      </c>
      <c r="AB22" s="13" t="str">
        <f t="shared" si="2"/>
        <v/>
      </c>
      <c r="AC22" s="332"/>
      <c r="AD22" s="332"/>
      <c r="AE22" s="332"/>
      <c r="AF22" s="332"/>
      <c r="AG22" s="332"/>
      <c r="AH22" s="332"/>
      <c r="AI22" s="332"/>
      <c r="AJ22" s="332"/>
    </row>
    <row r="23" spans="1:36" s="333" customFormat="1" ht="16.05" customHeight="1">
      <c r="A23" s="350" t="s">
        <v>5175</v>
      </c>
      <c r="B23" s="332"/>
      <c r="C23" s="52"/>
      <c r="D23" s="52" t="str">
        <f t="shared" si="0"/>
        <v>kr.go.prpr.app.vo</v>
      </c>
      <c r="E23" s="360"/>
      <c r="F23" s="311" t="s">
        <v>5384</v>
      </c>
      <c r="G23" s="311" t="s">
        <v>5269</v>
      </c>
      <c r="H23" s="311"/>
      <c r="I23" s="311"/>
      <c r="J23" s="311"/>
      <c r="K23" s="311"/>
      <c r="L23" s="311"/>
      <c r="M23" s="311"/>
      <c r="N23" s="360"/>
      <c r="O23" s="360"/>
      <c r="P23" s="360"/>
      <c r="Q23" s="360"/>
      <c r="R23" s="360"/>
      <c r="S23" s="360"/>
      <c r="T23" s="360"/>
      <c r="U23" s="360"/>
      <c r="V23" s="311" t="s">
        <v>5327</v>
      </c>
      <c r="W23" s="360" t="s">
        <v>5269</v>
      </c>
      <c r="X23" s="360"/>
      <c r="Y23" s="311" t="s">
        <v>5377</v>
      </c>
      <c r="Z23" s="311"/>
      <c r="AA23" s="360" t="str">
        <f t="shared" si="1"/>
        <v>NotcVO.java</v>
      </c>
      <c r="AB23" s="13" t="str">
        <f t="shared" si="2"/>
        <v/>
      </c>
      <c r="AC23" s="332"/>
      <c r="AD23" s="332"/>
      <c r="AE23" s="332"/>
      <c r="AF23" s="332"/>
      <c r="AG23" s="332"/>
      <c r="AH23" s="332"/>
      <c r="AI23" s="332"/>
      <c r="AJ23" s="332"/>
    </row>
    <row r="24" spans="1:36" s="333" customFormat="1" ht="16.05" customHeight="1">
      <c r="A24" s="350" t="s">
        <v>5175</v>
      </c>
      <c r="B24" s="332"/>
      <c r="C24" s="52"/>
      <c r="D24" s="52" t="str">
        <f t="shared" si="0"/>
        <v>kr.go.prpr.app.vo</v>
      </c>
      <c r="E24" s="360"/>
      <c r="F24" s="311" t="s">
        <v>5384</v>
      </c>
      <c r="G24" s="311" t="s">
        <v>5269</v>
      </c>
      <c r="H24" s="311" t="s">
        <v>858</v>
      </c>
      <c r="I24" s="311"/>
      <c r="J24" s="311"/>
      <c r="K24" s="311"/>
      <c r="L24" s="311"/>
      <c r="M24" s="311"/>
      <c r="N24" s="360"/>
      <c r="O24" s="360"/>
      <c r="P24" s="360"/>
      <c r="Q24" s="360"/>
      <c r="R24" s="360"/>
      <c r="S24" s="360"/>
      <c r="T24" s="360"/>
      <c r="U24" s="360"/>
      <c r="V24" s="311" t="s">
        <v>5327</v>
      </c>
      <c r="W24" s="360" t="s">
        <v>5371</v>
      </c>
      <c r="X24" s="360"/>
      <c r="Y24" s="311" t="s">
        <v>5377</v>
      </c>
      <c r="Z24" s="311"/>
      <c r="AA24" s="360" t="str">
        <f t="shared" si="1"/>
        <v>NotcSetnVO.java</v>
      </c>
      <c r="AB24" s="13" t="str">
        <f t="shared" si="2"/>
        <v/>
      </c>
      <c r="AC24" s="332"/>
      <c r="AD24" s="332"/>
      <c r="AE24" s="332"/>
      <c r="AF24" s="332"/>
      <c r="AG24" s="332"/>
      <c r="AH24" s="332"/>
      <c r="AI24" s="332"/>
      <c r="AJ24" s="332"/>
    </row>
    <row r="25" spans="1:36" s="333" customFormat="1" ht="16.05" customHeight="1">
      <c r="A25" s="350" t="s">
        <v>5175</v>
      </c>
      <c r="B25" s="332"/>
      <c r="C25" s="52"/>
      <c r="D25" s="52" t="str">
        <f t="shared" si="0"/>
        <v>kr.go.prpr.app.vo</v>
      </c>
      <c r="E25" s="360"/>
      <c r="F25" s="311" t="s">
        <v>5384</v>
      </c>
      <c r="G25" s="311" t="s">
        <v>5269</v>
      </c>
      <c r="H25" s="311" t="s">
        <v>1144</v>
      </c>
      <c r="I25" s="311"/>
      <c r="J25" s="311"/>
      <c r="K25" s="311"/>
      <c r="L25" s="311"/>
      <c r="M25" s="311"/>
      <c r="N25" s="360"/>
      <c r="O25" s="360"/>
      <c r="P25" s="360"/>
      <c r="Q25" s="360"/>
      <c r="R25" s="360"/>
      <c r="S25" s="360"/>
      <c r="T25" s="360"/>
      <c r="U25" s="360"/>
      <c r="V25" s="311" t="s">
        <v>5327</v>
      </c>
      <c r="W25" s="360" t="s">
        <v>5372</v>
      </c>
      <c r="X25" s="360"/>
      <c r="Y25" s="311" t="s">
        <v>5377</v>
      </c>
      <c r="Z25" s="311"/>
      <c r="AA25" s="360" t="str">
        <f t="shared" si="1"/>
        <v>NotcSndVO.java</v>
      </c>
      <c r="AB25" s="13" t="str">
        <f t="shared" si="2"/>
        <v/>
      </c>
      <c r="AC25" s="332"/>
      <c r="AD25" s="332"/>
      <c r="AE25" s="332"/>
      <c r="AF25" s="332"/>
      <c r="AG25" s="332"/>
      <c r="AH25" s="332"/>
      <c r="AI25" s="332"/>
      <c r="AJ25" s="332"/>
    </row>
    <row r="26" spans="1:36" s="333" customFormat="1" ht="16.05" customHeight="1">
      <c r="A26" s="350" t="s">
        <v>5175</v>
      </c>
      <c r="B26" s="332"/>
      <c r="C26" s="52"/>
      <c r="D26" s="52" t="str">
        <f t="shared" si="0"/>
        <v>kr.go.prpr.app.vo</v>
      </c>
      <c r="E26" s="360"/>
      <c r="F26" s="311" t="s">
        <v>5384</v>
      </c>
      <c r="G26" s="311" t="s">
        <v>2483</v>
      </c>
      <c r="H26" s="311"/>
      <c r="I26" s="311"/>
      <c r="J26" s="311"/>
      <c r="K26" s="311"/>
      <c r="L26" s="311"/>
      <c r="M26" s="311"/>
      <c r="N26" s="360"/>
      <c r="O26" s="360"/>
      <c r="P26" s="360"/>
      <c r="Q26" s="360"/>
      <c r="R26" s="360"/>
      <c r="S26" s="360"/>
      <c r="T26" s="360"/>
      <c r="U26" s="360"/>
      <c r="V26" s="311" t="s">
        <v>5327</v>
      </c>
      <c r="W26" s="360" t="s">
        <v>2483</v>
      </c>
      <c r="X26" s="360"/>
      <c r="Y26" s="311" t="s">
        <v>5377</v>
      </c>
      <c r="Z26" s="311"/>
      <c r="AA26" s="360" t="str">
        <f t="shared" si="1"/>
        <v>PrgnVO.java</v>
      </c>
      <c r="AB26" s="13" t="str">
        <f t="shared" si="2"/>
        <v/>
      </c>
      <c r="AC26" s="332"/>
      <c r="AD26" s="332"/>
      <c r="AE26" s="332"/>
      <c r="AF26" s="332"/>
      <c r="AG26" s="332"/>
      <c r="AH26" s="332"/>
      <c r="AI26" s="332"/>
      <c r="AJ26" s="332"/>
    </row>
    <row r="27" spans="1:36" s="333" customFormat="1" ht="16.05" customHeight="1">
      <c r="A27" s="350" t="s">
        <v>5175</v>
      </c>
      <c r="B27" s="332"/>
      <c r="C27" s="52"/>
      <c r="D27" s="52" t="str">
        <f t="shared" si="0"/>
        <v>kr.go.prpr.app.vo</v>
      </c>
      <c r="E27" s="360"/>
      <c r="F27" s="311" t="s">
        <v>5384</v>
      </c>
      <c r="G27" s="311" t="s">
        <v>2483</v>
      </c>
      <c r="H27" s="311" t="s">
        <v>1203</v>
      </c>
      <c r="I27" s="311"/>
      <c r="J27" s="311"/>
      <c r="K27" s="311"/>
      <c r="L27" s="311"/>
      <c r="M27" s="311"/>
      <c r="N27" s="360"/>
      <c r="O27" s="360"/>
      <c r="P27" s="360"/>
      <c r="Q27" s="360"/>
      <c r="R27" s="360"/>
      <c r="S27" s="360"/>
      <c r="T27" s="360"/>
      <c r="U27" s="360"/>
      <c r="V27" s="311" t="s">
        <v>5327</v>
      </c>
      <c r="W27" s="360" t="s">
        <v>5373</v>
      </c>
      <c r="X27" s="360"/>
      <c r="Y27" s="311" t="s">
        <v>5377</v>
      </c>
      <c r="Z27" s="311"/>
      <c r="AA27" s="360" t="str">
        <f t="shared" si="1"/>
        <v>PrgnExmVO.java</v>
      </c>
      <c r="AB27" s="13" t="str">
        <f t="shared" si="2"/>
        <v/>
      </c>
      <c r="AC27" s="332"/>
      <c r="AD27" s="332"/>
      <c r="AE27" s="332"/>
      <c r="AF27" s="332"/>
      <c r="AG27" s="332"/>
      <c r="AH27" s="332"/>
      <c r="AI27" s="332"/>
      <c r="AJ27" s="332"/>
    </row>
    <row r="28" spans="1:36" s="333" customFormat="1" ht="16.05" customHeight="1">
      <c r="A28" s="350" t="s">
        <v>5175</v>
      </c>
      <c r="B28" s="332"/>
      <c r="C28" s="52"/>
      <c r="D28" s="52" t="str">
        <f t="shared" si="0"/>
        <v>kr.go.prpr.app.vo</v>
      </c>
      <c r="E28" s="360"/>
      <c r="F28" s="311" t="s">
        <v>5384</v>
      </c>
      <c r="G28" s="311" t="s">
        <v>1662</v>
      </c>
      <c r="H28" s="311"/>
      <c r="I28" s="311"/>
      <c r="J28" s="311"/>
      <c r="K28" s="311"/>
      <c r="L28" s="311"/>
      <c r="M28" s="311"/>
      <c r="N28" s="360"/>
      <c r="O28" s="360"/>
      <c r="P28" s="360"/>
      <c r="Q28" s="360"/>
      <c r="R28" s="360"/>
      <c r="S28" s="360"/>
      <c r="T28" s="360"/>
      <c r="U28" s="360"/>
      <c r="V28" s="311" t="s">
        <v>5327</v>
      </c>
      <c r="W28" s="360" t="s">
        <v>1662</v>
      </c>
      <c r="X28" s="360"/>
      <c r="Y28" s="311" t="s">
        <v>5377</v>
      </c>
      <c r="Z28" s="311"/>
      <c r="AA28" s="360" t="str">
        <f t="shared" si="1"/>
        <v>PrtrVO.java</v>
      </c>
      <c r="AB28" s="13" t="str">
        <f t="shared" si="2"/>
        <v/>
      </c>
      <c r="AC28" s="332"/>
      <c r="AD28" s="332"/>
      <c r="AE28" s="332"/>
      <c r="AF28" s="332"/>
      <c r="AG28" s="332"/>
      <c r="AH28" s="332"/>
      <c r="AI28" s="332"/>
      <c r="AJ28" s="332"/>
    </row>
    <row r="29" spans="1:36" s="333" customFormat="1" ht="16.05" customHeight="1">
      <c r="A29" s="350" t="s">
        <v>5175</v>
      </c>
      <c r="B29" s="332"/>
      <c r="C29" s="52"/>
      <c r="D29" s="52" t="str">
        <f t="shared" si="0"/>
        <v>kr.go.prpr.app.vo</v>
      </c>
      <c r="E29" s="360"/>
      <c r="F29" s="311" t="s">
        <v>5384</v>
      </c>
      <c r="G29" s="311" t="s">
        <v>109</v>
      </c>
      <c r="H29" s="311"/>
      <c r="I29" s="311"/>
      <c r="J29" s="311"/>
      <c r="K29" s="311"/>
      <c r="L29" s="311"/>
      <c r="M29" s="311"/>
      <c r="N29" s="360"/>
      <c r="O29" s="360"/>
      <c r="P29" s="360"/>
      <c r="Q29" s="360"/>
      <c r="R29" s="360"/>
      <c r="S29" s="360"/>
      <c r="T29" s="360"/>
      <c r="U29" s="360"/>
      <c r="V29" s="311" t="s">
        <v>5327</v>
      </c>
      <c r="W29" s="360" t="s">
        <v>109</v>
      </c>
      <c r="X29" s="360"/>
      <c r="Y29" s="311" t="s">
        <v>5377</v>
      </c>
      <c r="Z29" s="311"/>
      <c r="AA29" s="360" t="str">
        <f t="shared" si="1"/>
        <v>PtrVO.java</v>
      </c>
      <c r="AB29" s="13" t="str">
        <f t="shared" si="2"/>
        <v/>
      </c>
      <c r="AC29" s="332"/>
      <c r="AD29" s="332"/>
      <c r="AE29" s="332"/>
      <c r="AF29" s="332"/>
      <c r="AG29" s="332"/>
      <c r="AH29" s="332"/>
      <c r="AI29" s="332"/>
      <c r="AJ29" s="332"/>
    </row>
    <row r="30" spans="1:36" s="333" customFormat="1" ht="16.05" customHeight="1">
      <c r="A30" s="350" t="s">
        <v>5175</v>
      </c>
      <c r="B30" s="332"/>
      <c r="C30" s="52"/>
      <c r="D30" s="52" t="str">
        <f t="shared" si="0"/>
        <v>kr.go.prpr.app.vo</v>
      </c>
      <c r="E30" s="360"/>
      <c r="F30" s="311" t="s">
        <v>5384</v>
      </c>
      <c r="G30" s="311" t="s">
        <v>5309</v>
      </c>
      <c r="H30" s="311" t="s">
        <v>5310</v>
      </c>
      <c r="I30" s="311"/>
      <c r="J30" s="311"/>
      <c r="K30" s="311"/>
      <c r="L30" s="311"/>
      <c r="M30" s="311"/>
      <c r="N30" s="360"/>
      <c r="O30" s="360"/>
      <c r="P30" s="360"/>
      <c r="Q30" s="360"/>
      <c r="R30" s="360"/>
      <c r="S30" s="360"/>
      <c r="T30" s="360"/>
      <c r="U30" s="360"/>
      <c r="V30" s="311" t="s">
        <v>5327</v>
      </c>
      <c r="W30" s="360" t="s">
        <v>5374</v>
      </c>
      <c r="X30" s="360"/>
      <c r="Y30" s="311" t="s">
        <v>5377</v>
      </c>
      <c r="Z30" s="311"/>
      <c r="AA30" s="360" t="str">
        <f t="shared" si="1"/>
        <v>RglrMedxVO.java</v>
      </c>
      <c r="AB30" s="13" t="str">
        <f t="shared" si="2"/>
        <v/>
      </c>
      <c r="AC30" s="332"/>
      <c r="AD30" s="332"/>
      <c r="AE30" s="332"/>
      <c r="AF30" s="332"/>
      <c r="AG30" s="332"/>
      <c r="AH30" s="332"/>
      <c r="AI30" s="332"/>
      <c r="AJ30" s="332"/>
    </row>
    <row r="31" spans="1:36" s="333" customFormat="1" ht="16.05" customHeight="1" thickBot="1">
      <c r="A31" s="350" t="s">
        <v>5175</v>
      </c>
      <c r="B31" s="332"/>
      <c r="C31" s="52"/>
      <c r="D31" s="52" t="str">
        <f t="shared" si="0"/>
        <v>kr.go.prpr.app.vo</v>
      </c>
      <c r="E31" s="360"/>
      <c r="F31" s="311" t="s">
        <v>5384</v>
      </c>
      <c r="G31" s="311" t="s">
        <v>5309</v>
      </c>
      <c r="H31" s="311" t="s">
        <v>5310</v>
      </c>
      <c r="I31" s="311" t="s">
        <v>2637</v>
      </c>
      <c r="J31" s="311"/>
      <c r="K31" s="311"/>
      <c r="L31" s="311"/>
      <c r="M31" s="311"/>
      <c r="N31" s="360"/>
      <c r="O31" s="360"/>
      <c r="P31" s="360"/>
      <c r="Q31" s="360"/>
      <c r="R31" s="360"/>
      <c r="S31" s="360"/>
      <c r="T31" s="360"/>
      <c r="U31" s="360"/>
      <c r="V31" s="311" t="s">
        <v>5327</v>
      </c>
      <c r="W31" s="360" t="s">
        <v>5375</v>
      </c>
      <c r="X31" s="360"/>
      <c r="Y31" s="311" t="s">
        <v>5377</v>
      </c>
      <c r="Z31" s="311"/>
      <c r="AA31" s="360" t="str">
        <f t="shared" si="1"/>
        <v>RglrMedxEmbrVO.java</v>
      </c>
      <c r="AB31" s="13" t="str">
        <f t="shared" si="2"/>
        <v/>
      </c>
      <c r="AC31" s="332"/>
      <c r="AD31" s="332"/>
      <c r="AE31" s="332"/>
      <c r="AF31" s="332"/>
      <c r="AG31" s="332"/>
      <c r="AH31" s="332"/>
      <c r="AI31" s="332"/>
      <c r="AJ31" s="332"/>
    </row>
    <row r="32" spans="1:36" s="337" customFormat="1" ht="16.05" customHeight="1">
      <c r="A32" s="343"/>
      <c r="B32" s="336"/>
      <c r="C32" s="335" t="s">
        <v>1606</v>
      </c>
      <c r="D32" s="335" t="str">
        <f t="shared" si="0"/>
        <v>kr.go.prpr.app.mbr.web</v>
      </c>
      <c r="E32" s="336"/>
      <c r="F32" s="335"/>
      <c r="G32" s="335" t="s">
        <v>12</v>
      </c>
      <c r="H32" s="335"/>
      <c r="I32" s="335"/>
      <c r="J32" s="335"/>
      <c r="K32" s="335"/>
      <c r="L32" s="335"/>
      <c r="M32" s="335"/>
      <c r="N32" s="336"/>
      <c r="O32" s="336"/>
      <c r="P32" s="336"/>
      <c r="Q32" s="336"/>
      <c r="R32" s="336"/>
      <c r="S32" s="336"/>
      <c r="T32" s="336"/>
      <c r="U32" s="336"/>
      <c r="V32" s="335" t="s">
        <v>5168</v>
      </c>
      <c r="W32" s="336" t="s">
        <v>5261</v>
      </c>
      <c r="X32" s="336"/>
      <c r="Y32" s="335" t="s">
        <v>5377</v>
      </c>
      <c r="Z32" s="335"/>
      <c r="AA32" s="336" t="str">
        <f t="shared" si="1"/>
        <v>MbrLoginController.java</v>
      </c>
      <c r="AB32" s="336" t="str">
        <f t="shared" si="2"/>
        <v/>
      </c>
      <c r="AC32" s="336"/>
      <c r="AD32" s="336"/>
      <c r="AE32" s="336"/>
      <c r="AF32" s="336"/>
      <c r="AG32" s="336"/>
      <c r="AH32" s="336"/>
      <c r="AI32" s="336"/>
      <c r="AJ32" s="336"/>
    </row>
    <row r="33" spans="1:36" s="358" customFormat="1" ht="16.05" customHeight="1">
      <c r="A33" s="352" t="s">
        <v>5262</v>
      </c>
      <c r="B33" s="353"/>
      <c r="C33" s="354" t="s">
        <v>1606</v>
      </c>
      <c r="D33" s="355" t="str">
        <f t="shared" si="0"/>
        <v/>
      </c>
      <c r="E33" s="353"/>
      <c r="F33" s="354" t="s">
        <v>5383</v>
      </c>
      <c r="G33" s="354" t="s">
        <v>12</v>
      </c>
      <c r="H33" s="354"/>
      <c r="I33" s="354"/>
      <c r="J33" s="354"/>
      <c r="K33" s="354"/>
      <c r="L33" s="354"/>
      <c r="M33" s="354"/>
      <c r="N33" s="353"/>
      <c r="O33" s="353"/>
      <c r="P33" s="353"/>
      <c r="Q33" s="353"/>
      <c r="R33" s="353"/>
      <c r="S33" s="353"/>
      <c r="T33" s="353"/>
      <c r="U33" s="353"/>
      <c r="V33" s="354" t="s">
        <v>1907</v>
      </c>
      <c r="W33" s="353" t="s">
        <v>2</v>
      </c>
      <c r="X33" s="353"/>
      <c r="Y33" s="354" t="s">
        <v>5166</v>
      </c>
      <c r="Z33" s="354"/>
      <c r="AA33" s="353" t="str">
        <f t="shared" si="1"/>
        <v>viewMbrLogin</v>
      </c>
      <c r="AB33" s="356" t="str">
        <f t="shared" si="2"/>
        <v>/mbr/login.do</v>
      </c>
      <c r="AC33" s="353"/>
      <c r="AD33" s="357">
        <v>44508</v>
      </c>
      <c r="AE33" s="357">
        <v>44510</v>
      </c>
      <c r="AF33" s="353"/>
      <c r="AG33" s="353"/>
      <c r="AH33" s="353"/>
      <c r="AI33" s="353"/>
      <c r="AJ33" s="353"/>
    </row>
    <row r="34" spans="1:36" s="358" customFormat="1" ht="16.05" customHeight="1">
      <c r="A34" s="352"/>
      <c r="B34" s="353"/>
      <c r="C34" s="354" t="s">
        <v>1606</v>
      </c>
      <c r="D34" s="355" t="str">
        <f t="shared" si="0"/>
        <v/>
      </c>
      <c r="E34" s="353"/>
      <c r="F34" s="354" t="s">
        <v>5383</v>
      </c>
      <c r="G34" s="354" t="s">
        <v>5323</v>
      </c>
      <c r="H34" s="354"/>
      <c r="I34" s="354"/>
      <c r="J34" s="354"/>
      <c r="K34" s="354"/>
      <c r="L34" s="354"/>
      <c r="M34" s="354"/>
      <c r="N34" s="353"/>
      <c r="O34" s="353"/>
      <c r="P34" s="353"/>
      <c r="Q34" s="353"/>
      <c r="R34" s="353"/>
      <c r="S34" s="353"/>
      <c r="T34" s="353"/>
      <c r="U34" s="353"/>
      <c r="V34" s="354" t="s">
        <v>1907</v>
      </c>
      <c r="W34" s="353" t="s">
        <v>5322</v>
      </c>
      <c r="X34" s="353"/>
      <c r="Y34" s="354" t="s">
        <v>5166</v>
      </c>
      <c r="Z34" s="354"/>
      <c r="AA34" s="353" t="str">
        <f t="shared" si="1"/>
        <v>viewMbrLogout</v>
      </c>
      <c r="AB34" s="356" t="str">
        <f t="shared" si="2"/>
        <v>/mbr/logout.do</v>
      </c>
      <c r="AC34" s="353"/>
      <c r="AD34" s="357"/>
      <c r="AE34" s="357"/>
      <c r="AF34" s="353"/>
      <c r="AG34" s="353"/>
      <c r="AH34" s="353"/>
      <c r="AI34" s="353"/>
      <c r="AJ34" s="353"/>
    </row>
    <row r="35" spans="1:36" s="345" customFormat="1" ht="16.05" customHeight="1">
      <c r="A35" s="344"/>
      <c r="B35" s="8"/>
      <c r="C35" s="341" t="s">
        <v>1606</v>
      </c>
      <c r="D35" s="47" t="str">
        <f t="shared" si="0"/>
        <v/>
      </c>
      <c r="E35" s="8"/>
      <c r="F35" s="341" t="s">
        <v>5383</v>
      </c>
      <c r="G35" s="341" t="s">
        <v>2</v>
      </c>
      <c r="H35" s="341"/>
      <c r="I35" s="341"/>
      <c r="J35" s="341"/>
      <c r="K35" s="341"/>
      <c r="L35" s="341"/>
      <c r="M35" s="341"/>
      <c r="N35" s="8"/>
      <c r="O35" s="8"/>
      <c r="P35" s="8"/>
      <c r="Q35" s="8"/>
      <c r="R35" s="8"/>
      <c r="S35" s="8"/>
      <c r="T35" s="8"/>
      <c r="U35" s="8"/>
      <c r="V35" s="341" t="s">
        <v>5263</v>
      </c>
      <c r="W35" s="8" t="s">
        <v>2</v>
      </c>
      <c r="X35" s="8"/>
      <c r="Y35" s="341" t="s">
        <v>5324</v>
      </c>
      <c r="Z35" s="341" t="s">
        <v>5326</v>
      </c>
      <c r="AA35" s="8" t="str">
        <f t="shared" si="1"/>
        <v>execMbrLogin</v>
      </c>
      <c r="AB35" s="275" t="str">
        <f t="shared" si="2"/>
        <v>/api/mbr/login</v>
      </c>
      <c r="AC35" s="8"/>
      <c r="AD35" s="8"/>
      <c r="AE35" s="8"/>
      <c r="AF35" s="8"/>
      <c r="AG35" s="8"/>
      <c r="AH35" s="8"/>
      <c r="AI35" s="8"/>
      <c r="AJ35" s="8"/>
    </row>
    <row r="36" spans="1:36" s="358" customFormat="1" ht="16.05" customHeight="1">
      <c r="A36" s="352"/>
      <c r="B36" s="353"/>
      <c r="C36" s="354" t="s">
        <v>1606</v>
      </c>
      <c r="D36" s="355" t="str">
        <f t="shared" si="0"/>
        <v/>
      </c>
      <c r="E36" s="353"/>
      <c r="F36" s="354" t="s">
        <v>5383</v>
      </c>
      <c r="G36" s="354" t="s">
        <v>12</v>
      </c>
      <c r="H36" s="354"/>
      <c r="I36" s="354"/>
      <c r="J36" s="354"/>
      <c r="K36" s="354"/>
      <c r="L36" s="354"/>
      <c r="M36" s="354"/>
      <c r="N36" s="353"/>
      <c r="O36" s="353"/>
      <c r="P36" s="353"/>
      <c r="Q36" s="353"/>
      <c r="R36" s="353"/>
      <c r="S36" s="353"/>
      <c r="T36" s="353"/>
      <c r="U36" s="353"/>
      <c r="V36" s="354" t="s">
        <v>5173</v>
      </c>
      <c r="W36" s="353" t="s">
        <v>2</v>
      </c>
      <c r="X36" s="353"/>
      <c r="Y36" s="354" t="s">
        <v>5173</v>
      </c>
      <c r="Z36" s="354"/>
      <c r="AA36" s="353" t="str">
        <f t="shared" si="1"/>
        <v>/mbr/login.jsp</v>
      </c>
      <c r="AB36" s="356" t="str">
        <f t="shared" si="2"/>
        <v/>
      </c>
      <c r="AC36" s="353"/>
      <c r="AD36" s="353"/>
      <c r="AE36" s="353"/>
      <c r="AF36" s="353"/>
      <c r="AG36" s="353"/>
      <c r="AH36" s="353"/>
      <c r="AI36" s="353"/>
      <c r="AJ36" s="353"/>
    </row>
    <row r="37" spans="1:36" s="333" customFormat="1" ht="16.05" customHeight="1">
      <c r="A37" s="350"/>
      <c r="B37" s="332"/>
      <c r="C37" s="52" t="s">
        <v>1606</v>
      </c>
      <c r="D37" s="52" t="str">
        <f t="shared" si="0"/>
        <v>kr.go.prpr.app.mbr.service</v>
      </c>
      <c r="E37" s="332"/>
      <c r="F37" s="52" t="s">
        <v>5383</v>
      </c>
      <c r="G37" s="52" t="s">
        <v>12</v>
      </c>
      <c r="H37" s="52"/>
      <c r="I37" s="52"/>
      <c r="J37" s="52"/>
      <c r="K37" s="52"/>
      <c r="L37" s="52"/>
      <c r="M37" s="52"/>
      <c r="N37" s="332"/>
      <c r="O37" s="332"/>
      <c r="P37" s="332"/>
      <c r="Q37" s="332"/>
      <c r="R37" s="332"/>
      <c r="S37" s="332"/>
      <c r="T37" s="332"/>
      <c r="U37" s="332"/>
      <c r="V37" s="52" t="s">
        <v>5177</v>
      </c>
      <c r="W37" s="332" t="s">
        <v>4809</v>
      </c>
      <c r="X37" s="332"/>
      <c r="Y37" s="52" t="s">
        <v>5180</v>
      </c>
      <c r="Z37" s="52"/>
      <c r="AA37" s="332" t="str">
        <f t="shared" si="1"/>
        <v>MbrLoginService.java</v>
      </c>
      <c r="AB37" s="13" t="str">
        <f t="shared" si="2"/>
        <v/>
      </c>
      <c r="AC37" s="332"/>
      <c r="AD37" s="332"/>
      <c r="AE37" s="332"/>
      <c r="AF37" s="332"/>
      <c r="AG37" s="332"/>
      <c r="AH37" s="332"/>
      <c r="AI37" s="332"/>
      <c r="AJ37" s="332"/>
    </row>
    <row r="38" spans="1:36" s="333" customFormat="1" ht="16.05" customHeight="1">
      <c r="A38" s="350"/>
      <c r="B38" s="332"/>
      <c r="C38" s="52" t="s">
        <v>1606</v>
      </c>
      <c r="D38" s="52" t="str">
        <f t="shared" si="0"/>
        <v>kr.go.prpr.app.mbr.serviceimpl</v>
      </c>
      <c r="E38" s="332"/>
      <c r="F38" s="52" t="s">
        <v>5383</v>
      </c>
      <c r="G38" s="52" t="s">
        <v>12</v>
      </c>
      <c r="H38" s="52"/>
      <c r="I38" s="52"/>
      <c r="J38" s="52"/>
      <c r="K38" s="52"/>
      <c r="L38" s="52"/>
      <c r="M38" s="52"/>
      <c r="N38" s="332"/>
      <c r="O38" s="332"/>
      <c r="P38" s="332"/>
      <c r="Q38" s="332"/>
      <c r="R38" s="332"/>
      <c r="S38" s="332"/>
      <c r="T38" s="332"/>
      <c r="U38" s="332"/>
      <c r="V38" s="52" t="s">
        <v>5178</v>
      </c>
      <c r="W38" s="332" t="s">
        <v>4810</v>
      </c>
      <c r="X38" s="332"/>
      <c r="Y38" s="52" t="s">
        <v>5180</v>
      </c>
      <c r="Z38" s="52"/>
      <c r="AA38" s="332" t="str">
        <f t="shared" si="1"/>
        <v>MbrLoginServiceImpl.java</v>
      </c>
      <c r="AB38" s="13" t="str">
        <f t="shared" si="2"/>
        <v/>
      </c>
      <c r="AC38" s="332"/>
      <c r="AD38" s="332"/>
      <c r="AE38" s="332"/>
      <c r="AF38" s="332"/>
      <c r="AG38" s="332"/>
      <c r="AH38" s="332"/>
      <c r="AI38" s="332"/>
      <c r="AJ38" s="332"/>
    </row>
    <row r="39" spans="1:36" s="345" customFormat="1" ht="16.05" customHeight="1">
      <c r="A39" s="344"/>
      <c r="B39" s="8"/>
      <c r="C39" s="341" t="s">
        <v>1606</v>
      </c>
      <c r="D39" s="47" t="str">
        <f t="shared" si="0"/>
        <v/>
      </c>
      <c r="E39" s="8"/>
      <c r="F39" s="341" t="s">
        <v>5383</v>
      </c>
      <c r="G39" s="341" t="s">
        <v>12</v>
      </c>
      <c r="H39" s="341"/>
      <c r="I39" s="341"/>
      <c r="J39" s="341"/>
      <c r="K39" s="341"/>
      <c r="L39" s="341"/>
      <c r="M39" s="341"/>
      <c r="N39" s="8"/>
      <c r="O39" s="8"/>
      <c r="P39" s="8"/>
      <c r="Q39" s="8"/>
      <c r="R39" s="8"/>
      <c r="S39" s="8"/>
      <c r="T39" s="8"/>
      <c r="U39" s="8"/>
      <c r="V39" s="341" t="s">
        <v>2297</v>
      </c>
      <c r="W39" s="8" t="s">
        <v>5264</v>
      </c>
      <c r="X39" s="8"/>
      <c r="Y39" s="341" t="s">
        <v>5172</v>
      </c>
      <c r="Z39" s="341"/>
      <c r="AA39" s="8" t="str">
        <f t="shared" si="1"/>
        <v>selectMbrLogin</v>
      </c>
      <c r="AB39" s="275" t="str">
        <f t="shared" si="2"/>
        <v/>
      </c>
      <c r="AC39" s="8"/>
      <c r="AD39" s="8"/>
      <c r="AE39" s="8"/>
      <c r="AF39" s="8"/>
      <c r="AG39" s="8"/>
      <c r="AH39" s="8"/>
      <c r="AI39" s="8"/>
      <c r="AJ39" s="8"/>
    </row>
    <row r="40" spans="1:36" s="345" customFormat="1" ht="16.05" customHeight="1">
      <c r="A40" s="344"/>
      <c r="B40" s="8"/>
      <c r="C40" s="341" t="s">
        <v>1606</v>
      </c>
      <c r="D40" s="47" t="str">
        <f t="shared" si="0"/>
        <v/>
      </c>
      <c r="E40" s="8"/>
      <c r="F40" s="341" t="s">
        <v>5383</v>
      </c>
      <c r="G40" s="341" t="s">
        <v>12</v>
      </c>
      <c r="H40" s="341" t="s">
        <v>83</v>
      </c>
      <c r="I40" s="341"/>
      <c r="J40" s="341"/>
      <c r="K40" s="341"/>
      <c r="L40" s="341"/>
      <c r="M40" s="341"/>
      <c r="N40" s="8"/>
      <c r="O40" s="8"/>
      <c r="P40" s="8"/>
      <c r="Q40" s="8"/>
      <c r="R40" s="8"/>
      <c r="S40" s="8"/>
      <c r="T40" s="8"/>
      <c r="U40" s="8"/>
      <c r="V40" s="341" t="s">
        <v>2297</v>
      </c>
      <c r="W40" s="8" t="s">
        <v>5265</v>
      </c>
      <c r="X40" s="8"/>
      <c r="Y40" s="341" t="s">
        <v>30</v>
      </c>
      <c r="Z40" s="341"/>
      <c r="AA40" s="8" t="str">
        <f t="shared" si="1"/>
        <v>updateMbrLoginIp</v>
      </c>
      <c r="AB40" s="275" t="str">
        <f t="shared" si="2"/>
        <v/>
      </c>
      <c r="AC40" s="8"/>
      <c r="AD40" s="8"/>
      <c r="AE40" s="8"/>
      <c r="AF40" s="8"/>
      <c r="AG40" s="8"/>
      <c r="AH40" s="8"/>
      <c r="AI40" s="8"/>
      <c r="AJ40" s="8"/>
    </row>
    <row r="41" spans="1:36" s="333" customFormat="1" ht="16.05" customHeight="1">
      <c r="A41" s="350"/>
      <c r="B41" s="332"/>
      <c r="C41" s="52" t="s">
        <v>1606</v>
      </c>
      <c r="D41" s="52" t="str">
        <f t="shared" si="0"/>
        <v/>
      </c>
      <c r="E41" s="332"/>
      <c r="F41" s="52" t="s">
        <v>5383</v>
      </c>
      <c r="G41" s="52" t="s">
        <v>12</v>
      </c>
      <c r="H41" s="52"/>
      <c r="I41" s="52"/>
      <c r="J41" s="52"/>
      <c r="K41" s="52"/>
      <c r="L41" s="52"/>
      <c r="M41" s="52"/>
      <c r="N41" s="332"/>
      <c r="O41" s="332"/>
      <c r="P41" s="332"/>
      <c r="Q41" s="332"/>
      <c r="R41" s="332"/>
      <c r="S41" s="332"/>
      <c r="T41" s="332"/>
      <c r="U41" s="332"/>
      <c r="V41" s="52" t="s">
        <v>1070</v>
      </c>
      <c r="W41" s="332" t="s">
        <v>5266</v>
      </c>
      <c r="X41" s="332"/>
      <c r="Y41" s="52" t="s">
        <v>5185</v>
      </c>
      <c r="Z41" s="359" t="s">
        <v>5320</v>
      </c>
      <c r="AA41" s="332" t="str">
        <f t="shared" si="1"/>
        <v>/mbr/MbrLoginServiceSQL.xml</v>
      </c>
      <c r="AB41" s="13" t="str">
        <f t="shared" si="2"/>
        <v/>
      </c>
      <c r="AC41" s="332"/>
      <c r="AD41" s="332"/>
      <c r="AE41" s="332"/>
      <c r="AF41" s="332"/>
      <c r="AG41" s="332"/>
      <c r="AH41" s="332"/>
      <c r="AI41" s="332"/>
      <c r="AJ41" s="332"/>
    </row>
    <row r="42" spans="1:36" s="349" customFormat="1" ht="16.05" customHeight="1" thickBot="1">
      <c r="A42" s="346"/>
      <c r="B42" s="16"/>
      <c r="C42" s="347" t="s">
        <v>1606</v>
      </c>
      <c r="D42" s="348" t="str">
        <f t="shared" si="0"/>
        <v/>
      </c>
      <c r="E42" s="16"/>
      <c r="F42" s="347" t="s">
        <v>5383</v>
      </c>
      <c r="G42" s="347" t="s">
        <v>12</v>
      </c>
      <c r="H42" s="347"/>
      <c r="I42" s="347"/>
      <c r="J42" s="347"/>
      <c r="K42" s="347"/>
      <c r="L42" s="347"/>
      <c r="M42" s="347"/>
      <c r="N42" s="16"/>
      <c r="O42" s="16"/>
      <c r="P42" s="16"/>
      <c r="Q42" s="16"/>
      <c r="R42" s="16"/>
      <c r="S42" s="16"/>
      <c r="T42" s="16"/>
      <c r="U42" s="16"/>
      <c r="V42" s="347" t="s">
        <v>5181</v>
      </c>
      <c r="W42" s="16" t="s">
        <v>5264</v>
      </c>
      <c r="X42" s="16"/>
      <c r="Y42" s="347" t="s">
        <v>5172</v>
      </c>
      <c r="Z42" s="347"/>
      <c r="AA42" s="16" t="str">
        <f t="shared" si="1"/>
        <v>selectMbrLogin</v>
      </c>
      <c r="AB42" s="15" t="str">
        <f t="shared" si="2"/>
        <v/>
      </c>
      <c r="AC42" s="16"/>
      <c r="AD42" s="16"/>
      <c r="AE42" s="16"/>
      <c r="AF42" s="16"/>
      <c r="AG42" s="16"/>
      <c r="AH42" s="16"/>
      <c r="AI42" s="16"/>
      <c r="AJ42" s="16"/>
    </row>
    <row r="43" spans="1:36" s="337" customFormat="1" ht="16.05" customHeight="1">
      <c r="A43" s="343"/>
      <c r="B43" s="336"/>
      <c r="C43" s="335" t="s">
        <v>2483</v>
      </c>
      <c r="D43" s="335" t="str">
        <f t="shared" si="0"/>
        <v>kr.go.prpr.app.prgn.web</v>
      </c>
      <c r="E43" s="336"/>
      <c r="F43" s="335" t="s">
        <v>5383</v>
      </c>
      <c r="G43" s="335" t="s">
        <v>182</v>
      </c>
      <c r="H43" s="335"/>
      <c r="I43" s="335"/>
      <c r="J43" s="335"/>
      <c r="K43" s="335"/>
      <c r="L43" s="335"/>
      <c r="M43" s="335"/>
      <c r="N43" s="336"/>
      <c r="O43" s="336"/>
      <c r="P43" s="336"/>
      <c r="Q43" s="336"/>
      <c r="R43" s="336"/>
      <c r="S43" s="336"/>
      <c r="T43" s="336"/>
      <c r="U43" s="336"/>
      <c r="V43" s="335" t="s">
        <v>5168</v>
      </c>
      <c r="W43" s="336" t="s">
        <v>5267</v>
      </c>
      <c r="X43" s="336"/>
      <c r="Y43" s="335" t="s">
        <v>5377</v>
      </c>
      <c r="Z43" s="335"/>
      <c r="AA43" s="336" t="str">
        <f t="shared" si="1"/>
        <v>PrgnMainController.java</v>
      </c>
      <c r="AB43" s="334" t="str">
        <f t="shared" si="2"/>
        <v/>
      </c>
      <c r="AC43" s="336"/>
      <c r="AD43" s="336"/>
      <c r="AE43" s="336"/>
      <c r="AF43" s="336"/>
      <c r="AG43" s="336"/>
      <c r="AH43" s="336"/>
      <c r="AI43" s="336"/>
      <c r="AJ43" s="336"/>
    </row>
    <row r="44" spans="1:36" s="358" customFormat="1" ht="16.05" customHeight="1">
      <c r="A44" s="352" t="s">
        <v>4481</v>
      </c>
      <c r="B44" s="353"/>
      <c r="C44" s="354" t="s">
        <v>2483</v>
      </c>
      <c r="D44" s="355" t="str">
        <f t="shared" si="0"/>
        <v/>
      </c>
      <c r="E44" s="353"/>
      <c r="F44" s="354" t="s">
        <v>5383</v>
      </c>
      <c r="G44" s="354" t="s">
        <v>2710</v>
      </c>
      <c r="H44" s="354"/>
      <c r="I44" s="354"/>
      <c r="J44" s="354"/>
      <c r="K44" s="354"/>
      <c r="L44" s="354"/>
      <c r="M44" s="354"/>
      <c r="N44" s="353"/>
      <c r="O44" s="353"/>
      <c r="P44" s="353"/>
      <c r="Q44" s="353"/>
      <c r="R44" s="353"/>
      <c r="S44" s="353"/>
      <c r="T44" s="353"/>
      <c r="U44" s="353"/>
      <c r="V44" s="354" t="s">
        <v>1907</v>
      </c>
      <c r="W44" s="353" t="s">
        <v>4806</v>
      </c>
      <c r="X44" s="353"/>
      <c r="Y44" s="354" t="s">
        <v>5166</v>
      </c>
      <c r="Z44" s="354"/>
      <c r="AA44" s="353" t="str">
        <f t="shared" si="1"/>
        <v>viewPrgnMain</v>
      </c>
      <c r="AB44" s="356" t="str">
        <f t="shared" si="2"/>
        <v>/prgn/main.do</v>
      </c>
      <c r="AC44" s="353"/>
      <c r="AD44" s="357">
        <v>44511</v>
      </c>
      <c r="AE44" s="357">
        <v>44515</v>
      </c>
      <c r="AF44" s="353"/>
      <c r="AG44" s="353"/>
      <c r="AH44" s="353"/>
      <c r="AI44" s="353"/>
      <c r="AJ44" s="353"/>
    </row>
    <row r="45" spans="1:36" s="345" customFormat="1" ht="16.05" customHeight="1">
      <c r="A45" s="344"/>
      <c r="B45" s="8"/>
      <c r="C45" s="341" t="s">
        <v>2483</v>
      </c>
      <c r="D45" s="47" t="str">
        <f t="shared" si="0"/>
        <v/>
      </c>
      <c r="E45" s="8"/>
      <c r="F45" s="341" t="s">
        <v>5383</v>
      </c>
      <c r="G45" s="341" t="s">
        <v>559</v>
      </c>
      <c r="H45" s="341" t="s">
        <v>883</v>
      </c>
      <c r="I45" s="341"/>
      <c r="J45" s="341"/>
      <c r="K45" s="341"/>
      <c r="L45" s="341"/>
      <c r="M45" s="341"/>
      <c r="N45" s="8"/>
      <c r="O45" s="8"/>
      <c r="P45" s="8"/>
      <c r="Q45" s="8"/>
      <c r="R45" s="8"/>
      <c r="S45" s="8"/>
      <c r="T45" s="8"/>
      <c r="U45" s="8"/>
      <c r="V45" s="341" t="s">
        <v>5263</v>
      </c>
      <c r="W45" s="8" t="s">
        <v>5268</v>
      </c>
      <c r="X45" s="8"/>
      <c r="Y45" s="341" t="s">
        <v>5172</v>
      </c>
      <c r="Z45" s="341" t="s">
        <v>5317</v>
      </c>
      <c r="AA45" s="8" t="str">
        <f t="shared" si="1"/>
        <v>selectPrgnNtcItm</v>
      </c>
      <c r="AB45" s="275" t="str">
        <f t="shared" si="2"/>
        <v>/api/prgn/ntcItm</v>
      </c>
      <c r="AC45" s="8"/>
      <c r="AD45" s="8"/>
      <c r="AE45" s="8"/>
      <c r="AF45" s="8"/>
      <c r="AG45" s="8"/>
      <c r="AH45" s="8"/>
      <c r="AI45" s="8"/>
      <c r="AJ45" s="8"/>
    </row>
    <row r="46" spans="1:36" s="345" customFormat="1" ht="16.05" customHeight="1">
      <c r="A46" s="344"/>
      <c r="B46" s="8"/>
      <c r="C46" s="341" t="s">
        <v>2483</v>
      </c>
      <c r="D46" s="47" t="str">
        <f t="shared" si="0"/>
        <v/>
      </c>
      <c r="E46" s="8"/>
      <c r="F46" s="341" t="s">
        <v>5383</v>
      </c>
      <c r="G46" s="341" t="s">
        <v>5269</v>
      </c>
      <c r="H46" s="341" t="s">
        <v>1525</v>
      </c>
      <c r="I46" s="341"/>
      <c r="J46" s="341"/>
      <c r="K46" s="341"/>
      <c r="L46" s="341"/>
      <c r="M46" s="341"/>
      <c r="N46" s="8"/>
      <c r="O46" s="8"/>
      <c r="P46" s="8"/>
      <c r="Q46" s="8"/>
      <c r="R46" s="8"/>
      <c r="S46" s="8"/>
      <c r="T46" s="8"/>
      <c r="U46" s="8"/>
      <c r="V46" s="341" t="s">
        <v>5263</v>
      </c>
      <c r="W46" s="8" t="s">
        <v>5270</v>
      </c>
      <c r="X46" s="8"/>
      <c r="Y46" s="341" t="s">
        <v>5172</v>
      </c>
      <c r="Z46" s="341" t="s">
        <v>5317</v>
      </c>
      <c r="AA46" s="8" t="str">
        <f t="shared" si="1"/>
        <v>selectPrgnNotcInfo</v>
      </c>
      <c r="AB46" s="275" t="str">
        <f t="shared" si="2"/>
        <v>/api/prgn/notcInfo</v>
      </c>
      <c r="AC46" s="8"/>
      <c r="AD46" s="8"/>
      <c r="AE46" s="8"/>
      <c r="AF46" s="8"/>
      <c r="AG46" s="8"/>
      <c r="AH46" s="8"/>
      <c r="AI46" s="8"/>
      <c r="AJ46" s="8"/>
    </row>
    <row r="47" spans="1:36" s="358" customFormat="1" ht="16.05" customHeight="1">
      <c r="A47" s="352"/>
      <c r="B47" s="353"/>
      <c r="C47" s="354" t="s">
        <v>2483</v>
      </c>
      <c r="D47" s="355" t="str">
        <f t="shared" si="0"/>
        <v/>
      </c>
      <c r="E47" s="353"/>
      <c r="F47" s="354" t="s">
        <v>5383</v>
      </c>
      <c r="G47" s="354" t="s">
        <v>182</v>
      </c>
      <c r="H47" s="354"/>
      <c r="I47" s="354"/>
      <c r="J47" s="354"/>
      <c r="K47" s="354"/>
      <c r="L47" s="354"/>
      <c r="M47" s="354"/>
      <c r="N47" s="353"/>
      <c r="O47" s="353"/>
      <c r="P47" s="353"/>
      <c r="Q47" s="353"/>
      <c r="R47" s="353"/>
      <c r="S47" s="353"/>
      <c r="T47" s="353"/>
      <c r="U47" s="353"/>
      <c r="V47" s="354" t="s">
        <v>5173</v>
      </c>
      <c r="W47" s="353" t="s">
        <v>4806</v>
      </c>
      <c r="X47" s="353"/>
      <c r="Y47" s="354" t="s">
        <v>5173</v>
      </c>
      <c r="Z47" s="354"/>
      <c r="AA47" s="353" t="str">
        <f t="shared" si="1"/>
        <v>/prgn/main.jsp</v>
      </c>
      <c r="AB47" s="356" t="str">
        <f t="shared" si="2"/>
        <v/>
      </c>
      <c r="AC47" s="353"/>
      <c r="AD47" s="353"/>
      <c r="AE47" s="353"/>
      <c r="AF47" s="353"/>
      <c r="AG47" s="353"/>
      <c r="AH47" s="353"/>
      <c r="AI47" s="353"/>
      <c r="AJ47" s="353"/>
    </row>
    <row r="48" spans="1:36" s="333" customFormat="1" ht="16.05" customHeight="1">
      <c r="A48" s="350"/>
      <c r="B48" s="332"/>
      <c r="C48" s="52" t="s">
        <v>2483</v>
      </c>
      <c r="D48" s="52" t="str">
        <f t="shared" si="0"/>
        <v>kr.go.prpr.app.prgn.service</v>
      </c>
      <c r="E48" s="332"/>
      <c r="F48" s="52" t="s">
        <v>5383</v>
      </c>
      <c r="G48" s="52" t="s">
        <v>182</v>
      </c>
      <c r="H48" s="52"/>
      <c r="I48" s="52"/>
      <c r="J48" s="52"/>
      <c r="K48" s="52"/>
      <c r="L48" s="52"/>
      <c r="M48" s="52"/>
      <c r="N48" s="332"/>
      <c r="O48" s="332"/>
      <c r="P48" s="332"/>
      <c r="Q48" s="332"/>
      <c r="R48" s="332"/>
      <c r="S48" s="332"/>
      <c r="T48" s="332"/>
      <c r="U48" s="332"/>
      <c r="V48" s="52" t="s">
        <v>5177</v>
      </c>
      <c r="W48" s="332" t="s">
        <v>5271</v>
      </c>
      <c r="X48" s="332"/>
      <c r="Y48" s="52" t="s">
        <v>5377</v>
      </c>
      <c r="Z48" s="52"/>
      <c r="AA48" s="332" t="str">
        <f t="shared" si="1"/>
        <v>PrgnMainService.java</v>
      </c>
      <c r="AB48" s="13" t="str">
        <f t="shared" si="2"/>
        <v/>
      </c>
      <c r="AC48" s="332"/>
      <c r="AD48" s="332"/>
      <c r="AE48" s="332"/>
      <c r="AF48" s="332"/>
      <c r="AG48" s="332"/>
      <c r="AH48" s="332"/>
      <c r="AI48" s="332"/>
      <c r="AJ48" s="332"/>
    </row>
    <row r="49" spans="1:36" s="333" customFormat="1" ht="16.05" customHeight="1">
      <c r="A49" s="350"/>
      <c r="B49" s="332"/>
      <c r="C49" s="52" t="s">
        <v>2483</v>
      </c>
      <c r="D49" s="52" t="str">
        <f t="shared" si="0"/>
        <v>kr.go.prpr.app.prgn.serviceimpl</v>
      </c>
      <c r="E49" s="332"/>
      <c r="F49" s="52" t="s">
        <v>5383</v>
      </c>
      <c r="G49" s="52" t="s">
        <v>182</v>
      </c>
      <c r="H49" s="52"/>
      <c r="I49" s="52"/>
      <c r="J49" s="52"/>
      <c r="K49" s="52"/>
      <c r="L49" s="52"/>
      <c r="M49" s="52"/>
      <c r="N49" s="332"/>
      <c r="O49" s="332"/>
      <c r="P49" s="332"/>
      <c r="Q49" s="332"/>
      <c r="R49" s="332"/>
      <c r="S49" s="332"/>
      <c r="T49" s="332"/>
      <c r="U49" s="332"/>
      <c r="V49" s="52" t="s">
        <v>5178</v>
      </c>
      <c r="W49" s="332" t="s">
        <v>5272</v>
      </c>
      <c r="X49" s="332"/>
      <c r="Y49" s="338" t="s">
        <v>5377</v>
      </c>
      <c r="Z49" s="52"/>
      <c r="AA49" s="332" t="str">
        <f t="shared" si="1"/>
        <v>PrgnMainServiceImpl.java</v>
      </c>
      <c r="AB49" s="13" t="str">
        <f t="shared" si="2"/>
        <v/>
      </c>
      <c r="AC49" s="332"/>
      <c r="AD49" s="332"/>
      <c r="AE49" s="332"/>
      <c r="AF49" s="332"/>
      <c r="AG49" s="332"/>
      <c r="AH49" s="332"/>
      <c r="AI49" s="332"/>
      <c r="AJ49" s="332"/>
    </row>
    <row r="50" spans="1:36" s="345" customFormat="1" ht="16.05" customHeight="1">
      <c r="A50" s="344"/>
      <c r="B50" s="8"/>
      <c r="C50" s="341" t="s">
        <v>2483</v>
      </c>
      <c r="D50" s="47" t="str">
        <f t="shared" si="0"/>
        <v/>
      </c>
      <c r="E50" s="8"/>
      <c r="F50" s="341" t="s">
        <v>5383</v>
      </c>
      <c r="G50" s="341" t="s">
        <v>559</v>
      </c>
      <c r="H50" s="341" t="s">
        <v>883</v>
      </c>
      <c r="I50" s="341"/>
      <c r="J50" s="341"/>
      <c r="K50" s="341"/>
      <c r="L50" s="341"/>
      <c r="M50" s="341"/>
      <c r="N50" s="8"/>
      <c r="O50" s="8"/>
      <c r="P50" s="8"/>
      <c r="Q50" s="8"/>
      <c r="R50" s="8"/>
      <c r="S50" s="8"/>
      <c r="T50" s="8"/>
      <c r="U50" s="8"/>
      <c r="V50" s="341" t="s">
        <v>2297</v>
      </c>
      <c r="W50" s="8" t="s">
        <v>5268</v>
      </c>
      <c r="X50" s="8"/>
      <c r="Y50" s="341" t="s">
        <v>5172</v>
      </c>
      <c r="Z50" s="341" t="s">
        <v>5317</v>
      </c>
      <c r="AA50" s="8" t="str">
        <f t="shared" si="1"/>
        <v>selectGetPrgnNtcItm</v>
      </c>
      <c r="AB50" s="275" t="str">
        <f t="shared" si="2"/>
        <v/>
      </c>
      <c r="AC50" s="8"/>
      <c r="AD50" s="8"/>
      <c r="AE50" s="8"/>
      <c r="AF50" s="8"/>
      <c r="AG50" s="8"/>
      <c r="AH50" s="8"/>
      <c r="AI50" s="8"/>
      <c r="AJ50" s="8"/>
    </row>
    <row r="51" spans="1:36" s="345" customFormat="1" ht="16.05" customHeight="1">
      <c r="A51" s="344"/>
      <c r="B51" s="8"/>
      <c r="C51" s="341" t="s">
        <v>2483</v>
      </c>
      <c r="D51" s="47" t="str">
        <f t="shared" si="0"/>
        <v/>
      </c>
      <c r="E51" s="8"/>
      <c r="F51" s="341" t="s">
        <v>5383</v>
      </c>
      <c r="G51" s="341" t="s">
        <v>5269</v>
      </c>
      <c r="H51" s="341" t="s">
        <v>1525</v>
      </c>
      <c r="I51" s="341"/>
      <c r="J51" s="341"/>
      <c r="K51" s="341"/>
      <c r="L51" s="341"/>
      <c r="M51" s="341"/>
      <c r="N51" s="8"/>
      <c r="O51" s="8"/>
      <c r="P51" s="8"/>
      <c r="Q51" s="8"/>
      <c r="R51" s="8"/>
      <c r="S51" s="8"/>
      <c r="T51" s="8"/>
      <c r="U51" s="8"/>
      <c r="V51" s="341" t="s">
        <v>2297</v>
      </c>
      <c r="W51" s="8" t="s">
        <v>5270</v>
      </c>
      <c r="X51" s="8"/>
      <c r="Y51" s="341" t="s">
        <v>5172</v>
      </c>
      <c r="Z51" s="341" t="s">
        <v>5317</v>
      </c>
      <c r="AA51" s="8" t="str">
        <f t="shared" si="1"/>
        <v>selectGetPrgnNotcInfo</v>
      </c>
      <c r="AB51" s="275" t="str">
        <f t="shared" si="2"/>
        <v/>
      </c>
      <c r="AC51" s="8"/>
      <c r="AD51" s="8"/>
      <c r="AE51" s="8"/>
      <c r="AF51" s="8"/>
      <c r="AG51" s="8"/>
      <c r="AH51" s="8"/>
      <c r="AI51" s="8"/>
      <c r="AJ51" s="8"/>
    </row>
    <row r="52" spans="1:36" s="333" customFormat="1" ht="16.05" customHeight="1">
      <c r="A52" s="350"/>
      <c r="B52" s="332"/>
      <c r="C52" s="52" t="s">
        <v>2483</v>
      </c>
      <c r="D52" s="52" t="str">
        <f t="shared" si="0"/>
        <v/>
      </c>
      <c r="E52" s="332"/>
      <c r="F52" s="52" t="s">
        <v>5383</v>
      </c>
      <c r="G52" s="52" t="s">
        <v>182</v>
      </c>
      <c r="H52" s="52"/>
      <c r="I52" s="52"/>
      <c r="J52" s="52"/>
      <c r="K52" s="52"/>
      <c r="L52" s="52"/>
      <c r="M52" s="52"/>
      <c r="N52" s="332"/>
      <c r="O52" s="332"/>
      <c r="P52" s="332"/>
      <c r="Q52" s="332"/>
      <c r="R52" s="332"/>
      <c r="S52" s="332"/>
      <c r="T52" s="332"/>
      <c r="U52" s="332"/>
      <c r="V52" s="52" t="s">
        <v>1070</v>
      </c>
      <c r="W52" s="332" t="s">
        <v>5273</v>
      </c>
      <c r="X52" s="332"/>
      <c r="Y52" s="52" t="s">
        <v>5185</v>
      </c>
      <c r="Z52" s="359" t="s">
        <v>5320</v>
      </c>
      <c r="AA52" s="332" t="str">
        <f t="shared" si="1"/>
        <v>/prgn/PrgnMainServiceSQL.xml</v>
      </c>
      <c r="AB52" s="13" t="str">
        <f t="shared" si="2"/>
        <v/>
      </c>
      <c r="AC52" s="332"/>
      <c r="AD52" s="332"/>
      <c r="AE52" s="332"/>
      <c r="AF52" s="332"/>
      <c r="AG52" s="332"/>
      <c r="AH52" s="332"/>
      <c r="AI52" s="332"/>
      <c r="AJ52" s="332"/>
    </row>
    <row r="53" spans="1:36" s="345" customFormat="1" ht="16.05" customHeight="1">
      <c r="A53" s="344"/>
      <c r="B53" s="8"/>
      <c r="C53" s="341" t="s">
        <v>2483</v>
      </c>
      <c r="D53" s="47" t="str">
        <f t="shared" si="0"/>
        <v/>
      </c>
      <c r="E53" s="8"/>
      <c r="F53" s="341" t="s">
        <v>5383</v>
      </c>
      <c r="G53" s="341" t="s">
        <v>559</v>
      </c>
      <c r="H53" s="341" t="s">
        <v>883</v>
      </c>
      <c r="I53" s="341"/>
      <c r="J53" s="341"/>
      <c r="K53" s="341"/>
      <c r="L53" s="341"/>
      <c r="M53" s="341"/>
      <c r="N53" s="8"/>
      <c r="O53" s="8"/>
      <c r="P53" s="8"/>
      <c r="Q53" s="8"/>
      <c r="R53" s="8"/>
      <c r="S53" s="8"/>
      <c r="T53" s="8"/>
      <c r="U53" s="8"/>
      <c r="V53" s="341" t="s">
        <v>5181</v>
      </c>
      <c r="W53" s="8" t="s">
        <v>5268</v>
      </c>
      <c r="X53" s="8"/>
      <c r="Y53" s="341" t="s">
        <v>5172</v>
      </c>
      <c r="Z53" s="341"/>
      <c r="AA53" s="8" t="str">
        <f t="shared" si="1"/>
        <v>selectPrgnNtcItm</v>
      </c>
      <c r="AB53" s="275" t="str">
        <f t="shared" si="2"/>
        <v/>
      </c>
      <c r="AC53" s="8"/>
      <c r="AD53" s="8"/>
      <c r="AE53" s="8"/>
      <c r="AF53" s="8"/>
      <c r="AG53" s="8"/>
      <c r="AH53" s="8"/>
      <c r="AI53" s="8"/>
      <c r="AJ53" s="8"/>
    </row>
    <row r="54" spans="1:36" s="349" customFormat="1" ht="16.05" customHeight="1" thickBot="1">
      <c r="A54" s="346"/>
      <c r="B54" s="16"/>
      <c r="C54" s="347" t="s">
        <v>2483</v>
      </c>
      <c r="D54" s="348" t="str">
        <f t="shared" si="0"/>
        <v/>
      </c>
      <c r="E54" s="16"/>
      <c r="F54" s="347" t="s">
        <v>5383</v>
      </c>
      <c r="G54" s="347" t="s">
        <v>5269</v>
      </c>
      <c r="H54" s="347" t="s">
        <v>1525</v>
      </c>
      <c r="I54" s="347"/>
      <c r="J54" s="347"/>
      <c r="K54" s="347"/>
      <c r="L54" s="347"/>
      <c r="M54" s="347"/>
      <c r="N54" s="16"/>
      <c r="O54" s="16"/>
      <c r="P54" s="16"/>
      <c r="Q54" s="16"/>
      <c r="R54" s="16"/>
      <c r="S54" s="16"/>
      <c r="T54" s="16"/>
      <c r="U54" s="16"/>
      <c r="V54" s="347" t="s">
        <v>5181</v>
      </c>
      <c r="W54" s="16" t="s">
        <v>5270</v>
      </c>
      <c r="X54" s="16"/>
      <c r="Y54" s="347" t="s">
        <v>5172</v>
      </c>
      <c r="Z54" s="347"/>
      <c r="AA54" s="16" t="str">
        <f t="shared" si="1"/>
        <v>selectPrgnNotcInfo</v>
      </c>
      <c r="AB54" s="15" t="str">
        <f t="shared" si="2"/>
        <v/>
      </c>
      <c r="AC54" s="16"/>
      <c r="AD54" s="16"/>
      <c r="AE54" s="16"/>
      <c r="AF54" s="16"/>
      <c r="AG54" s="16"/>
      <c r="AH54" s="16"/>
      <c r="AI54" s="16"/>
      <c r="AJ54" s="16"/>
    </row>
    <row r="55" spans="1:36" s="333" customFormat="1" ht="16.05" customHeight="1">
      <c r="A55" s="351"/>
      <c r="B55" s="339"/>
      <c r="C55" s="338" t="s">
        <v>1606</v>
      </c>
      <c r="D55" s="338" t="str">
        <f t="shared" si="0"/>
        <v>kr.go.prpr.app.mbr.web</v>
      </c>
      <c r="E55" s="339"/>
      <c r="F55" s="338" t="s">
        <v>5384</v>
      </c>
      <c r="G55" s="338" t="s">
        <v>1268</v>
      </c>
      <c r="H55" s="338"/>
      <c r="I55" s="338"/>
      <c r="J55" s="338"/>
      <c r="K55" s="338"/>
      <c r="L55" s="338"/>
      <c r="M55" s="338"/>
      <c r="N55" s="339"/>
      <c r="O55" s="339"/>
      <c r="P55" s="339"/>
      <c r="Q55" s="339"/>
      <c r="R55" s="339"/>
      <c r="S55" s="339"/>
      <c r="T55" s="339"/>
      <c r="U55" s="339"/>
      <c r="V55" s="338" t="s">
        <v>5168</v>
      </c>
      <c r="W55" s="339" t="s">
        <v>5274</v>
      </c>
      <c r="X55" s="339"/>
      <c r="Y55" s="335" t="s">
        <v>5377</v>
      </c>
      <c r="Z55" s="338"/>
      <c r="AA55" s="339" t="str">
        <f t="shared" si="1"/>
        <v>MbrJoinController.java</v>
      </c>
      <c r="AB55" s="14" t="str">
        <f t="shared" si="2"/>
        <v/>
      </c>
      <c r="AC55" s="339"/>
      <c r="AD55" s="339"/>
      <c r="AE55" s="339"/>
      <c r="AF55" s="339"/>
      <c r="AG55" s="339"/>
      <c r="AH55" s="339"/>
      <c r="AI55" s="339"/>
      <c r="AJ55" s="339"/>
    </row>
    <row r="56" spans="1:36" s="358" customFormat="1" ht="16.05" customHeight="1">
      <c r="A56" s="352" t="s">
        <v>4485</v>
      </c>
      <c r="B56" s="353"/>
      <c r="C56" s="354" t="s">
        <v>1606</v>
      </c>
      <c r="D56" s="355" t="str">
        <f t="shared" si="0"/>
        <v/>
      </c>
      <c r="E56" s="353"/>
      <c r="F56" s="354" t="s">
        <v>5384</v>
      </c>
      <c r="G56" s="354" t="s">
        <v>1268</v>
      </c>
      <c r="H56" s="354"/>
      <c r="I56" s="354"/>
      <c r="J56" s="354"/>
      <c r="K56" s="354"/>
      <c r="L56" s="354"/>
      <c r="M56" s="354"/>
      <c r="N56" s="353"/>
      <c r="O56" s="353"/>
      <c r="P56" s="353"/>
      <c r="Q56" s="353"/>
      <c r="R56" s="353"/>
      <c r="S56" s="353"/>
      <c r="T56" s="353"/>
      <c r="U56" s="353"/>
      <c r="V56" s="354" t="s">
        <v>1907</v>
      </c>
      <c r="W56" s="353" t="s">
        <v>5275</v>
      </c>
      <c r="X56" s="353"/>
      <c r="Y56" s="354" t="s">
        <v>5166</v>
      </c>
      <c r="Z56" s="354"/>
      <c r="AA56" s="353" t="str">
        <f t="shared" si="1"/>
        <v>viewMbrJoin</v>
      </c>
      <c r="AB56" s="356" t="str">
        <f t="shared" si="2"/>
        <v>/mbr/join.do</v>
      </c>
      <c r="AC56" s="353"/>
      <c r="AD56" s="357">
        <v>44516</v>
      </c>
      <c r="AE56" s="357">
        <v>44518</v>
      </c>
      <c r="AF56" s="353"/>
      <c r="AG56" s="353"/>
      <c r="AH56" s="353"/>
      <c r="AI56" s="353"/>
      <c r="AJ56" s="353"/>
    </row>
    <row r="57" spans="1:36" s="358" customFormat="1" ht="16.05" customHeight="1">
      <c r="A57" s="352" t="s">
        <v>4485</v>
      </c>
      <c r="B57" s="353"/>
      <c r="C57" s="354" t="s">
        <v>1606</v>
      </c>
      <c r="D57" s="355" t="str">
        <f t="shared" si="0"/>
        <v/>
      </c>
      <c r="E57" s="353"/>
      <c r="F57" s="354" t="s">
        <v>5384</v>
      </c>
      <c r="G57" s="354" t="s">
        <v>1268</v>
      </c>
      <c r="H57" s="354" t="s">
        <v>5382</v>
      </c>
      <c r="I57" s="354"/>
      <c r="J57" s="354"/>
      <c r="K57" s="354"/>
      <c r="L57" s="354"/>
      <c r="M57" s="354"/>
      <c r="N57" s="353"/>
      <c r="O57" s="353"/>
      <c r="P57" s="353"/>
      <c r="Q57" s="353"/>
      <c r="R57" s="353"/>
      <c r="S57" s="353"/>
      <c r="T57" s="353"/>
      <c r="U57" s="353"/>
      <c r="V57" s="354" t="s">
        <v>1907</v>
      </c>
      <c r="W57" s="353" t="s">
        <v>5381</v>
      </c>
      <c r="X57" s="353"/>
      <c r="Y57" s="354" t="s">
        <v>5166</v>
      </c>
      <c r="Z57" s="354"/>
      <c r="AA57" s="353" t="str">
        <f t="shared" si="1"/>
        <v>viewMbrJoinCmpl</v>
      </c>
      <c r="AB57" s="356" t="str">
        <f t="shared" si="2"/>
        <v>/mbr/joinCmpl.do</v>
      </c>
      <c r="AC57" s="353"/>
      <c r="AD57" s="357">
        <v>44516</v>
      </c>
      <c r="AE57" s="357">
        <v>44518</v>
      </c>
      <c r="AF57" s="353"/>
      <c r="AG57" s="353"/>
      <c r="AH57" s="353"/>
      <c r="AI57" s="353"/>
      <c r="AJ57" s="353"/>
    </row>
    <row r="58" spans="1:36" s="358" customFormat="1" ht="16.05" customHeight="1">
      <c r="A58" s="352" t="s">
        <v>4490</v>
      </c>
      <c r="B58" s="353"/>
      <c r="C58" s="354" t="s">
        <v>1606</v>
      </c>
      <c r="D58" s="355" t="str">
        <f t="shared" si="0"/>
        <v/>
      </c>
      <c r="E58" s="353"/>
      <c r="F58" s="354" t="s">
        <v>5384</v>
      </c>
      <c r="G58" s="354" t="s">
        <v>1236</v>
      </c>
      <c r="H58" s="354" t="s">
        <v>1525</v>
      </c>
      <c r="I58" s="354" t="s">
        <v>1136</v>
      </c>
      <c r="J58" s="354" t="s">
        <v>448</v>
      </c>
      <c r="K58" s="354" t="s">
        <v>513</v>
      </c>
      <c r="L58" s="354"/>
      <c r="M58" s="354"/>
      <c r="N58" s="353"/>
      <c r="O58" s="353"/>
      <c r="P58" s="353"/>
      <c r="Q58" s="353"/>
      <c r="R58" s="353"/>
      <c r="S58" s="353"/>
      <c r="T58" s="353"/>
      <c r="U58" s="353"/>
      <c r="V58" s="354" t="s">
        <v>1907</v>
      </c>
      <c r="W58" s="353" t="s">
        <v>5276</v>
      </c>
      <c r="X58" s="353"/>
      <c r="Y58" s="354" t="s">
        <v>5166</v>
      </c>
      <c r="Z58" s="354"/>
      <c r="AA58" s="353" t="str">
        <f t="shared" si="1"/>
        <v>viewMbrIndiInfoClctUseAgr</v>
      </c>
      <c r="AB58" s="356" t="str">
        <f t="shared" si="2"/>
        <v>/mbr/indiInfoClctUseAgr.do</v>
      </c>
      <c r="AC58" s="353"/>
      <c r="AD58" s="357">
        <v>44519</v>
      </c>
      <c r="AE58" s="357">
        <v>44519</v>
      </c>
      <c r="AF58" s="353"/>
      <c r="AG58" s="353"/>
      <c r="AH58" s="353"/>
      <c r="AI58" s="353"/>
      <c r="AJ58" s="353"/>
    </row>
    <row r="59" spans="1:36" s="358" customFormat="1" ht="16.05" customHeight="1">
      <c r="A59" s="352" t="s">
        <v>4492</v>
      </c>
      <c r="B59" s="353"/>
      <c r="C59" s="354" t="s">
        <v>1606</v>
      </c>
      <c r="D59" s="355" t="str">
        <f t="shared" si="0"/>
        <v/>
      </c>
      <c r="E59" s="353"/>
      <c r="F59" s="354" t="s">
        <v>5385</v>
      </c>
      <c r="G59" s="354" t="s">
        <v>117</v>
      </c>
      <c r="H59" s="354" t="s">
        <v>1671</v>
      </c>
      <c r="I59" s="354"/>
      <c r="J59" s="354"/>
      <c r="K59" s="354"/>
      <c r="L59" s="354"/>
      <c r="M59" s="354"/>
      <c r="N59" s="353"/>
      <c r="O59" s="353"/>
      <c r="P59" s="353"/>
      <c r="Q59" s="353"/>
      <c r="R59" s="353"/>
      <c r="S59" s="353"/>
      <c r="T59" s="353"/>
      <c r="U59" s="353"/>
      <c r="V59" s="354" t="s">
        <v>1907</v>
      </c>
      <c r="W59" s="353" t="s">
        <v>5379</v>
      </c>
      <c r="X59" s="353"/>
      <c r="Y59" s="354" t="s">
        <v>5166</v>
      </c>
      <c r="Z59" s="354"/>
      <c r="AA59" s="353" t="str">
        <f t="shared" si="1"/>
        <v>viewMbrOwnCnfm</v>
      </c>
      <c r="AB59" s="356" t="str">
        <f t="shared" si="2"/>
        <v>/mbr/ownCnfm.do</v>
      </c>
      <c r="AC59" s="353"/>
      <c r="AD59" s="357">
        <v>44607</v>
      </c>
      <c r="AE59" s="357">
        <v>44608</v>
      </c>
      <c r="AF59" s="353"/>
      <c r="AG59" s="353"/>
      <c r="AH59" s="353"/>
      <c r="AI59" s="353"/>
      <c r="AJ59" s="353"/>
    </row>
    <row r="60" spans="1:36" s="358" customFormat="1" ht="16.05" customHeight="1">
      <c r="A60" s="352" t="s">
        <v>4495</v>
      </c>
      <c r="B60" s="353"/>
      <c r="C60" s="354" t="s">
        <v>1606</v>
      </c>
      <c r="D60" s="355" t="str">
        <f t="shared" si="0"/>
        <v/>
      </c>
      <c r="E60" s="353"/>
      <c r="F60" s="354" t="s">
        <v>5384</v>
      </c>
      <c r="G60" s="354" t="s">
        <v>5277</v>
      </c>
      <c r="H60" s="354" t="s">
        <v>5278</v>
      </c>
      <c r="I60" s="354"/>
      <c r="J60" s="354"/>
      <c r="K60" s="354"/>
      <c r="L60" s="354"/>
      <c r="M60" s="354"/>
      <c r="N60" s="353"/>
      <c r="O60" s="353"/>
      <c r="P60" s="353"/>
      <c r="Q60" s="353"/>
      <c r="R60" s="353"/>
      <c r="S60" s="353"/>
      <c r="T60" s="353"/>
      <c r="U60" s="353"/>
      <c r="V60" s="354" t="s">
        <v>1907</v>
      </c>
      <c r="W60" s="353" t="s">
        <v>5092</v>
      </c>
      <c r="X60" s="353"/>
      <c r="Y60" s="354" t="s">
        <v>5166</v>
      </c>
      <c r="Z60" s="354"/>
      <c r="AA60" s="353" t="str">
        <f t="shared" si="1"/>
        <v>viewMbrIdSrch</v>
      </c>
      <c r="AB60" s="356" t="str">
        <f t="shared" si="2"/>
        <v>/mbr/idSrch.do</v>
      </c>
      <c r="AC60" s="353"/>
      <c r="AD60" s="357">
        <v>44522</v>
      </c>
      <c r="AE60" s="357">
        <v>44522</v>
      </c>
      <c r="AF60" s="353"/>
      <c r="AG60" s="353"/>
      <c r="AH60" s="353"/>
      <c r="AI60" s="353"/>
      <c r="AJ60" s="353"/>
    </row>
    <row r="61" spans="1:36" s="358" customFormat="1" ht="16.05" customHeight="1">
      <c r="A61" s="352" t="s">
        <v>4495</v>
      </c>
      <c r="B61" s="353"/>
      <c r="C61" s="354" t="s">
        <v>1606</v>
      </c>
      <c r="D61" s="355" t="str">
        <f t="shared" si="0"/>
        <v/>
      </c>
      <c r="E61" s="353"/>
      <c r="F61" s="354" t="s">
        <v>5384</v>
      </c>
      <c r="G61" s="354" t="s">
        <v>5277</v>
      </c>
      <c r="H61" s="354" t="s">
        <v>5278</v>
      </c>
      <c r="I61" s="354" t="s">
        <v>5386</v>
      </c>
      <c r="J61" s="354"/>
      <c r="K61" s="354"/>
      <c r="L61" s="354"/>
      <c r="M61" s="354"/>
      <c r="N61" s="353"/>
      <c r="O61" s="353"/>
      <c r="P61" s="353"/>
      <c r="Q61" s="353"/>
      <c r="R61" s="353"/>
      <c r="S61" s="353"/>
      <c r="T61" s="353"/>
      <c r="U61" s="353"/>
      <c r="V61" s="354" t="s">
        <v>1907</v>
      </c>
      <c r="W61" s="353" t="s">
        <v>5387</v>
      </c>
      <c r="X61" s="353"/>
      <c r="Y61" s="354" t="s">
        <v>5166</v>
      </c>
      <c r="Z61" s="354"/>
      <c r="AA61" s="353" t="str">
        <f t="shared" si="1"/>
        <v>viewMbrIdSrchRslt</v>
      </c>
      <c r="AB61" s="356" t="str">
        <f t="shared" si="2"/>
        <v>/mbr/idSrchRslt.do</v>
      </c>
      <c r="AC61" s="353"/>
      <c r="AD61" s="357">
        <v>44522</v>
      </c>
      <c r="AE61" s="357">
        <v>44522</v>
      </c>
      <c r="AF61" s="353"/>
      <c r="AG61" s="353"/>
      <c r="AH61" s="353"/>
      <c r="AI61" s="353"/>
      <c r="AJ61" s="353"/>
    </row>
    <row r="62" spans="1:36" s="358" customFormat="1" ht="16.05" customHeight="1">
      <c r="A62" s="352" t="s">
        <v>4498</v>
      </c>
      <c r="B62" s="353"/>
      <c r="C62" s="354" t="s">
        <v>1606</v>
      </c>
      <c r="D62" s="355" t="str">
        <f t="shared" si="0"/>
        <v/>
      </c>
      <c r="E62" s="353"/>
      <c r="F62" s="361" t="s">
        <v>5385</v>
      </c>
      <c r="G62" s="354" t="s">
        <v>5279</v>
      </c>
      <c r="H62" s="354" t="s">
        <v>5278</v>
      </c>
      <c r="I62" s="354"/>
      <c r="J62" s="354"/>
      <c r="K62" s="354"/>
      <c r="L62" s="354"/>
      <c r="M62" s="354"/>
      <c r="N62" s="353"/>
      <c r="O62" s="353"/>
      <c r="P62" s="353"/>
      <c r="Q62" s="353"/>
      <c r="R62" s="353"/>
      <c r="S62" s="353"/>
      <c r="T62" s="353"/>
      <c r="U62" s="353"/>
      <c r="V62" s="354" t="s">
        <v>1907</v>
      </c>
      <c r="W62" s="353" t="s">
        <v>5093</v>
      </c>
      <c r="X62" s="353"/>
      <c r="Y62" s="354" t="s">
        <v>5166</v>
      </c>
      <c r="Z62" s="354"/>
      <c r="AA62" s="353" t="str">
        <f t="shared" si="1"/>
        <v>viewMbrPwdSrch</v>
      </c>
      <c r="AB62" s="356" t="str">
        <f t="shared" si="2"/>
        <v>/mbr/pwdSrch.do</v>
      </c>
      <c r="AC62" s="353"/>
      <c r="AD62" s="357">
        <v>44523</v>
      </c>
      <c r="AE62" s="357">
        <v>44524</v>
      </c>
      <c r="AF62" s="353"/>
      <c r="AG62" s="353"/>
      <c r="AH62" s="353"/>
      <c r="AI62" s="353"/>
      <c r="AJ62" s="353"/>
    </row>
    <row r="63" spans="1:36" s="358" customFormat="1" ht="16.05" customHeight="1">
      <c r="A63" s="352" t="s">
        <v>4498</v>
      </c>
      <c r="B63" s="353"/>
      <c r="C63" s="354" t="s">
        <v>1606</v>
      </c>
      <c r="D63" s="355" t="str">
        <f t="shared" si="0"/>
        <v/>
      </c>
      <c r="E63" s="353"/>
      <c r="F63" s="361" t="s">
        <v>5385</v>
      </c>
      <c r="G63" s="354" t="s">
        <v>5279</v>
      </c>
      <c r="H63" s="354" t="s">
        <v>5278</v>
      </c>
      <c r="I63" s="354" t="s">
        <v>5199</v>
      </c>
      <c r="J63" s="354" t="s">
        <v>61</v>
      </c>
      <c r="K63" s="354"/>
      <c r="L63" s="354"/>
      <c r="M63" s="354"/>
      <c r="N63" s="353"/>
      <c r="O63" s="353"/>
      <c r="P63" s="353"/>
      <c r="Q63" s="353"/>
      <c r="R63" s="353"/>
      <c r="S63" s="353"/>
      <c r="T63" s="353"/>
      <c r="U63" s="353"/>
      <c r="V63" s="354" t="s">
        <v>1907</v>
      </c>
      <c r="W63" s="353" t="s">
        <v>5388</v>
      </c>
      <c r="X63" s="353"/>
      <c r="Y63" s="354" t="s">
        <v>5166</v>
      </c>
      <c r="Z63" s="354"/>
      <c r="AA63" s="353" t="str">
        <f t="shared" si="1"/>
        <v>viewMbrPwdSrchHpCert</v>
      </c>
      <c r="AB63" s="356" t="str">
        <f t="shared" si="2"/>
        <v>/mbr/pwdSrchHpCert.do</v>
      </c>
      <c r="AC63" s="353"/>
      <c r="AD63" s="357">
        <v>44523</v>
      </c>
      <c r="AE63" s="357">
        <v>44524</v>
      </c>
      <c r="AF63" s="353"/>
      <c r="AG63" s="353"/>
      <c r="AH63" s="353"/>
      <c r="AI63" s="353"/>
      <c r="AJ63" s="353"/>
    </row>
    <row r="64" spans="1:36" s="358" customFormat="1" ht="16.05" customHeight="1">
      <c r="A64" s="352" t="s">
        <v>4513</v>
      </c>
      <c r="B64" s="353"/>
      <c r="C64" s="354" t="s">
        <v>1606</v>
      </c>
      <c r="D64" s="355" t="str">
        <f t="shared" si="0"/>
        <v/>
      </c>
      <c r="E64" s="353"/>
      <c r="F64" s="354" t="s">
        <v>5385</v>
      </c>
      <c r="G64" s="354" t="s">
        <v>5280</v>
      </c>
      <c r="H64" s="354" t="s">
        <v>794</v>
      </c>
      <c r="I64" s="354"/>
      <c r="J64" s="354"/>
      <c r="K64" s="354"/>
      <c r="L64" s="354"/>
      <c r="M64" s="354"/>
      <c r="N64" s="353"/>
      <c r="O64" s="353"/>
      <c r="P64" s="353"/>
      <c r="Q64" s="353"/>
      <c r="R64" s="353"/>
      <c r="S64" s="353"/>
      <c r="T64" s="353"/>
      <c r="U64" s="353"/>
      <c r="V64" s="354" t="s">
        <v>1907</v>
      </c>
      <c r="W64" s="353" t="s">
        <v>5281</v>
      </c>
      <c r="X64" s="353"/>
      <c r="Y64" s="354" t="s">
        <v>5166</v>
      </c>
      <c r="Z64" s="354"/>
      <c r="AA64" s="353" t="str">
        <f t="shared" si="1"/>
        <v>viewMbrAuthCert</v>
      </c>
      <c r="AB64" s="356" t="str">
        <f t="shared" si="2"/>
        <v>/mbr/authCert.do</v>
      </c>
      <c r="AC64" s="353"/>
      <c r="AD64" s="357">
        <v>44609</v>
      </c>
      <c r="AE64" s="357">
        <v>44610</v>
      </c>
      <c r="AF64" s="353"/>
      <c r="AG64" s="353"/>
      <c r="AH64" s="353"/>
      <c r="AI64" s="353"/>
      <c r="AJ64" s="353"/>
    </row>
    <row r="65" spans="1:36" s="358" customFormat="1" ht="16.05" customHeight="1">
      <c r="A65" s="352" t="s">
        <v>4508</v>
      </c>
      <c r="B65" s="353"/>
      <c r="C65" s="354" t="s">
        <v>1606</v>
      </c>
      <c r="D65" s="355" t="str">
        <f t="shared" si="0"/>
        <v/>
      </c>
      <c r="E65" s="353"/>
      <c r="F65" s="354" t="s">
        <v>5385</v>
      </c>
      <c r="G65" s="354" t="s">
        <v>1637</v>
      </c>
      <c r="H65" s="354"/>
      <c r="I65" s="354"/>
      <c r="J65" s="354"/>
      <c r="K65" s="354"/>
      <c r="L65" s="354"/>
      <c r="M65" s="354"/>
      <c r="N65" s="353"/>
      <c r="O65" s="353"/>
      <c r="P65" s="353"/>
      <c r="Q65" s="353"/>
      <c r="R65" s="353"/>
      <c r="S65" s="353"/>
      <c r="T65" s="353"/>
      <c r="U65" s="353"/>
      <c r="V65" s="354" t="s">
        <v>1907</v>
      </c>
      <c r="W65" s="353" t="s">
        <v>5097</v>
      </c>
      <c r="X65" s="353"/>
      <c r="Y65" s="354" t="s">
        <v>5166</v>
      </c>
      <c r="Z65" s="354"/>
      <c r="AA65" s="353" t="str">
        <f t="shared" si="1"/>
        <v>viewMbrWhdwl</v>
      </c>
      <c r="AB65" s="356" t="str">
        <f t="shared" si="2"/>
        <v>/mbr/whdwl.do</v>
      </c>
      <c r="AC65" s="353"/>
      <c r="AD65" s="357">
        <v>44532</v>
      </c>
      <c r="AE65" s="357">
        <v>44533</v>
      </c>
      <c r="AF65" s="353"/>
      <c r="AG65" s="353"/>
      <c r="AH65" s="353"/>
      <c r="AI65" s="353"/>
      <c r="AJ65" s="353"/>
    </row>
    <row r="66" spans="1:36" s="345" customFormat="1" ht="16.05" customHeight="1">
      <c r="A66" s="344"/>
      <c r="B66" s="8"/>
      <c r="C66" s="341" t="s">
        <v>1606</v>
      </c>
      <c r="D66" s="47" t="str">
        <f t="shared" si="0"/>
        <v/>
      </c>
      <c r="E66" s="8"/>
      <c r="F66" s="341"/>
      <c r="G66" s="341" t="s">
        <v>81</v>
      </c>
      <c r="H66" s="341" t="s">
        <v>1250</v>
      </c>
      <c r="I66" s="341" t="s">
        <v>1671</v>
      </c>
      <c r="J66" s="341"/>
      <c r="K66" s="341"/>
      <c r="L66" s="341"/>
      <c r="M66" s="341"/>
      <c r="N66" s="8"/>
      <c r="O66" s="8"/>
      <c r="P66" s="8"/>
      <c r="Q66" s="8"/>
      <c r="R66" s="8"/>
      <c r="S66" s="8"/>
      <c r="T66" s="8"/>
      <c r="U66" s="8"/>
      <c r="V66" s="341" t="s">
        <v>5263</v>
      </c>
      <c r="W66" s="8" t="s">
        <v>5088</v>
      </c>
      <c r="X66" s="8"/>
      <c r="Y66" s="341" t="s">
        <v>33</v>
      </c>
      <c r="Z66" s="341" t="s">
        <v>5317</v>
      </c>
      <c r="AA66" s="8" t="str">
        <f t="shared" si="1"/>
        <v>checkMbrIdDupCnfm</v>
      </c>
      <c r="AB66" s="275" t="str">
        <f t="shared" si="2"/>
        <v>/api/mbr/idDupCnfm</v>
      </c>
      <c r="AC66" s="8"/>
      <c r="AD66" s="8"/>
      <c r="AE66" s="8"/>
      <c r="AF66" s="8"/>
      <c r="AG66" s="8"/>
      <c r="AH66" s="8"/>
      <c r="AI66" s="8"/>
      <c r="AJ66" s="8"/>
    </row>
    <row r="67" spans="1:36" s="345" customFormat="1" ht="16.05" customHeight="1">
      <c r="A67" s="344"/>
      <c r="B67" s="8"/>
      <c r="C67" s="341" t="s">
        <v>1606</v>
      </c>
      <c r="D67" s="47" t="str">
        <f t="shared" si="0"/>
        <v/>
      </c>
      <c r="E67" s="8"/>
      <c r="F67" s="341"/>
      <c r="G67" s="341" t="s">
        <v>3</v>
      </c>
      <c r="H67" s="341"/>
      <c r="I67" s="341"/>
      <c r="J67" s="341"/>
      <c r="K67" s="341"/>
      <c r="L67" s="341"/>
      <c r="M67" s="341"/>
      <c r="N67" s="8"/>
      <c r="O67" s="8"/>
      <c r="P67" s="8"/>
      <c r="Q67" s="8"/>
      <c r="R67" s="8"/>
      <c r="S67" s="8"/>
      <c r="T67" s="8"/>
      <c r="U67" s="8"/>
      <c r="V67" s="341" t="s">
        <v>5263</v>
      </c>
      <c r="W67" s="8" t="s">
        <v>5275</v>
      </c>
      <c r="X67" s="8"/>
      <c r="Y67" s="341" t="s">
        <v>25</v>
      </c>
      <c r="Z67" s="341" t="s">
        <v>5326</v>
      </c>
      <c r="AA67" s="8" t="str">
        <f t="shared" si="1"/>
        <v>saveMbrJoin</v>
      </c>
      <c r="AB67" s="275" t="str">
        <f t="shared" si="2"/>
        <v>/api/mbr/join</v>
      </c>
      <c r="AC67" s="8"/>
      <c r="AD67" s="8"/>
      <c r="AE67" s="8"/>
      <c r="AF67" s="8"/>
      <c r="AG67" s="8"/>
      <c r="AH67" s="8"/>
      <c r="AI67" s="8"/>
      <c r="AJ67" s="8"/>
    </row>
    <row r="68" spans="1:36" s="345" customFormat="1" ht="16.05" customHeight="1">
      <c r="A68" s="344"/>
      <c r="B68" s="8"/>
      <c r="C68" s="341" t="s">
        <v>1606</v>
      </c>
      <c r="D68" s="47" t="str">
        <f t="shared" si="0"/>
        <v/>
      </c>
      <c r="E68" s="8"/>
      <c r="F68" s="341"/>
      <c r="G68" s="341" t="s">
        <v>5282</v>
      </c>
      <c r="H68" s="341" t="s">
        <v>61</v>
      </c>
      <c r="I68" s="341"/>
      <c r="J68" s="341"/>
      <c r="K68" s="341"/>
      <c r="L68" s="341"/>
      <c r="M68" s="341"/>
      <c r="N68" s="8"/>
      <c r="O68" s="8"/>
      <c r="P68" s="8"/>
      <c r="Q68" s="8"/>
      <c r="R68" s="8"/>
      <c r="S68" s="8"/>
      <c r="T68" s="8"/>
      <c r="U68" s="8"/>
      <c r="V68" s="341" t="s">
        <v>5263</v>
      </c>
      <c r="W68" s="8" t="s">
        <v>5378</v>
      </c>
      <c r="X68" s="8"/>
      <c r="Y68" s="341" t="s">
        <v>24</v>
      </c>
      <c r="Z68" s="341" t="s">
        <v>5326</v>
      </c>
      <c r="AA68" s="8" t="str">
        <f t="shared" si="1"/>
        <v>createMbrHpCert</v>
      </c>
      <c r="AB68" s="275" t="str">
        <f t="shared" si="2"/>
        <v>/api/mbr/hpCert</v>
      </c>
      <c r="AC68" s="8"/>
      <c r="AD68" s="8"/>
      <c r="AE68" s="8"/>
      <c r="AF68" s="8"/>
      <c r="AG68" s="8"/>
      <c r="AH68" s="8"/>
      <c r="AI68" s="8"/>
      <c r="AJ68" s="8"/>
    </row>
    <row r="69" spans="1:36" s="345" customFormat="1" ht="16.05" customHeight="1">
      <c r="A69" s="344"/>
      <c r="B69" s="8"/>
      <c r="C69" s="341" t="s">
        <v>1606</v>
      </c>
      <c r="D69" s="47" t="str">
        <f t="shared" si="0"/>
        <v/>
      </c>
      <c r="E69" s="8"/>
      <c r="F69" s="341"/>
      <c r="G69" s="341" t="s">
        <v>5282</v>
      </c>
      <c r="H69" s="341" t="s">
        <v>61</v>
      </c>
      <c r="I69" s="341"/>
      <c r="J69" s="341"/>
      <c r="K69" s="341"/>
      <c r="L69" s="341"/>
      <c r="M69" s="341"/>
      <c r="N69" s="8"/>
      <c r="O69" s="8"/>
      <c r="P69" s="8"/>
      <c r="Q69" s="8"/>
      <c r="R69" s="8"/>
      <c r="S69" s="8"/>
      <c r="T69" s="8"/>
      <c r="U69" s="8"/>
      <c r="V69" s="341" t="s">
        <v>5263</v>
      </c>
      <c r="W69" s="8" t="s">
        <v>5090</v>
      </c>
      <c r="X69" s="8"/>
      <c r="Y69" s="341" t="s">
        <v>5246</v>
      </c>
      <c r="Z69" s="341" t="s">
        <v>5317</v>
      </c>
      <c r="AA69" s="8" t="str">
        <f t="shared" si="1"/>
        <v>getMbrHpCert</v>
      </c>
      <c r="AB69" s="275" t="str">
        <f t="shared" si="2"/>
        <v>/api/mbr/hpCert</v>
      </c>
      <c r="AC69" s="8"/>
      <c r="AD69" s="8"/>
      <c r="AE69" s="8"/>
      <c r="AF69" s="8"/>
      <c r="AG69" s="8"/>
      <c r="AH69" s="8"/>
      <c r="AI69" s="8"/>
      <c r="AJ69" s="8"/>
    </row>
    <row r="70" spans="1:36" s="345" customFormat="1" ht="16.05" customHeight="1">
      <c r="A70" s="344"/>
      <c r="B70" s="8"/>
      <c r="C70" s="341" t="s">
        <v>1606</v>
      </c>
      <c r="D70" s="47" t="str">
        <f t="shared" si="0"/>
        <v/>
      </c>
      <c r="E70" s="8"/>
      <c r="F70" s="341"/>
      <c r="G70" s="341" t="s">
        <v>795</v>
      </c>
      <c r="H70" s="341" t="s">
        <v>5284</v>
      </c>
      <c r="I70" s="341"/>
      <c r="J70" s="341"/>
      <c r="K70" s="341"/>
      <c r="L70" s="341"/>
      <c r="M70" s="341"/>
      <c r="N70" s="8"/>
      <c r="O70" s="8"/>
      <c r="P70" s="8"/>
      <c r="Q70" s="8"/>
      <c r="R70" s="8"/>
      <c r="S70" s="8"/>
      <c r="T70" s="8"/>
      <c r="U70" s="8"/>
      <c r="V70" s="341" t="s">
        <v>5263</v>
      </c>
      <c r="W70" s="8" t="s">
        <v>5098</v>
      </c>
      <c r="X70" s="8"/>
      <c r="Y70" s="341" t="s">
        <v>23</v>
      </c>
      <c r="Z70" s="341" t="s">
        <v>5317</v>
      </c>
      <c r="AA70" s="8" t="str">
        <f t="shared" si="1"/>
        <v>getMbrCerfImprt</v>
      </c>
      <c r="AB70" s="275" t="str">
        <f t="shared" si="2"/>
        <v>/api/mbr/cerfImprt</v>
      </c>
      <c r="AC70" s="8"/>
      <c r="AD70" s="8"/>
      <c r="AE70" s="8"/>
      <c r="AF70" s="8"/>
      <c r="AG70" s="8"/>
      <c r="AH70" s="8"/>
      <c r="AI70" s="8"/>
      <c r="AJ70" s="8"/>
    </row>
    <row r="71" spans="1:36" s="345" customFormat="1" ht="16.05" customHeight="1">
      <c r="A71" s="344"/>
      <c r="B71" s="8"/>
      <c r="C71" s="341" t="s">
        <v>1606</v>
      </c>
      <c r="D71" s="47" t="str">
        <f t="shared" ref="D71:D123" si="9">genPackage($D$1,C71)</f>
        <v/>
      </c>
      <c r="E71" s="8"/>
      <c r="F71" s="341"/>
      <c r="G71" s="341" t="s">
        <v>795</v>
      </c>
      <c r="H71" s="341" t="s">
        <v>576</v>
      </c>
      <c r="I71" s="341"/>
      <c r="J71" s="341"/>
      <c r="K71" s="341"/>
      <c r="L71" s="341"/>
      <c r="M71" s="341"/>
      <c r="N71" s="8"/>
      <c r="O71" s="8"/>
      <c r="P71" s="8"/>
      <c r="Q71" s="8"/>
      <c r="R71" s="8"/>
      <c r="S71" s="8"/>
      <c r="T71" s="8"/>
      <c r="U71" s="8"/>
      <c r="V71" s="341" t="s">
        <v>5263</v>
      </c>
      <c r="W71" s="8" t="s">
        <v>5099</v>
      </c>
      <c r="X71" s="8"/>
      <c r="Y71" s="341" t="s">
        <v>23</v>
      </c>
      <c r="Z71" s="341" t="s">
        <v>5317</v>
      </c>
      <c r="AA71" s="8" t="str">
        <f t="shared" ref="AA71:AA137" si="10">gen(C71,D71,E71,F71,G71,H71,I71,J71,K71,L71,M71,V71,W71,X71,Y71,Z71)</f>
        <v>getMbrCerfMng</v>
      </c>
      <c r="AB71" s="275" t="str">
        <f t="shared" ref="AB71:AB137" si="11">genUrl(C71,D71,E71,F71,G71,H71,I71,J71,K71,L71,M71,V71,W71,X71,Y71,Z71)</f>
        <v>/api/mbr/cerfMng</v>
      </c>
      <c r="AC71" s="8"/>
      <c r="AD71" s="8"/>
      <c r="AE71" s="8"/>
      <c r="AF71" s="8"/>
      <c r="AG71" s="8"/>
      <c r="AH71" s="8"/>
      <c r="AI71" s="8"/>
      <c r="AJ71" s="8"/>
    </row>
    <row r="72" spans="1:36" s="345" customFormat="1" ht="16.05" customHeight="1">
      <c r="A72" s="344"/>
      <c r="B72" s="8"/>
      <c r="C72" s="341" t="s">
        <v>1606</v>
      </c>
      <c r="D72" s="47" t="str">
        <f t="shared" si="9"/>
        <v/>
      </c>
      <c r="E72" s="8"/>
      <c r="F72" s="341"/>
      <c r="G72" s="341" t="s">
        <v>81</v>
      </c>
      <c r="H72" s="341" t="s">
        <v>5278</v>
      </c>
      <c r="I72" s="341"/>
      <c r="J72" s="341"/>
      <c r="K72" s="341"/>
      <c r="L72" s="341"/>
      <c r="M72" s="341"/>
      <c r="N72" s="8"/>
      <c r="O72" s="8"/>
      <c r="P72" s="8"/>
      <c r="Q72" s="8"/>
      <c r="R72" s="8"/>
      <c r="S72" s="8"/>
      <c r="T72" s="8"/>
      <c r="U72" s="8"/>
      <c r="V72" s="341" t="s">
        <v>5263</v>
      </c>
      <c r="W72" s="8" t="s">
        <v>5092</v>
      </c>
      <c r="X72" s="8"/>
      <c r="Y72" s="341" t="s">
        <v>5172</v>
      </c>
      <c r="Z72" s="341" t="s">
        <v>5317</v>
      </c>
      <c r="AA72" s="8" t="str">
        <f t="shared" si="10"/>
        <v>selectMbrIdSrch</v>
      </c>
      <c r="AB72" s="275" t="str">
        <f t="shared" si="11"/>
        <v>/api/mbr/idSrch</v>
      </c>
      <c r="AC72" s="8"/>
      <c r="AD72" s="8"/>
      <c r="AE72" s="8"/>
      <c r="AF72" s="8"/>
      <c r="AG72" s="8"/>
      <c r="AH72" s="8"/>
      <c r="AI72" s="8"/>
      <c r="AJ72" s="8"/>
    </row>
    <row r="73" spans="1:36" s="345" customFormat="1" ht="16.05" customHeight="1">
      <c r="A73" s="344"/>
      <c r="B73" s="8"/>
      <c r="C73" s="341" t="s">
        <v>1606</v>
      </c>
      <c r="D73" s="47" t="str">
        <f t="shared" si="9"/>
        <v/>
      </c>
      <c r="E73" s="8"/>
      <c r="F73" s="341"/>
      <c r="G73" s="341" t="s">
        <v>81</v>
      </c>
      <c r="H73" s="341" t="s">
        <v>5278</v>
      </c>
      <c r="I73" s="341" t="s">
        <v>5386</v>
      </c>
      <c r="J73" s="341"/>
      <c r="K73" s="341"/>
      <c r="L73" s="341"/>
      <c r="M73" s="341"/>
      <c r="N73" s="8"/>
      <c r="O73" s="8"/>
      <c r="P73" s="8"/>
      <c r="Q73" s="8"/>
      <c r="R73" s="8"/>
      <c r="S73" s="8"/>
      <c r="T73" s="8"/>
      <c r="U73" s="8"/>
      <c r="V73" s="341" t="s">
        <v>5263</v>
      </c>
      <c r="W73" s="8" t="s">
        <v>5387</v>
      </c>
      <c r="X73" s="8"/>
      <c r="Y73" s="341" t="s">
        <v>5172</v>
      </c>
      <c r="Z73" s="341" t="s">
        <v>5317</v>
      </c>
      <c r="AA73" s="8" t="str">
        <f t="shared" si="10"/>
        <v>selectMbrIdSrchRslt</v>
      </c>
      <c r="AB73" s="275" t="str">
        <f t="shared" si="11"/>
        <v>/api/mbr/idSrchRslt</v>
      </c>
      <c r="AC73" s="8"/>
      <c r="AD73" s="8"/>
      <c r="AE73" s="8"/>
      <c r="AF73" s="8"/>
      <c r="AG73" s="8"/>
      <c r="AH73" s="8"/>
      <c r="AI73" s="8"/>
      <c r="AJ73" s="8"/>
    </row>
    <row r="74" spans="1:36" s="345" customFormat="1" ht="16.05" customHeight="1">
      <c r="A74" s="344"/>
      <c r="B74" s="8"/>
      <c r="C74" s="341" t="s">
        <v>1606</v>
      </c>
      <c r="D74" s="47" t="str">
        <f t="shared" si="9"/>
        <v/>
      </c>
      <c r="E74" s="8"/>
      <c r="F74" s="341"/>
      <c r="G74" s="341" t="s">
        <v>5279</v>
      </c>
      <c r="H74" s="341" t="s">
        <v>5278</v>
      </c>
      <c r="I74" s="341"/>
      <c r="J74" s="341"/>
      <c r="K74" s="341"/>
      <c r="L74" s="341"/>
      <c r="M74" s="341"/>
      <c r="N74" s="8"/>
      <c r="O74" s="8"/>
      <c r="P74" s="8"/>
      <c r="Q74" s="8"/>
      <c r="R74" s="8"/>
      <c r="S74" s="8"/>
      <c r="T74" s="8"/>
      <c r="U74" s="8"/>
      <c r="V74" s="341" t="s">
        <v>5263</v>
      </c>
      <c r="W74" s="8" t="s">
        <v>5093</v>
      </c>
      <c r="X74" s="8"/>
      <c r="Y74" s="341" t="s">
        <v>5172</v>
      </c>
      <c r="Z74" s="341" t="s">
        <v>5317</v>
      </c>
      <c r="AA74" s="8" t="str">
        <f t="shared" si="10"/>
        <v>selectMbrPwdSrch</v>
      </c>
      <c r="AB74" s="275" t="str">
        <f t="shared" si="11"/>
        <v>/api/mbr/pwdSrch</v>
      </c>
      <c r="AC74" s="8"/>
      <c r="AD74" s="8"/>
      <c r="AE74" s="8"/>
      <c r="AF74" s="8"/>
      <c r="AG74" s="8"/>
      <c r="AH74" s="8"/>
      <c r="AI74" s="8"/>
      <c r="AJ74" s="8"/>
    </row>
    <row r="75" spans="1:36" s="345" customFormat="1" ht="16.05" customHeight="1">
      <c r="A75" s="344"/>
      <c r="B75" s="8"/>
      <c r="C75" s="341" t="s">
        <v>1606</v>
      </c>
      <c r="D75" s="47" t="str">
        <f t="shared" si="9"/>
        <v/>
      </c>
      <c r="E75" s="8"/>
      <c r="F75" s="341"/>
      <c r="G75" s="341" t="s">
        <v>1637</v>
      </c>
      <c r="H75" s="341"/>
      <c r="I75" s="341"/>
      <c r="J75" s="341"/>
      <c r="K75" s="341"/>
      <c r="L75" s="341"/>
      <c r="M75" s="341"/>
      <c r="N75" s="8"/>
      <c r="O75" s="8"/>
      <c r="P75" s="8"/>
      <c r="Q75" s="8"/>
      <c r="R75" s="8"/>
      <c r="S75" s="8"/>
      <c r="T75" s="8"/>
      <c r="U75" s="8"/>
      <c r="V75" s="341" t="s">
        <v>5263</v>
      </c>
      <c r="W75" s="8" t="s">
        <v>5225</v>
      </c>
      <c r="X75" s="8"/>
      <c r="Y75" s="341" t="s">
        <v>26</v>
      </c>
      <c r="Z75" s="341" t="s">
        <v>5317</v>
      </c>
      <c r="AA75" s="8" t="str">
        <f t="shared" si="10"/>
        <v>deleteMbrWhdwl</v>
      </c>
      <c r="AB75" s="275" t="str">
        <f t="shared" si="11"/>
        <v>/api/mbr/whdwl</v>
      </c>
      <c r="AC75" s="8"/>
      <c r="AD75" s="8"/>
      <c r="AE75" s="8"/>
      <c r="AF75" s="8"/>
      <c r="AG75" s="8"/>
      <c r="AH75" s="8"/>
      <c r="AI75" s="8"/>
      <c r="AJ75" s="8"/>
    </row>
    <row r="76" spans="1:36" s="358" customFormat="1" ht="16.05" customHeight="1">
      <c r="A76" s="352"/>
      <c r="B76" s="353"/>
      <c r="C76" s="354" t="s">
        <v>1606</v>
      </c>
      <c r="D76" s="355" t="str">
        <f t="shared" si="9"/>
        <v/>
      </c>
      <c r="E76" s="353"/>
      <c r="F76" s="354"/>
      <c r="G76" s="354" t="s">
        <v>1268</v>
      </c>
      <c r="H76" s="354"/>
      <c r="I76" s="354"/>
      <c r="J76" s="354"/>
      <c r="K76" s="354"/>
      <c r="L76" s="354"/>
      <c r="M76" s="354"/>
      <c r="N76" s="353"/>
      <c r="O76" s="353"/>
      <c r="P76" s="353"/>
      <c r="Q76" s="353"/>
      <c r="R76" s="353"/>
      <c r="S76" s="353"/>
      <c r="T76" s="353"/>
      <c r="U76" s="353"/>
      <c r="V76" s="354" t="s">
        <v>5173</v>
      </c>
      <c r="W76" s="353" t="s">
        <v>5275</v>
      </c>
      <c r="X76" s="353"/>
      <c r="Y76" s="354" t="s">
        <v>5173</v>
      </c>
      <c r="Z76" s="354"/>
      <c r="AA76" s="353" t="str">
        <f t="shared" si="10"/>
        <v>/mbr/join.jsp</v>
      </c>
      <c r="AB76" s="356" t="str">
        <f t="shared" si="11"/>
        <v/>
      </c>
      <c r="AC76" s="353"/>
      <c r="AD76" s="353"/>
      <c r="AE76" s="353"/>
      <c r="AF76" s="353"/>
      <c r="AG76" s="353"/>
      <c r="AH76" s="353"/>
      <c r="AI76" s="353"/>
      <c r="AJ76" s="353"/>
    </row>
    <row r="77" spans="1:36" s="358" customFormat="1" ht="16.05" customHeight="1">
      <c r="A77" s="352"/>
      <c r="B77" s="353"/>
      <c r="C77" s="354" t="s">
        <v>1606</v>
      </c>
      <c r="D77" s="355" t="str">
        <f t="shared" si="9"/>
        <v/>
      </c>
      <c r="E77" s="353"/>
      <c r="F77" s="354"/>
      <c r="G77" s="354" t="s">
        <v>1268</v>
      </c>
      <c r="H77" s="354" t="s">
        <v>5382</v>
      </c>
      <c r="I77" s="354"/>
      <c r="J77" s="354"/>
      <c r="K77" s="354"/>
      <c r="L77" s="354"/>
      <c r="M77" s="354"/>
      <c r="N77" s="353"/>
      <c r="O77" s="353"/>
      <c r="P77" s="353"/>
      <c r="Q77" s="353"/>
      <c r="R77" s="353"/>
      <c r="S77" s="353"/>
      <c r="T77" s="353"/>
      <c r="U77" s="353"/>
      <c r="V77" s="354" t="s">
        <v>5173</v>
      </c>
      <c r="W77" s="353" t="s">
        <v>5381</v>
      </c>
      <c r="X77" s="353"/>
      <c r="Y77" s="354" t="s">
        <v>5173</v>
      </c>
      <c r="Z77" s="354"/>
      <c r="AA77" s="353" t="str">
        <f t="shared" si="10"/>
        <v>/mbr/join_cmpl.jsp</v>
      </c>
      <c r="AB77" s="356" t="str">
        <f t="shared" si="11"/>
        <v/>
      </c>
      <c r="AC77" s="353"/>
      <c r="AD77" s="353"/>
      <c r="AE77" s="353"/>
      <c r="AF77" s="353"/>
      <c r="AG77" s="353"/>
      <c r="AH77" s="353"/>
      <c r="AI77" s="353"/>
      <c r="AJ77" s="353"/>
    </row>
    <row r="78" spans="1:36" s="358" customFormat="1" ht="16.05" customHeight="1">
      <c r="A78" s="352"/>
      <c r="B78" s="353"/>
      <c r="C78" s="354" t="s">
        <v>1606</v>
      </c>
      <c r="D78" s="355" t="str">
        <f t="shared" si="9"/>
        <v/>
      </c>
      <c r="E78" s="353"/>
      <c r="F78" s="354"/>
      <c r="G78" s="354" t="s">
        <v>1236</v>
      </c>
      <c r="H78" s="354" t="s">
        <v>1525</v>
      </c>
      <c r="I78" s="354" t="s">
        <v>1136</v>
      </c>
      <c r="J78" s="354" t="s">
        <v>448</v>
      </c>
      <c r="K78" s="354" t="s">
        <v>513</v>
      </c>
      <c r="L78" s="354"/>
      <c r="M78" s="354"/>
      <c r="N78" s="353"/>
      <c r="O78" s="353"/>
      <c r="P78" s="353"/>
      <c r="Q78" s="353"/>
      <c r="R78" s="353"/>
      <c r="S78" s="353"/>
      <c r="T78" s="353"/>
      <c r="U78" s="353"/>
      <c r="V78" s="354" t="s">
        <v>5173</v>
      </c>
      <c r="W78" s="353" t="s">
        <v>5276</v>
      </c>
      <c r="X78" s="353"/>
      <c r="Y78" s="354" t="s">
        <v>5173</v>
      </c>
      <c r="Z78" s="354"/>
      <c r="AA78" s="353" t="str">
        <f t="shared" si="10"/>
        <v>/mbr/indi_info_clct_use_agr.jsp</v>
      </c>
      <c r="AB78" s="356" t="str">
        <f t="shared" si="11"/>
        <v/>
      </c>
      <c r="AC78" s="353"/>
      <c r="AD78" s="353"/>
      <c r="AE78" s="353"/>
      <c r="AF78" s="353"/>
      <c r="AG78" s="353"/>
      <c r="AH78" s="353"/>
      <c r="AI78" s="353"/>
      <c r="AJ78" s="353"/>
    </row>
    <row r="79" spans="1:36" s="358" customFormat="1" ht="16.05" customHeight="1">
      <c r="A79" s="352"/>
      <c r="B79" s="353"/>
      <c r="C79" s="354" t="s">
        <v>1606</v>
      </c>
      <c r="D79" s="355" t="str">
        <f t="shared" si="9"/>
        <v/>
      </c>
      <c r="E79" s="353"/>
      <c r="F79" s="354"/>
      <c r="G79" s="354" t="s">
        <v>117</v>
      </c>
      <c r="H79" s="354" t="s">
        <v>1671</v>
      </c>
      <c r="I79" s="354"/>
      <c r="J79" s="354"/>
      <c r="K79" s="354"/>
      <c r="L79" s="354"/>
      <c r="M79" s="354"/>
      <c r="N79" s="353"/>
      <c r="O79" s="353"/>
      <c r="P79" s="353"/>
      <c r="Q79" s="353"/>
      <c r="R79" s="353"/>
      <c r="S79" s="353"/>
      <c r="T79" s="353"/>
      <c r="U79" s="353"/>
      <c r="V79" s="354" t="s">
        <v>5173</v>
      </c>
      <c r="W79" s="353" t="s">
        <v>5379</v>
      </c>
      <c r="X79" s="353"/>
      <c r="Y79" s="354" t="s">
        <v>5173</v>
      </c>
      <c r="Z79" s="354"/>
      <c r="AA79" s="353" t="str">
        <f t="shared" si="10"/>
        <v>/mbr/own_cnfm.jsp</v>
      </c>
      <c r="AB79" s="356" t="str">
        <f t="shared" si="11"/>
        <v/>
      </c>
      <c r="AC79" s="353"/>
      <c r="AD79" s="353"/>
      <c r="AE79" s="353"/>
      <c r="AF79" s="353"/>
      <c r="AG79" s="353"/>
      <c r="AH79" s="353"/>
      <c r="AI79" s="353"/>
      <c r="AJ79" s="353"/>
    </row>
    <row r="80" spans="1:36" s="358" customFormat="1" ht="16.05" customHeight="1">
      <c r="A80" s="352"/>
      <c r="B80" s="353"/>
      <c r="C80" s="354" t="s">
        <v>1606</v>
      </c>
      <c r="D80" s="355" t="str">
        <f t="shared" si="9"/>
        <v/>
      </c>
      <c r="E80" s="353"/>
      <c r="F80" s="354"/>
      <c r="G80" s="354" t="s">
        <v>81</v>
      </c>
      <c r="H80" s="354" t="s">
        <v>5278</v>
      </c>
      <c r="I80" s="354"/>
      <c r="J80" s="354"/>
      <c r="K80" s="354"/>
      <c r="L80" s="354"/>
      <c r="M80" s="354"/>
      <c r="N80" s="353"/>
      <c r="O80" s="353"/>
      <c r="P80" s="353"/>
      <c r="Q80" s="353"/>
      <c r="R80" s="353"/>
      <c r="S80" s="353"/>
      <c r="T80" s="353"/>
      <c r="U80" s="353"/>
      <c r="V80" s="354" t="s">
        <v>5173</v>
      </c>
      <c r="W80" s="353" t="s">
        <v>5092</v>
      </c>
      <c r="X80" s="353"/>
      <c r="Y80" s="354" t="s">
        <v>5173</v>
      </c>
      <c r="Z80" s="354"/>
      <c r="AA80" s="353" t="str">
        <f t="shared" si="10"/>
        <v>/mbr/id_srch.jsp</v>
      </c>
      <c r="AB80" s="356" t="str">
        <f t="shared" si="11"/>
        <v/>
      </c>
      <c r="AC80" s="353"/>
      <c r="AD80" s="353"/>
      <c r="AE80" s="353"/>
      <c r="AF80" s="353"/>
      <c r="AG80" s="353"/>
      <c r="AH80" s="353"/>
      <c r="AI80" s="353"/>
      <c r="AJ80" s="353"/>
    </row>
    <row r="81" spans="1:36" s="358" customFormat="1" ht="16.05" customHeight="1">
      <c r="A81" s="352"/>
      <c r="B81" s="353"/>
      <c r="C81" s="354" t="s">
        <v>1606</v>
      </c>
      <c r="D81" s="355" t="str">
        <f t="shared" si="9"/>
        <v/>
      </c>
      <c r="E81" s="353"/>
      <c r="F81" s="354"/>
      <c r="G81" s="354" t="s">
        <v>81</v>
      </c>
      <c r="H81" s="354" t="s">
        <v>5278</v>
      </c>
      <c r="I81" s="354" t="s">
        <v>5386</v>
      </c>
      <c r="J81" s="354"/>
      <c r="K81" s="354"/>
      <c r="L81" s="354"/>
      <c r="M81" s="354"/>
      <c r="N81" s="353"/>
      <c r="O81" s="353"/>
      <c r="P81" s="353"/>
      <c r="Q81" s="353"/>
      <c r="R81" s="353"/>
      <c r="S81" s="353"/>
      <c r="T81" s="353"/>
      <c r="U81" s="353"/>
      <c r="V81" s="354" t="s">
        <v>5173</v>
      </c>
      <c r="W81" s="353" t="s">
        <v>5387</v>
      </c>
      <c r="X81" s="353"/>
      <c r="Y81" s="354" t="s">
        <v>5173</v>
      </c>
      <c r="Z81" s="354"/>
      <c r="AA81" s="353" t="str">
        <f t="shared" si="10"/>
        <v>/mbr/id_srch_rslt.jsp</v>
      </c>
      <c r="AB81" s="356" t="str">
        <f t="shared" si="11"/>
        <v/>
      </c>
      <c r="AC81" s="353"/>
      <c r="AD81" s="353"/>
      <c r="AE81" s="353"/>
      <c r="AF81" s="353"/>
      <c r="AG81" s="353"/>
      <c r="AH81" s="353"/>
      <c r="AI81" s="353"/>
      <c r="AJ81" s="353"/>
    </row>
    <row r="82" spans="1:36" s="358" customFormat="1" ht="16.05" customHeight="1">
      <c r="A82" s="352"/>
      <c r="B82" s="353"/>
      <c r="C82" s="354" t="s">
        <v>1606</v>
      </c>
      <c r="D82" s="355" t="str">
        <f t="shared" si="9"/>
        <v/>
      </c>
      <c r="E82" s="353"/>
      <c r="F82" s="354"/>
      <c r="G82" s="354" t="s">
        <v>5279</v>
      </c>
      <c r="H82" s="354" t="s">
        <v>5278</v>
      </c>
      <c r="I82" s="354"/>
      <c r="J82" s="354"/>
      <c r="K82" s="354"/>
      <c r="L82" s="354"/>
      <c r="M82" s="354"/>
      <c r="N82" s="353"/>
      <c r="O82" s="353"/>
      <c r="P82" s="353"/>
      <c r="Q82" s="353"/>
      <c r="R82" s="353"/>
      <c r="S82" s="353"/>
      <c r="T82" s="353"/>
      <c r="U82" s="353"/>
      <c r="V82" s="354" t="s">
        <v>5173</v>
      </c>
      <c r="W82" s="353" t="s">
        <v>5093</v>
      </c>
      <c r="X82" s="353"/>
      <c r="Y82" s="354" t="s">
        <v>5173</v>
      </c>
      <c r="Z82" s="354"/>
      <c r="AA82" s="353" t="str">
        <f t="shared" si="10"/>
        <v>/mbr/pwd_srch.jsp</v>
      </c>
      <c r="AB82" s="356" t="str">
        <f t="shared" si="11"/>
        <v/>
      </c>
      <c r="AC82" s="353"/>
      <c r="AD82" s="353"/>
      <c r="AE82" s="353"/>
      <c r="AF82" s="353"/>
      <c r="AG82" s="353"/>
      <c r="AH82" s="353"/>
      <c r="AI82" s="353"/>
      <c r="AJ82" s="353"/>
    </row>
    <row r="83" spans="1:36" s="358" customFormat="1" ht="16.05" customHeight="1">
      <c r="A83" s="352"/>
      <c r="B83" s="353"/>
      <c r="C83" s="354" t="s">
        <v>1606</v>
      </c>
      <c r="D83" s="355" t="str">
        <f t="shared" si="9"/>
        <v/>
      </c>
      <c r="E83" s="353"/>
      <c r="F83" s="354"/>
      <c r="G83" s="354" t="s">
        <v>5279</v>
      </c>
      <c r="H83" s="354" t="s">
        <v>5278</v>
      </c>
      <c r="I83" s="354" t="s">
        <v>5199</v>
      </c>
      <c r="J83" s="354" t="s">
        <v>61</v>
      </c>
      <c r="K83" s="354"/>
      <c r="L83" s="354"/>
      <c r="M83" s="354"/>
      <c r="N83" s="353"/>
      <c r="O83" s="353"/>
      <c r="P83" s="353"/>
      <c r="Q83" s="353"/>
      <c r="R83" s="353"/>
      <c r="S83" s="353"/>
      <c r="T83" s="353"/>
      <c r="U83" s="353"/>
      <c r="V83" s="354" t="s">
        <v>5173</v>
      </c>
      <c r="W83" s="353" t="s">
        <v>5388</v>
      </c>
      <c r="X83" s="353"/>
      <c r="Y83" s="354" t="s">
        <v>5173</v>
      </c>
      <c r="Z83" s="354"/>
      <c r="AA83" s="353" t="str">
        <f t="shared" si="10"/>
        <v>/mbr/pwd_srch_hp_cert.jsp</v>
      </c>
      <c r="AB83" s="356" t="str">
        <f t="shared" si="11"/>
        <v/>
      </c>
      <c r="AC83" s="353"/>
      <c r="AD83" s="353"/>
      <c r="AE83" s="353"/>
      <c r="AF83" s="353"/>
      <c r="AG83" s="353"/>
      <c r="AH83" s="353"/>
      <c r="AI83" s="353"/>
      <c r="AJ83" s="353"/>
    </row>
    <row r="84" spans="1:36" s="358" customFormat="1" ht="16.05" customHeight="1">
      <c r="A84" s="352"/>
      <c r="B84" s="353"/>
      <c r="C84" s="354" t="s">
        <v>1606</v>
      </c>
      <c r="D84" s="355" t="str">
        <f t="shared" si="9"/>
        <v/>
      </c>
      <c r="E84" s="353"/>
      <c r="F84" s="354"/>
      <c r="G84" s="354" t="s">
        <v>5280</v>
      </c>
      <c r="H84" s="354" t="s">
        <v>794</v>
      </c>
      <c r="I84" s="354"/>
      <c r="J84" s="354"/>
      <c r="K84" s="354"/>
      <c r="L84" s="354"/>
      <c r="M84" s="354"/>
      <c r="N84" s="353"/>
      <c r="O84" s="353"/>
      <c r="P84" s="353"/>
      <c r="Q84" s="353"/>
      <c r="R84" s="353"/>
      <c r="S84" s="353"/>
      <c r="T84" s="353"/>
      <c r="U84" s="353"/>
      <c r="V84" s="354" t="s">
        <v>5173</v>
      </c>
      <c r="W84" s="353" t="s">
        <v>5281</v>
      </c>
      <c r="X84" s="353"/>
      <c r="Y84" s="354" t="s">
        <v>5173</v>
      </c>
      <c r="Z84" s="354"/>
      <c r="AA84" s="353" t="str">
        <f t="shared" si="10"/>
        <v>/mbr/auth_cert.jsp</v>
      </c>
      <c r="AB84" s="356" t="str">
        <f t="shared" si="11"/>
        <v/>
      </c>
      <c r="AC84" s="353"/>
      <c r="AD84" s="353"/>
      <c r="AE84" s="353"/>
      <c r="AF84" s="353"/>
      <c r="AG84" s="353"/>
      <c r="AH84" s="353"/>
      <c r="AI84" s="353"/>
      <c r="AJ84" s="353"/>
    </row>
    <row r="85" spans="1:36" s="358" customFormat="1" ht="16.05" customHeight="1" thickBot="1">
      <c r="A85" s="352"/>
      <c r="B85" s="353"/>
      <c r="C85" s="354" t="s">
        <v>1606</v>
      </c>
      <c r="D85" s="355" t="str">
        <f t="shared" si="9"/>
        <v/>
      </c>
      <c r="E85" s="353"/>
      <c r="F85" s="354"/>
      <c r="G85" s="354" t="s">
        <v>1637</v>
      </c>
      <c r="H85" s="354"/>
      <c r="I85" s="354"/>
      <c r="J85" s="354"/>
      <c r="K85" s="354"/>
      <c r="L85" s="354"/>
      <c r="M85" s="354"/>
      <c r="N85" s="353"/>
      <c r="O85" s="353"/>
      <c r="P85" s="353"/>
      <c r="Q85" s="353"/>
      <c r="R85" s="353"/>
      <c r="S85" s="353"/>
      <c r="T85" s="353"/>
      <c r="U85" s="353"/>
      <c r="V85" s="354" t="s">
        <v>5173</v>
      </c>
      <c r="W85" s="353" t="s">
        <v>5097</v>
      </c>
      <c r="X85" s="353"/>
      <c r="Y85" s="354" t="s">
        <v>5173</v>
      </c>
      <c r="Z85" s="354"/>
      <c r="AA85" s="353" t="str">
        <f t="shared" si="10"/>
        <v>/mbr/whdwl.jsp</v>
      </c>
      <c r="AB85" s="356" t="str">
        <f t="shared" si="11"/>
        <v/>
      </c>
      <c r="AC85" s="353"/>
      <c r="AD85" s="353"/>
      <c r="AE85" s="353"/>
      <c r="AF85" s="353"/>
      <c r="AG85" s="353"/>
      <c r="AH85" s="353"/>
      <c r="AI85" s="353"/>
      <c r="AJ85" s="353"/>
    </row>
    <row r="86" spans="1:36" s="333" customFormat="1" ht="16.05" customHeight="1" thickBot="1">
      <c r="A86" s="350"/>
      <c r="B86" s="332"/>
      <c r="C86" s="52" t="s">
        <v>1606</v>
      </c>
      <c r="D86" s="52" t="str">
        <f t="shared" si="9"/>
        <v>kr.go.prpr.app.mbr.service</v>
      </c>
      <c r="E86" s="332"/>
      <c r="F86" s="52"/>
      <c r="G86" s="52" t="s">
        <v>1268</v>
      </c>
      <c r="H86" s="52"/>
      <c r="I86" s="52"/>
      <c r="J86" s="52"/>
      <c r="K86" s="52"/>
      <c r="L86" s="52"/>
      <c r="M86" s="52"/>
      <c r="N86" s="332"/>
      <c r="O86" s="332"/>
      <c r="P86" s="332"/>
      <c r="Q86" s="332"/>
      <c r="R86" s="332"/>
      <c r="S86" s="332"/>
      <c r="T86" s="332"/>
      <c r="U86" s="332"/>
      <c r="V86" s="52" t="s">
        <v>5177</v>
      </c>
      <c r="W86" s="332" t="s">
        <v>5285</v>
      </c>
      <c r="X86" s="332"/>
      <c r="Y86" s="335" t="s">
        <v>5377</v>
      </c>
      <c r="Z86" s="52"/>
      <c r="AA86" s="332" t="str">
        <f t="shared" si="10"/>
        <v>MbrJoinService.java</v>
      </c>
      <c r="AB86" s="13" t="str">
        <f t="shared" si="11"/>
        <v/>
      </c>
      <c r="AC86" s="332"/>
      <c r="AD86" s="332"/>
      <c r="AE86" s="332"/>
      <c r="AF86" s="332"/>
      <c r="AG86" s="332"/>
      <c r="AH86" s="332"/>
      <c r="AI86" s="332"/>
      <c r="AJ86" s="332"/>
    </row>
    <row r="87" spans="1:36" s="333" customFormat="1" ht="15" customHeight="1">
      <c r="A87" s="350"/>
      <c r="B87" s="332"/>
      <c r="C87" s="52" t="s">
        <v>1606</v>
      </c>
      <c r="D87" s="52" t="str">
        <f t="shared" si="9"/>
        <v>kr.go.prpr.app.mbr.serviceimpl</v>
      </c>
      <c r="E87" s="332"/>
      <c r="F87" s="52"/>
      <c r="G87" s="52" t="s">
        <v>1268</v>
      </c>
      <c r="H87" s="52"/>
      <c r="I87" s="52"/>
      <c r="J87" s="52"/>
      <c r="K87" s="52"/>
      <c r="L87" s="52"/>
      <c r="M87" s="52"/>
      <c r="N87" s="332"/>
      <c r="O87" s="332"/>
      <c r="P87" s="332"/>
      <c r="Q87" s="332"/>
      <c r="R87" s="332"/>
      <c r="S87" s="332"/>
      <c r="T87" s="332"/>
      <c r="U87" s="332"/>
      <c r="V87" s="52" t="s">
        <v>5178</v>
      </c>
      <c r="W87" s="332" t="s">
        <v>5286</v>
      </c>
      <c r="X87" s="332"/>
      <c r="Y87" s="335" t="s">
        <v>5377</v>
      </c>
      <c r="Z87" s="52"/>
      <c r="AA87" s="332" t="str">
        <f t="shared" si="10"/>
        <v>MbrJoinServiceImpl.java</v>
      </c>
      <c r="AB87" s="13" t="str">
        <f t="shared" si="11"/>
        <v/>
      </c>
      <c r="AC87" s="332"/>
      <c r="AD87" s="332"/>
      <c r="AE87" s="332"/>
      <c r="AF87" s="332"/>
      <c r="AG87" s="332"/>
      <c r="AH87" s="332"/>
      <c r="AI87" s="332"/>
      <c r="AJ87" s="332"/>
    </row>
    <row r="88" spans="1:36" s="345" customFormat="1" ht="16.05" customHeight="1">
      <c r="A88" s="344"/>
      <c r="B88" s="8"/>
      <c r="C88" s="341" t="s">
        <v>1606</v>
      </c>
      <c r="D88" s="47" t="str">
        <f t="shared" si="9"/>
        <v/>
      </c>
      <c r="E88" s="8"/>
      <c r="F88" s="341"/>
      <c r="G88" s="341"/>
      <c r="H88" s="341"/>
      <c r="I88" s="341"/>
      <c r="J88" s="341"/>
      <c r="K88" s="341"/>
      <c r="L88" s="341"/>
      <c r="M88" s="341"/>
      <c r="N88" s="8"/>
      <c r="O88" s="8"/>
      <c r="P88" s="8"/>
      <c r="Q88" s="8"/>
      <c r="R88" s="8"/>
      <c r="S88" s="8"/>
      <c r="T88" s="8"/>
      <c r="U88" s="8"/>
      <c r="V88" s="341" t="s">
        <v>2297</v>
      </c>
      <c r="W88" s="8" t="s">
        <v>5389</v>
      </c>
      <c r="X88" s="8"/>
      <c r="Y88" s="341" t="s">
        <v>5172</v>
      </c>
      <c r="Z88" s="341"/>
      <c r="AA88" s="8" t="str">
        <f t="shared" si="10"/>
        <v>selectMbr</v>
      </c>
      <c r="AB88" s="275" t="str">
        <f t="shared" si="11"/>
        <v/>
      </c>
      <c r="AC88" s="8"/>
      <c r="AD88" s="8"/>
      <c r="AE88" s="8"/>
      <c r="AF88" s="8"/>
      <c r="AG88" s="8"/>
      <c r="AH88" s="8"/>
      <c r="AI88" s="8"/>
      <c r="AJ88" s="8"/>
    </row>
    <row r="89" spans="1:36" s="345" customFormat="1" ht="16.05" customHeight="1">
      <c r="A89" s="344"/>
      <c r="B89" s="8"/>
      <c r="C89" s="341" t="s">
        <v>1606</v>
      </c>
      <c r="D89" s="47" t="str">
        <f t="shared" si="9"/>
        <v/>
      </c>
      <c r="E89" s="8"/>
      <c r="F89" s="341"/>
      <c r="G89" s="341" t="s">
        <v>81</v>
      </c>
      <c r="H89" s="341" t="s">
        <v>1250</v>
      </c>
      <c r="I89" s="341" t="s">
        <v>1671</v>
      </c>
      <c r="J89" s="341"/>
      <c r="K89" s="341"/>
      <c r="L89" s="341"/>
      <c r="M89" s="341"/>
      <c r="N89" s="8"/>
      <c r="O89" s="8"/>
      <c r="P89" s="8"/>
      <c r="Q89" s="8"/>
      <c r="R89" s="8"/>
      <c r="S89" s="8"/>
      <c r="T89" s="8"/>
      <c r="U89" s="8"/>
      <c r="V89" s="341" t="s">
        <v>2297</v>
      </c>
      <c r="W89" s="8" t="s">
        <v>5088</v>
      </c>
      <c r="X89" s="8"/>
      <c r="Y89" s="341" t="s">
        <v>5172</v>
      </c>
      <c r="Z89" s="341"/>
      <c r="AA89" s="8" t="str">
        <f t="shared" si="10"/>
        <v>selectMbrIdDupCnfm</v>
      </c>
      <c r="AB89" s="275" t="str">
        <f t="shared" si="11"/>
        <v/>
      </c>
      <c r="AC89" s="8"/>
      <c r="AD89" s="8"/>
      <c r="AE89" s="8"/>
      <c r="AF89" s="8"/>
      <c r="AG89" s="8"/>
      <c r="AH89" s="8"/>
      <c r="AI89" s="8"/>
      <c r="AJ89" s="8"/>
    </row>
    <row r="90" spans="1:36" s="345" customFormat="1" ht="16.05" customHeight="1">
      <c r="A90" s="344"/>
      <c r="B90" s="8"/>
      <c r="C90" s="341" t="s">
        <v>1606</v>
      </c>
      <c r="D90" s="47" t="str">
        <f t="shared" si="9"/>
        <v/>
      </c>
      <c r="E90" s="8"/>
      <c r="F90" s="341"/>
      <c r="G90" s="341" t="s">
        <v>1268</v>
      </c>
      <c r="H90" s="341"/>
      <c r="I90" s="341"/>
      <c r="J90" s="341"/>
      <c r="K90" s="341"/>
      <c r="L90" s="341"/>
      <c r="M90" s="341"/>
      <c r="N90" s="8"/>
      <c r="O90" s="8"/>
      <c r="P90" s="8"/>
      <c r="Q90" s="8"/>
      <c r="R90" s="8"/>
      <c r="S90" s="8"/>
      <c r="T90" s="8"/>
      <c r="U90" s="8"/>
      <c r="V90" s="341" t="s">
        <v>2297</v>
      </c>
      <c r="W90" s="8" t="s">
        <v>5275</v>
      </c>
      <c r="X90" s="8"/>
      <c r="Y90" s="341" t="s">
        <v>25</v>
      </c>
      <c r="Z90" s="341"/>
      <c r="AA90" s="8" t="str">
        <f t="shared" si="10"/>
        <v>saveMbrJoin</v>
      </c>
      <c r="AB90" s="275" t="str">
        <f t="shared" si="11"/>
        <v/>
      </c>
      <c r="AC90" s="8"/>
      <c r="AD90" s="8"/>
      <c r="AE90" s="8"/>
      <c r="AF90" s="8"/>
      <c r="AG90" s="8"/>
      <c r="AH90" s="8"/>
      <c r="AI90" s="8"/>
      <c r="AJ90" s="8"/>
    </row>
    <row r="91" spans="1:36" s="345" customFormat="1" ht="16.05" customHeight="1">
      <c r="A91" s="344"/>
      <c r="B91" s="8"/>
      <c r="C91" s="341" t="s">
        <v>1606</v>
      </c>
      <c r="D91" s="47" t="str">
        <f t="shared" si="9"/>
        <v/>
      </c>
      <c r="E91" s="8"/>
      <c r="F91" s="341"/>
      <c r="G91" s="341" t="s">
        <v>5282</v>
      </c>
      <c r="H91" s="341" t="s">
        <v>61</v>
      </c>
      <c r="I91" s="341"/>
      <c r="J91" s="341"/>
      <c r="K91" s="341"/>
      <c r="L91" s="341"/>
      <c r="M91" s="341"/>
      <c r="N91" s="8"/>
      <c r="O91" s="8"/>
      <c r="P91" s="8"/>
      <c r="Q91" s="8"/>
      <c r="R91" s="8"/>
      <c r="S91" s="8"/>
      <c r="T91" s="8"/>
      <c r="U91" s="8"/>
      <c r="V91" s="341" t="s">
        <v>2297</v>
      </c>
      <c r="W91" s="8" t="s">
        <v>5378</v>
      </c>
      <c r="X91" s="8"/>
      <c r="Y91" s="341" t="s">
        <v>24</v>
      </c>
      <c r="Z91" s="341"/>
      <c r="AA91" s="8" t="str">
        <f t="shared" si="10"/>
        <v>createMbrHpCert</v>
      </c>
      <c r="AB91" s="275" t="str">
        <f t="shared" si="11"/>
        <v/>
      </c>
      <c r="AC91" s="8"/>
      <c r="AD91" s="8"/>
      <c r="AE91" s="8"/>
      <c r="AF91" s="8"/>
      <c r="AG91" s="8"/>
      <c r="AH91" s="8"/>
      <c r="AI91" s="8"/>
      <c r="AJ91" s="8"/>
    </row>
    <row r="92" spans="1:36" s="345" customFormat="1" ht="16.05" customHeight="1">
      <c r="A92" s="344"/>
      <c r="B92" s="8"/>
      <c r="C92" s="341" t="s">
        <v>1606</v>
      </c>
      <c r="D92" s="47" t="str">
        <f t="shared" si="9"/>
        <v/>
      </c>
      <c r="E92" s="8"/>
      <c r="F92" s="341"/>
      <c r="G92" s="341" t="s">
        <v>5282</v>
      </c>
      <c r="H92" s="341" t="s">
        <v>61</v>
      </c>
      <c r="I92" s="341"/>
      <c r="J92" s="341"/>
      <c r="K92" s="341"/>
      <c r="L92" s="341"/>
      <c r="M92" s="341"/>
      <c r="N92" s="8"/>
      <c r="O92" s="8"/>
      <c r="P92" s="8"/>
      <c r="Q92" s="8"/>
      <c r="R92" s="8"/>
      <c r="S92" s="8"/>
      <c r="T92" s="8"/>
      <c r="U92" s="8"/>
      <c r="V92" s="341" t="s">
        <v>2297</v>
      </c>
      <c r="W92" s="8" t="s">
        <v>5090</v>
      </c>
      <c r="X92" s="8"/>
      <c r="Y92" s="341" t="s">
        <v>5172</v>
      </c>
      <c r="Z92" s="341"/>
      <c r="AA92" s="8" t="str">
        <f t="shared" si="10"/>
        <v>selectMbrHpCert</v>
      </c>
      <c r="AB92" s="275" t="str">
        <f t="shared" si="11"/>
        <v/>
      </c>
      <c r="AC92" s="8"/>
      <c r="AD92" s="8"/>
      <c r="AE92" s="8"/>
      <c r="AF92" s="8"/>
      <c r="AG92" s="8"/>
      <c r="AH92" s="8"/>
      <c r="AI92" s="8"/>
      <c r="AJ92" s="8"/>
    </row>
    <row r="93" spans="1:36" s="345" customFormat="1" ht="16.05" customHeight="1">
      <c r="A93" s="344"/>
      <c r="B93" s="8"/>
      <c r="C93" s="341" t="s">
        <v>1606</v>
      </c>
      <c r="D93" s="47" t="str">
        <f t="shared" si="9"/>
        <v/>
      </c>
      <c r="E93" s="8"/>
      <c r="F93" s="341"/>
      <c r="G93" s="341" t="s">
        <v>81</v>
      </c>
      <c r="H93" s="341" t="s">
        <v>5278</v>
      </c>
      <c r="I93" s="341"/>
      <c r="J93" s="341"/>
      <c r="K93" s="341"/>
      <c r="L93" s="341"/>
      <c r="M93" s="341"/>
      <c r="N93" s="8"/>
      <c r="O93" s="8"/>
      <c r="P93" s="8"/>
      <c r="Q93" s="8"/>
      <c r="R93" s="8"/>
      <c r="S93" s="8"/>
      <c r="T93" s="8"/>
      <c r="U93" s="8"/>
      <c r="V93" s="341" t="s">
        <v>2297</v>
      </c>
      <c r="W93" s="8" t="s">
        <v>5380</v>
      </c>
      <c r="X93" s="8"/>
      <c r="Y93" s="341" t="s">
        <v>5172</v>
      </c>
      <c r="Z93" s="341"/>
      <c r="AA93" s="8" t="str">
        <f t="shared" si="10"/>
        <v>selectMbrIdSrch</v>
      </c>
      <c r="AB93" s="275" t="str">
        <f t="shared" si="11"/>
        <v/>
      </c>
      <c r="AC93" s="8"/>
      <c r="AD93" s="8"/>
      <c r="AE93" s="8"/>
      <c r="AF93" s="8"/>
      <c r="AG93" s="8"/>
      <c r="AH93" s="8"/>
      <c r="AI93" s="8"/>
      <c r="AJ93" s="8"/>
    </row>
    <row r="94" spans="1:36" s="345" customFormat="1" ht="16.05" customHeight="1">
      <c r="A94" s="344"/>
      <c r="B94" s="8"/>
      <c r="C94" s="341" t="s">
        <v>1606</v>
      </c>
      <c r="D94" s="47" t="str">
        <f t="shared" si="9"/>
        <v/>
      </c>
      <c r="E94" s="8"/>
      <c r="F94" s="341"/>
      <c r="G94" s="341" t="s">
        <v>5279</v>
      </c>
      <c r="H94" s="341" t="s">
        <v>5278</v>
      </c>
      <c r="I94" s="341"/>
      <c r="J94" s="341"/>
      <c r="K94" s="341"/>
      <c r="L94" s="341"/>
      <c r="M94" s="341"/>
      <c r="N94" s="8"/>
      <c r="O94" s="8"/>
      <c r="P94" s="8"/>
      <c r="Q94" s="8"/>
      <c r="R94" s="8"/>
      <c r="S94" s="8"/>
      <c r="T94" s="8"/>
      <c r="U94" s="8"/>
      <c r="V94" s="341" t="s">
        <v>2297</v>
      </c>
      <c r="W94" s="8" t="s">
        <v>5093</v>
      </c>
      <c r="X94" s="8"/>
      <c r="Y94" s="341" t="s">
        <v>5172</v>
      </c>
      <c r="Z94" s="341"/>
      <c r="AA94" s="8" t="str">
        <f t="shared" si="10"/>
        <v>selectMbrPwdSrch</v>
      </c>
      <c r="AB94" s="275" t="str">
        <f t="shared" si="11"/>
        <v/>
      </c>
      <c r="AC94" s="8"/>
      <c r="AD94" s="8"/>
      <c r="AE94" s="8"/>
      <c r="AF94" s="8"/>
      <c r="AG94" s="8"/>
      <c r="AH94" s="8"/>
      <c r="AI94" s="8"/>
      <c r="AJ94" s="8"/>
    </row>
    <row r="95" spans="1:36" s="345" customFormat="1" ht="16.05" customHeight="1">
      <c r="A95" s="344"/>
      <c r="B95" s="8"/>
      <c r="C95" s="341" t="s">
        <v>1606</v>
      </c>
      <c r="D95" s="47" t="str">
        <f t="shared" si="9"/>
        <v/>
      </c>
      <c r="E95" s="8"/>
      <c r="F95" s="341"/>
      <c r="G95" s="341" t="s">
        <v>1637</v>
      </c>
      <c r="H95" s="341"/>
      <c r="I95" s="341"/>
      <c r="J95" s="341"/>
      <c r="K95" s="341"/>
      <c r="L95" s="341"/>
      <c r="M95" s="341"/>
      <c r="N95" s="8"/>
      <c r="O95" s="8"/>
      <c r="P95" s="8"/>
      <c r="Q95" s="8"/>
      <c r="R95" s="8"/>
      <c r="S95" s="8"/>
      <c r="T95" s="8"/>
      <c r="U95" s="8"/>
      <c r="V95" s="341" t="s">
        <v>2297</v>
      </c>
      <c r="W95" s="8" t="s">
        <v>5097</v>
      </c>
      <c r="X95" s="8"/>
      <c r="Y95" s="341" t="s">
        <v>26</v>
      </c>
      <c r="Z95" s="341"/>
      <c r="AA95" s="8" t="str">
        <f t="shared" si="10"/>
        <v>deleteMbrWhdwl</v>
      </c>
      <c r="AB95" s="275" t="str">
        <f t="shared" si="11"/>
        <v/>
      </c>
      <c r="AC95" s="8"/>
      <c r="AD95" s="8"/>
      <c r="AE95" s="8"/>
      <c r="AF95" s="8"/>
      <c r="AG95" s="8"/>
      <c r="AH95" s="8"/>
      <c r="AI95" s="8"/>
      <c r="AJ95" s="8"/>
    </row>
    <row r="96" spans="1:36" s="333" customFormat="1" ht="16.05" customHeight="1">
      <c r="A96" s="350"/>
      <c r="B96" s="332"/>
      <c r="C96" s="52" t="s">
        <v>1606</v>
      </c>
      <c r="D96" s="52" t="str">
        <f t="shared" si="9"/>
        <v/>
      </c>
      <c r="E96" s="332"/>
      <c r="F96" s="52"/>
      <c r="G96" s="52" t="s">
        <v>1268</v>
      </c>
      <c r="H96" s="52"/>
      <c r="I96" s="52"/>
      <c r="J96" s="52"/>
      <c r="K96" s="52"/>
      <c r="L96" s="52"/>
      <c r="M96" s="52"/>
      <c r="N96" s="332"/>
      <c r="O96" s="332"/>
      <c r="P96" s="332"/>
      <c r="Q96" s="332"/>
      <c r="R96" s="332"/>
      <c r="S96" s="332"/>
      <c r="T96" s="332"/>
      <c r="U96" s="332"/>
      <c r="V96" s="52" t="s">
        <v>1070</v>
      </c>
      <c r="W96" s="332" t="s">
        <v>5287</v>
      </c>
      <c r="X96" s="332"/>
      <c r="Y96" s="52" t="s">
        <v>5185</v>
      </c>
      <c r="Z96" s="359" t="s">
        <v>5320</v>
      </c>
      <c r="AA96" s="332" t="str">
        <f t="shared" si="10"/>
        <v>/mbr/MbrJoinServiceSQL.xml</v>
      </c>
      <c r="AB96" s="13" t="str">
        <f t="shared" si="11"/>
        <v/>
      </c>
      <c r="AC96" s="332"/>
      <c r="AD96" s="332"/>
      <c r="AE96" s="332"/>
      <c r="AF96" s="332"/>
      <c r="AG96" s="332"/>
      <c r="AH96" s="332"/>
      <c r="AI96" s="332"/>
      <c r="AJ96" s="332"/>
    </row>
    <row r="97" spans="1:36" s="345" customFormat="1" ht="16.05" customHeight="1">
      <c r="A97" s="344"/>
      <c r="B97" s="8"/>
      <c r="C97" s="341" t="s">
        <v>1606</v>
      </c>
      <c r="D97" s="47" t="str">
        <f t="shared" si="9"/>
        <v/>
      </c>
      <c r="E97" s="8"/>
      <c r="F97" s="341"/>
      <c r="G97" s="341"/>
      <c r="H97" s="341"/>
      <c r="I97" s="341"/>
      <c r="J97" s="341"/>
      <c r="K97" s="341"/>
      <c r="L97" s="341"/>
      <c r="M97" s="341"/>
      <c r="N97" s="8"/>
      <c r="O97" s="8"/>
      <c r="P97" s="8"/>
      <c r="Q97" s="8"/>
      <c r="R97" s="8"/>
      <c r="S97" s="8"/>
      <c r="T97" s="8"/>
      <c r="U97" s="8"/>
      <c r="V97" s="341" t="s">
        <v>5181</v>
      </c>
      <c r="W97" s="8" t="s">
        <v>5389</v>
      </c>
      <c r="X97" s="8"/>
      <c r="Y97" s="341" t="s">
        <v>5172</v>
      </c>
      <c r="Z97" s="341"/>
      <c r="AA97" s="8" t="str">
        <f t="shared" si="10"/>
        <v>selectMbr</v>
      </c>
      <c r="AB97" s="275" t="str">
        <f t="shared" si="11"/>
        <v/>
      </c>
      <c r="AC97" s="8"/>
      <c r="AD97" s="8"/>
      <c r="AE97" s="8"/>
      <c r="AF97" s="8"/>
      <c r="AG97" s="8"/>
      <c r="AH97" s="8"/>
      <c r="AI97" s="8"/>
      <c r="AJ97" s="8"/>
    </row>
    <row r="98" spans="1:36" s="345" customFormat="1" ht="16.05" customHeight="1">
      <c r="A98" s="344"/>
      <c r="B98" s="8"/>
      <c r="C98" s="341" t="s">
        <v>1606</v>
      </c>
      <c r="D98" s="47" t="str">
        <f t="shared" si="9"/>
        <v/>
      </c>
      <c r="E98" s="8"/>
      <c r="F98" s="341"/>
      <c r="G98" s="341" t="s">
        <v>81</v>
      </c>
      <c r="H98" s="341" t="s">
        <v>1250</v>
      </c>
      <c r="I98" s="341" t="s">
        <v>1671</v>
      </c>
      <c r="J98" s="341"/>
      <c r="K98" s="341"/>
      <c r="L98" s="341"/>
      <c r="M98" s="341"/>
      <c r="N98" s="8"/>
      <c r="O98" s="8"/>
      <c r="P98" s="8"/>
      <c r="Q98" s="8"/>
      <c r="R98" s="8"/>
      <c r="S98" s="8"/>
      <c r="T98" s="8"/>
      <c r="U98" s="8"/>
      <c r="V98" s="341" t="s">
        <v>5181</v>
      </c>
      <c r="W98" s="8" t="s">
        <v>5088</v>
      </c>
      <c r="X98" s="8"/>
      <c r="Y98" s="341" t="s">
        <v>5172</v>
      </c>
      <c r="Z98" s="341"/>
      <c r="AA98" s="8" t="str">
        <f t="shared" si="10"/>
        <v>selectMbrIdDupCnfm</v>
      </c>
      <c r="AB98" s="275" t="str">
        <f t="shared" si="11"/>
        <v/>
      </c>
      <c r="AC98" s="8"/>
      <c r="AD98" s="8"/>
      <c r="AE98" s="8"/>
      <c r="AF98" s="8"/>
      <c r="AG98" s="8"/>
      <c r="AH98" s="8"/>
      <c r="AI98" s="8"/>
      <c r="AJ98" s="8"/>
    </row>
    <row r="99" spans="1:36" s="345" customFormat="1" ht="16.05" customHeight="1">
      <c r="A99" s="344"/>
      <c r="B99" s="8"/>
      <c r="C99" s="341" t="s">
        <v>1606</v>
      </c>
      <c r="D99" s="47" t="str">
        <f t="shared" si="9"/>
        <v/>
      </c>
      <c r="E99" s="8"/>
      <c r="F99" s="341"/>
      <c r="G99" s="341" t="s">
        <v>1268</v>
      </c>
      <c r="H99" s="341"/>
      <c r="I99" s="341"/>
      <c r="J99" s="341"/>
      <c r="K99" s="341"/>
      <c r="L99" s="341"/>
      <c r="M99" s="341"/>
      <c r="N99" s="8"/>
      <c r="O99" s="8"/>
      <c r="P99" s="8"/>
      <c r="Q99" s="8"/>
      <c r="R99" s="8"/>
      <c r="S99" s="8"/>
      <c r="T99" s="8"/>
      <c r="U99" s="8"/>
      <c r="V99" s="341" t="s">
        <v>5181</v>
      </c>
      <c r="W99" s="8" t="s">
        <v>5275</v>
      </c>
      <c r="X99" s="8"/>
      <c r="Y99" s="341" t="s">
        <v>5187</v>
      </c>
      <c r="Z99" s="341"/>
      <c r="AA99" s="8" t="str">
        <f t="shared" si="10"/>
        <v>insertMbrJoin</v>
      </c>
      <c r="AB99" s="275" t="str">
        <f t="shared" si="11"/>
        <v/>
      </c>
      <c r="AC99" s="8"/>
      <c r="AD99" s="8"/>
      <c r="AE99" s="8"/>
      <c r="AF99" s="8"/>
      <c r="AG99" s="8"/>
      <c r="AH99" s="8"/>
      <c r="AI99" s="8"/>
      <c r="AJ99" s="8"/>
    </row>
    <row r="100" spans="1:36" s="345" customFormat="1" ht="16.05" customHeight="1">
      <c r="A100" s="344"/>
      <c r="B100" s="8"/>
      <c r="C100" s="341" t="s">
        <v>1606</v>
      </c>
      <c r="D100" s="47" t="str">
        <f t="shared" si="9"/>
        <v/>
      </c>
      <c r="E100" s="8"/>
      <c r="F100" s="341"/>
      <c r="G100" s="341" t="s">
        <v>5282</v>
      </c>
      <c r="H100" s="341" t="s">
        <v>61</v>
      </c>
      <c r="I100" s="341"/>
      <c r="J100" s="341"/>
      <c r="K100" s="341"/>
      <c r="L100" s="341"/>
      <c r="M100" s="341"/>
      <c r="N100" s="8"/>
      <c r="O100" s="8"/>
      <c r="P100" s="8"/>
      <c r="Q100" s="8"/>
      <c r="R100" s="8"/>
      <c r="S100" s="8"/>
      <c r="T100" s="8"/>
      <c r="U100" s="8"/>
      <c r="V100" s="341" t="s">
        <v>5181</v>
      </c>
      <c r="W100" s="8" t="s">
        <v>5378</v>
      </c>
      <c r="X100" s="8"/>
      <c r="Y100" s="341" t="s">
        <v>5187</v>
      </c>
      <c r="Z100" s="341"/>
      <c r="AA100" s="8" t="str">
        <f t="shared" si="10"/>
        <v>insertMbrHpCert</v>
      </c>
      <c r="AB100" s="275" t="str">
        <f t="shared" si="11"/>
        <v/>
      </c>
      <c r="AC100" s="8"/>
      <c r="AD100" s="8"/>
      <c r="AE100" s="8"/>
      <c r="AF100" s="8"/>
      <c r="AG100" s="8"/>
      <c r="AH100" s="8"/>
      <c r="AI100" s="8"/>
      <c r="AJ100" s="8"/>
    </row>
    <row r="101" spans="1:36" s="345" customFormat="1" ht="16.05" customHeight="1">
      <c r="A101" s="344"/>
      <c r="B101" s="8"/>
      <c r="C101" s="341" t="s">
        <v>1606</v>
      </c>
      <c r="D101" s="47" t="str">
        <f t="shared" si="9"/>
        <v/>
      </c>
      <c r="E101" s="8"/>
      <c r="F101" s="341"/>
      <c r="G101" s="341" t="s">
        <v>5282</v>
      </c>
      <c r="H101" s="341" t="s">
        <v>61</v>
      </c>
      <c r="I101" s="341"/>
      <c r="J101" s="341"/>
      <c r="K101" s="341"/>
      <c r="L101" s="341"/>
      <c r="M101" s="341"/>
      <c r="N101" s="8"/>
      <c r="O101" s="8"/>
      <c r="P101" s="8"/>
      <c r="Q101" s="8"/>
      <c r="R101" s="8"/>
      <c r="S101" s="8"/>
      <c r="T101" s="8"/>
      <c r="U101" s="8"/>
      <c r="V101" s="341" t="s">
        <v>5181</v>
      </c>
      <c r="W101" s="8" t="s">
        <v>5090</v>
      </c>
      <c r="X101" s="8"/>
      <c r="Y101" s="341" t="s">
        <v>5172</v>
      </c>
      <c r="Z101" s="341"/>
      <c r="AA101" s="8" t="str">
        <f t="shared" si="10"/>
        <v>selectMbrHpCert</v>
      </c>
      <c r="AB101" s="275" t="str">
        <f t="shared" si="11"/>
        <v/>
      </c>
      <c r="AC101" s="8"/>
      <c r="AD101" s="8"/>
      <c r="AE101" s="8"/>
      <c r="AF101" s="8"/>
      <c r="AG101" s="8"/>
      <c r="AH101" s="8"/>
      <c r="AI101" s="8"/>
      <c r="AJ101" s="8"/>
    </row>
    <row r="102" spans="1:36" s="345" customFormat="1" ht="16.05" customHeight="1">
      <c r="A102" s="344"/>
      <c r="B102" s="8"/>
      <c r="C102" s="341" t="s">
        <v>1606</v>
      </c>
      <c r="D102" s="47" t="str">
        <f t="shared" si="9"/>
        <v/>
      </c>
      <c r="E102" s="8"/>
      <c r="F102" s="341"/>
      <c r="G102" s="341" t="s">
        <v>81</v>
      </c>
      <c r="H102" s="341" t="s">
        <v>5278</v>
      </c>
      <c r="I102" s="341"/>
      <c r="J102" s="341"/>
      <c r="K102" s="341"/>
      <c r="L102" s="341"/>
      <c r="M102" s="341"/>
      <c r="N102" s="8"/>
      <c r="O102" s="8"/>
      <c r="P102" s="8"/>
      <c r="Q102" s="8"/>
      <c r="R102" s="8"/>
      <c r="S102" s="8"/>
      <c r="T102" s="8"/>
      <c r="U102" s="8"/>
      <c r="V102" s="341" t="s">
        <v>5181</v>
      </c>
      <c r="W102" s="8" t="s">
        <v>5092</v>
      </c>
      <c r="X102" s="8"/>
      <c r="Y102" s="341" t="s">
        <v>5172</v>
      </c>
      <c r="Z102" s="341"/>
      <c r="AA102" s="8" t="str">
        <f t="shared" si="10"/>
        <v>selectMbrIdSrch</v>
      </c>
      <c r="AB102" s="275" t="str">
        <f t="shared" si="11"/>
        <v/>
      </c>
      <c r="AC102" s="8"/>
      <c r="AD102" s="8"/>
      <c r="AE102" s="8"/>
      <c r="AF102" s="8"/>
      <c r="AG102" s="8"/>
      <c r="AH102" s="8"/>
      <c r="AI102" s="8"/>
      <c r="AJ102" s="8"/>
    </row>
    <row r="103" spans="1:36" s="345" customFormat="1" ht="16.05" customHeight="1">
      <c r="A103" s="344"/>
      <c r="B103" s="8"/>
      <c r="C103" s="341" t="s">
        <v>1606</v>
      </c>
      <c r="D103" s="47" t="str">
        <f t="shared" si="9"/>
        <v/>
      </c>
      <c r="E103" s="8"/>
      <c r="F103" s="341"/>
      <c r="G103" s="341" t="s">
        <v>5279</v>
      </c>
      <c r="H103" s="341" t="s">
        <v>5278</v>
      </c>
      <c r="I103" s="341"/>
      <c r="J103" s="341"/>
      <c r="K103" s="341"/>
      <c r="L103" s="341"/>
      <c r="M103" s="341"/>
      <c r="N103" s="8"/>
      <c r="O103" s="8"/>
      <c r="P103" s="8"/>
      <c r="Q103" s="8"/>
      <c r="R103" s="8"/>
      <c r="S103" s="8"/>
      <c r="T103" s="8"/>
      <c r="U103" s="8"/>
      <c r="V103" s="341" t="s">
        <v>5181</v>
      </c>
      <c r="W103" s="8" t="s">
        <v>5093</v>
      </c>
      <c r="X103" s="8"/>
      <c r="Y103" s="341" t="s">
        <v>5172</v>
      </c>
      <c r="Z103" s="341"/>
      <c r="AA103" s="8" t="str">
        <f t="shared" si="10"/>
        <v>selectMbrPwdSrch</v>
      </c>
      <c r="AB103" s="275" t="str">
        <f t="shared" si="11"/>
        <v/>
      </c>
      <c r="AC103" s="8"/>
      <c r="AD103" s="8"/>
      <c r="AE103" s="8"/>
      <c r="AF103" s="8"/>
      <c r="AG103" s="8"/>
      <c r="AH103" s="8"/>
      <c r="AI103" s="8"/>
      <c r="AJ103" s="8"/>
    </row>
    <row r="104" spans="1:36" s="349" customFormat="1" ht="16.05" customHeight="1" thickBot="1">
      <c r="A104" s="346"/>
      <c r="B104" s="16"/>
      <c r="C104" s="347" t="s">
        <v>1606</v>
      </c>
      <c r="D104" s="348" t="str">
        <f t="shared" si="9"/>
        <v/>
      </c>
      <c r="E104" s="16"/>
      <c r="F104" s="347"/>
      <c r="G104" s="347" t="s">
        <v>1637</v>
      </c>
      <c r="H104" s="347"/>
      <c r="I104" s="347"/>
      <c r="J104" s="347"/>
      <c r="K104" s="347"/>
      <c r="L104" s="347"/>
      <c r="M104" s="347"/>
      <c r="N104" s="16"/>
      <c r="O104" s="16"/>
      <c r="P104" s="16"/>
      <c r="Q104" s="16"/>
      <c r="R104" s="16"/>
      <c r="S104" s="16"/>
      <c r="T104" s="16"/>
      <c r="U104" s="16"/>
      <c r="V104" s="347" t="s">
        <v>5181</v>
      </c>
      <c r="W104" s="16" t="s">
        <v>5097</v>
      </c>
      <c r="X104" s="16"/>
      <c r="Y104" s="347" t="s">
        <v>26</v>
      </c>
      <c r="Z104" s="347"/>
      <c r="AA104" s="16" t="str">
        <f t="shared" si="10"/>
        <v>deleteMbrWhdwl</v>
      </c>
      <c r="AB104" s="15" t="str">
        <f t="shared" si="11"/>
        <v/>
      </c>
      <c r="AC104" s="16"/>
      <c r="AD104" s="16"/>
      <c r="AE104" s="16"/>
      <c r="AF104" s="16"/>
      <c r="AG104" s="16"/>
      <c r="AH104" s="16"/>
      <c r="AI104" s="16"/>
      <c r="AJ104" s="16"/>
    </row>
    <row r="105" spans="1:36" s="337" customFormat="1" ht="16.05" customHeight="1">
      <c r="A105" s="343"/>
      <c r="B105" s="336"/>
      <c r="C105" s="335" t="s">
        <v>5218</v>
      </c>
      <c r="D105" s="335" t="str">
        <f t="shared" si="9"/>
        <v>kr.go.prpr.app.my.web</v>
      </c>
      <c r="E105" s="336"/>
      <c r="F105" s="335"/>
      <c r="G105" s="335" t="s">
        <v>177</v>
      </c>
      <c r="H105" s="335"/>
      <c r="I105" s="335"/>
      <c r="J105" s="335"/>
      <c r="K105" s="335"/>
      <c r="L105" s="335"/>
      <c r="M105" s="335"/>
      <c r="N105" s="336"/>
      <c r="O105" s="336"/>
      <c r="P105" s="336"/>
      <c r="Q105" s="336"/>
      <c r="R105" s="336"/>
      <c r="S105" s="336"/>
      <c r="T105" s="336"/>
      <c r="U105" s="336"/>
      <c r="V105" s="335" t="s">
        <v>2844</v>
      </c>
      <c r="W105" s="336" t="s">
        <v>5288</v>
      </c>
      <c r="X105" s="336"/>
      <c r="Y105" s="335" t="s">
        <v>5377</v>
      </c>
      <c r="Z105" s="335"/>
      <c r="AA105" s="336" t="str">
        <f t="shared" si="10"/>
        <v>MyMenuController.java</v>
      </c>
      <c r="AB105" s="334" t="str">
        <f t="shared" si="11"/>
        <v/>
      </c>
      <c r="AC105" s="336"/>
      <c r="AD105" s="336"/>
      <c r="AE105" s="336"/>
      <c r="AF105" s="336"/>
      <c r="AG105" s="336"/>
      <c r="AH105" s="336"/>
      <c r="AI105" s="336"/>
      <c r="AJ105" s="336"/>
    </row>
    <row r="106" spans="1:36" s="358" customFormat="1" ht="16.05" customHeight="1">
      <c r="A106" s="352" t="s">
        <v>4501</v>
      </c>
      <c r="B106" s="353"/>
      <c r="C106" s="354" t="s">
        <v>5218</v>
      </c>
      <c r="D106" s="355" t="str">
        <f t="shared" si="9"/>
        <v/>
      </c>
      <c r="E106" s="353"/>
      <c r="F106" s="354"/>
      <c r="G106" s="354" t="s">
        <v>2710</v>
      </c>
      <c r="H106" s="354"/>
      <c r="I106" s="354"/>
      <c r="J106" s="354"/>
      <c r="K106" s="354"/>
      <c r="L106" s="354"/>
      <c r="M106" s="354"/>
      <c r="N106" s="353"/>
      <c r="O106" s="353"/>
      <c r="P106" s="353"/>
      <c r="Q106" s="353"/>
      <c r="R106" s="353"/>
      <c r="S106" s="353"/>
      <c r="T106" s="353"/>
      <c r="U106" s="353"/>
      <c r="V106" s="354" t="s">
        <v>1907</v>
      </c>
      <c r="W106" s="353" t="s">
        <v>5289</v>
      </c>
      <c r="X106" s="353"/>
      <c r="Y106" s="354" t="s">
        <v>5166</v>
      </c>
      <c r="Z106" s="354"/>
      <c r="AA106" s="353" t="str">
        <f t="shared" si="10"/>
        <v>viewMyMain</v>
      </c>
      <c r="AB106" s="356" t="str">
        <f t="shared" si="11"/>
        <v>/my/main.do</v>
      </c>
      <c r="AC106" s="353"/>
      <c r="AD106" s="357">
        <v>44525</v>
      </c>
      <c r="AE106" s="357">
        <v>44529</v>
      </c>
      <c r="AF106" s="353"/>
      <c r="AG106" s="353"/>
      <c r="AH106" s="353"/>
      <c r="AI106" s="353"/>
      <c r="AJ106" s="353"/>
    </row>
    <row r="107" spans="1:36" s="358" customFormat="1" ht="16.05" customHeight="1">
      <c r="A107" s="352" t="s">
        <v>4505</v>
      </c>
      <c r="B107" s="353"/>
      <c r="C107" s="354" t="s">
        <v>5218</v>
      </c>
      <c r="D107" s="355" t="str">
        <f t="shared" si="9"/>
        <v/>
      </c>
      <c r="E107" s="353"/>
      <c r="F107" s="354"/>
      <c r="G107" s="354" t="s">
        <v>5279</v>
      </c>
      <c r="H107" s="354" t="s">
        <v>463</v>
      </c>
      <c r="I107" s="354"/>
      <c r="J107" s="354"/>
      <c r="K107" s="354"/>
      <c r="L107" s="354"/>
      <c r="M107" s="354"/>
      <c r="N107" s="353"/>
      <c r="O107" s="353"/>
      <c r="P107" s="353"/>
      <c r="Q107" s="353"/>
      <c r="R107" s="353"/>
      <c r="S107" s="353"/>
      <c r="T107" s="353"/>
      <c r="U107" s="353"/>
      <c r="V107" s="354" t="s">
        <v>1907</v>
      </c>
      <c r="W107" s="353" t="s">
        <v>5096</v>
      </c>
      <c r="X107" s="353"/>
      <c r="Y107" s="354" t="s">
        <v>5166</v>
      </c>
      <c r="Z107" s="354"/>
      <c r="AA107" s="353" t="str">
        <f t="shared" si="10"/>
        <v>viewMyPwdChg</v>
      </c>
      <c r="AB107" s="356" t="str">
        <f t="shared" si="11"/>
        <v>/my/pwdChg.do</v>
      </c>
      <c r="AC107" s="353"/>
      <c r="AD107" s="357">
        <v>44530</v>
      </c>
      <c r="AE107" s="357">
        <v>44531</v>
      </c>
      <c r="AF107" s="353"/>
      <c r="AG107" s="353"/>
      <c r="AH107" s="353"/>
      <c r="AI107" s="353"/>
      <c r="AJ107" s="353"/>
    </row>
    <row r="108" spans="1:36" s="358" customFormat="1" ht="16.05" customHeight="1">
      <c r="A108" s="352" t="s">
        <v>4511</v>
      </c>
      <c r="B108" s="353"/>
      <c r="C108" s="354" t="s">
        <v>5218</v>
      </c>
      <c r="D108" s="355" t="str">
        <f t="shared" si="9"/>
        <v/>
      </c>
      <c r="E108" s="353"/>
      <c r="F108" s="354"/>
      <c r="G108" s="354" t="s">
        <v>1236</v>
      </c>
      <c r="H108" s="354" t="s">
        <v>1525</v>
      </c>
      <c r="I108" s="354" t="s">
        <v>1845</v>
      </c>
      <c r="J108" s="354" t="s">
        <v>5290</v>
      </c>
      <c r="K108" s="354"/>
      <c r="L108" s="354"/>
      <c r="M108" s="354"/>
      <c r="N108" s="353"/>
      <c r="O108" s="353"/>
      <c r="P108" s="353"/>
      <c r="Q108" s="353"/>
      <c r="R108" s="353"/>
      <c r="S108" s="353"/>
      <c r="T108" s="353"/>
      <c r="U108" s="353"/>
      <c r="V108" s="354" t="s">
        <v>1907</v>
      </c>
      <c r="W108" s="353" t="s">
        <v>5226</v>
      </c>
      <c r="X108" s="353"/>
      <c r="Y108" s="354" t="s">
        <v>5166</v>
      </c>
      <c r="Z108" s="354"/>
      <c r="AA108" s="353" t="str">
        <f t="shared" si="10"/>
        <v>viewMyIndiInfoPrcsGdln</v>
      </c>
      <c r="AB108" s="356" t="str">
        <f t="shared" si="11"/>
        <v>/my/indiInfoPrcsGdln.do</v>
      </c>
      <c r="AC108" s="353"/>
      <c r="AD108" s="357">
        <v>44536</v>
      </c>
      <c r="AE108" s="357">
        <v>44536</v>
      </c>
      <c r="AF108" s="353"/>
      <c r="AG108" s="353"/>
      <c r="AH108" s="353"/>
      <c r="AI108" s="353"/>
      <c r="AJ108" s="353"/>
    </row>
    <row r="109" spans="1:36" s="345" customFormat="1" ht="16.05" customHeight="1">
      <c r="A109" s="344"/>
      <c r="B109" s="8"/>
      <c r="C109" s="341" t="s">
        <v>5218</v>
      </c>
      <c r="D109" s="47" t="str">
        <f t="shared" si="9"/>
        <v/>
      </c>
      <c r="E109" s="8"/>
      <c r="F109" s="341"/>
      <c r="G109" s="341" t="s">
        <v>5291</v>
      </c>
      <c r="H109" s="341" t="s">
        <v>1525</v>
      </c>
      <c r="I109" s="341" t="s">
        <v>1455</v>
      </c>
      <c r="J109" s="341"/>
      <c r="K109" s="341"/>
      <c r="L109" s="341"/>
      <c r="M109" s="341"/>
      <c r="N109" s="8"/>
      <c r="O109" s="8"/>
      <c r="P109" s="8"/>
      <c r="Q109" s="8"/>
      <c r="R109" s="8"/>
      <c r="S109" s="8"/>
      <c r="T109" s="8"/>
      <c r="U109" s="8"/>
      <c r="V109" s="341" t="s">
        <v>5263</v>
      </c>
      <c r="W109" s="8" t="s">
        <v>5094</v>
      </c>
      <c r="X109" s="8"/>
      <c r="Y109" s="341" t="s">
        <v>5172</v>
      </c>
      <c r="Z109" s="341"/>
      <c r="AA109" s="8" t="str">
        <f t="shared" si="10"/>
        <v>selectMyMyInfoSrch</v>
      </c>
      <c r="AB109" s="275" t="str">
        <f t="shared" si="11"/>
        <v>/api/my/myInfoSrch</v>
      </c>
      <c r="AC109" s="8"/>
      <c r="AD109" s="8"/>
      <c r="AE109" s="8"/>
      <c r="AF109" s="8"/>
      <c r="AG109" s="8"/>
      <c r="AH109" s="8"/>
      <c r="AI109" s="8"/>
      <c r="AJ109" s="8"/>
    </row>
    <row r="110" spans="1:36" s="345" customFormat="1" ht="16.05" customHeight="1">
      <c r="A110" s="344"/>
      <c r="B110" s="8"/>
      <c r="C110" s="341" t="s">
        <v>5218</v>
      </c>
      <c r="D110" s="47" t="str">
        <f t="shared" si="9"/>
        <v/>
      </c>
      <c r="E110" s="8"/>
      <c r="F110" s="341"/>
      <c r="G110" s="341" t="s">
        <v>5334</v>
      </c>
      <c r="H110" s="341" t="s">
        <v>4</v>
      </c>
      <c r="I110" s="341" t="s">
        <v>11</v>
      </c>
      <c r="J110" s="341"/>
      <c r="K110" s="341"/>
      <c r="L110" s="341"/>
      <c r="M110" s="341"/>
      <c r="N110" s="8"/>
      <c r="O110" s="8"/>
      <c r="P110" s="8"/>
      <c r="Q110" s="8"/>
      <c r="R110" s="8"/>
      <c r="S110" s="8"/>
      <c r="T110" s="8"/>
      <c r="U110" s="8"/>
      <c r="V110" s="341" t="s">
        <v>5263</v>
      </c>
      <c r="W110" s="8" t="s">
        <v>5391</v>
      </c>
      <c r="X110" s="8"/>
      <c r="Y110" s="341" t="s">
        <v>31</v>
      </c>
      <c r="Z110" s="341" t="s">
        <v>5390</v>
      </c>
      <c r="AA110" s="8" t="str">
        <f t="shared" si="10"/>
        <v>saveMySetnInfoSave</v>
      </c>
      <c r="AB110" s="275" t="str">
        <f t="shared" si="11"/>
        <v>/api/my/setnInfoSave</v>
      </c>
      <c r="AC110" s="8"/>
      <c r="AD110" s="8"/>
      <c r="AE110" s="8"/>
      <c r="AF110" s="8"/>
      <c r="AG110" s="8"/>
      <c r="AH110" s="8"/>
      <c r="AI110" s="8"/>
      <c r="AJ110" s="8"/>
    </row>
    <row r="111" spans="1:36" s="345" customFormat="1" ht="16.05" customHeight="1">
      <c r="A111" s="344"/>
      <c r="B111" s="8"/>
      <c r="C111" s="341" t="s">
        <v>5218</v>
      </c>
      <c r="D111" s="47" t="str">
        <f t="shared" si="9"/>
        <v/>
      </c>
      <c r="E111" s="8"/>
      <c r="F111" s="341"/>
      <c r="G111" s="341" t="s">
        <v>5279</v>
      </c>
      <c r="H111" s="341" t="s">
        <v>463</v>
      </c>
      <c r="I111" s="341"/>
      <c r="J111" s="341"/>
      <c r="K111" s="341"/>
      <c r="L111" s="341"/>
      <c r="M111" s="341"/>
      <c r="N111" s="8"/>
      <c r="O111" s="8"/>
      <c r="P111" s="8"/>
      <c r="Q111" s="8"/>
      <c r="R111" s="8"/>
      <c r="S111" s="8"/>
      <c r="T111" s="8"/>
      <c r="U111" s="8"/>
      <c r="V111" s="341" t="s">
        <v>5263</v>
      </c>
      <c r="W111" s="8" t="s">
        <v>5096</v>
      </c>
      <c r="X111" s="8"/>
      <c r="Y111" s="341" t="s">
        <v>30</v>
      </c>
      <c r="Z111" s="341" t="s">
        <v>5390</v>
      </c>
      <c r="AA111" s="8" t="str">
        <f t="shared" si="10"/>
        <v>updateMyPwdChg</v>
      </c>
      <c r="AB111" s="275" t="str">
        <f t="shared" si="11"/>
        <v>/api/my/pwdChg</v>
      </c>
      <c r="AC111" s="8"/>
      <c r="AD111" s="8"/>
      <c r="AE111" s="8"/>
      <c r="AF111" s="8"/>
      <c r="AG111" s="8"/>
      <c r="AH111" s="8"/>
      <c r="AI111" s="8"/>
      <c r="AJ111" s="8"/>
    </row>
    <row r="112" spans="1:36" s="358" customFormat="1" ht="16.05" customHeight="1">
      <c r="A112" s="352"/>
      <c r="B112" s="353"/>
      <c r="C112" s="354" t="s">
        <v>5218</v>
      </c>
      <c r="D112" s="355" t="str">
        <f t="shared" si="9"/>
        <v/>
      </c>
      <c r="E112" s="353"/>
      <c r="F112" s="354"/>
      <c r="G112" s="354" t="s">
        <v>177</v>
      </c>
      <c r="H112" s="354"/>
      <c r="I112" s="354"/>
      <c r="J112" s="354"/>
      <c r="K112" s="354"/>
      <c r="L112" s="354"/>
      <c r="M112" s="354"/>
      <c r="N112" s="353"/>
      <c r="O112" s="353"/>
      <c r="P112" s="353"/>
      <c r="Q112" s="353"/>
      <c r="R112" s="353"/>
      <c r="S112" s="353"/>
      <c r="T112" s="353"/>
      <c r="U112" s="353"/>
      <c r="V112" s="354" t="s">
        <v>5173</v>
      </c>
      <c r="W112" s="353" t="s">
        <v>5289</v>
      </c>
      <c r="X112" s="353"/>
      <c r="Y112" s="354" t="s">
        <v>5173</v>
      </c>
      <c r="Z112" s="354"/>
      <c r="AA112" s="353" t="str">
        <f t="shared" si="10"/>
        <v>/my/menu.jsp</v>
      </c>
      <c r="AB112" s="356" t="str">
        <f t="shared" si="11"/>
        <v/>
      </c>
      <c r="AC112" s="353"/>
      <c r="AD112" s="353"/>
      <c r="AE112" s="353"/>
      <c r="AF112" s="353"/>
      <c r="AG112" s="353"/>
      <c r="AH112" s="353"/>
      <c r="AI112" s="353"/>
      <c r="AJ112" s="353"/>
    </row>
    <row r="113" spans="1:36" s="358" customFormat="1" ht="16.05" customHeight="1">
      <c r="A113" s="352"/>
      <c r="B113" s="353"/>
      <c r="C113" s="354" t="s">
        <v>5218</v>
      </c>
      <c r="D113" s="355" t="str">
        <f t="shared" si="9"/>
        <v/>
      </c>
      <c r="E113" s="353"/>
      <c r="F113" s="354"/>
      <c r="G113" s="354" t="s">
        <v>5279</v>
      </c>
      <c r="H113" s="354" t="s">
        <v>463</v>
      </c>
      <c r="I113" s="354"/>
      <c r="J113" s="354"/>
      <c r="K113" s="354"/>
      <c r="L113" s="354"/>
      <c r="M113" s="354"/>
      <c r="N113" s="353"/>
      <c r="O113" s="353"/>
      <c r="P113" s="353"/>
      <c r="Q113" s="353"/>
      <c r="R113" s="353"/>
      <c r="S113" s="353"/>
      <c r="T113" s="353"/>
      <c r="U113" s="353"/>
      <c r="V113" s="354" t="s">
        <v>5173</v>
      </c>
      <c r="W113" s="353" t="s">
        <v>5096</v>
      </c>
      <c r="X113" s="353"/>
      <c r="Y113" s="354" t="s">
        <v>5173</v>
      </c>
      <c r="Z113" s="354"/>
      <c r="AA113" s="353" t="str">
        <f t="shared" si="10"/>
        <v>/my/pwd_chg.jsp</v>
      </c>
      <c r="AB113" s="356" t="str">
        <f t="shared" si="11"/>
        <v/>
      </c>
      <c r="AC113" s="353"/>
      <c r="AD113" s="353"/>
      <c r="AE113" s="353"/>
      <c r="AF113" s="353"/>
      <c r="AG113" s="353"/>
      <c r="AH113" s="353"/>
      <c r="AI113" s="353"/>
      <c r="AJ113" s="353"/>
    </row>
    <row r="114" spans="1:36" s="358" customFormat="1" ht="16.05" customHeight="1">
      <c r="A114" s="352"/>
      <c r="B114" s="353"/>
      <c r="C114" s="354" t="s">
        <v>5218</v>
      </c>
      <c r="D114" s="355" t="str">
        <f t="shared" si="9"/>
        <v/>
      </c>
      <c r="E114" s="353"/>
      <c r="F114" s="354"/>
      <c r="G114" s="354" t="s">
        <v>1236</v>
      </c>
      <c r="H114" s="354" t="s">
        <v>1525</v>
      </c>
      <c r="I114" s="354" t="s">
        <v>1845</v>
      </c>
      <c r="J114" s="354" t="s">
        <v>5290</v>
      </c>
      <c r="K114" s="354"/>
      <c r="L114" s="354"/>
      <c r="M114" s="354"/>
      <c r="N114" s="353"/>
      <c r="O114" s="353"/>
      <c r="P114" s="353"/>
      <c r="Q114" s="353"/>
      <c r="R114" s="353"/>
      <c r="S114" s="353"/>
      <c r="T114" s="353"/>
      <c r="U114" s="353"/>
      <c r="V114" s="354" t="s">
        <v>5173</v>
      </c>
      <c r="W114" s="353" t="s">
        <v>5226</v>
      </c>
      <c r="X114" s="353"/>
      <c r="Y114" s="354" t="s">
        <v>5173</v>
      </c>
      <c r="Z114" s="354"/>
      <c r="AA114" s="353" t="str">
        <f t="shared" si="10"/>
        <v>/my/indi_info_prcs_gdln.jsp</v>
      </c>
      <c r="AB114" s="356" t="str">
        <f t="shared" si="11"/>
        <v/>
      </c>
      <c r="AC114" s="353"/>
      <c r="AD114" s="353"/>
      <c r="AE114" s="353"/>
      <c r="AF114" s="353"/>
      <c r="AG114" s="353"/>
      <c r="AH114" s="353"/>
      <c r="AI114" s="353"/>
      <c r="AJ114" s="353"/>
    </row>
    <row r="115" spans="1:36" s="333" customFormat="1" ht="16.05" customHeight="1">
      <c r="A115" s="350"/>
      <c r="B115" s="332"/>
      <c r="C115" s="52" t="s">
        <v>5218</v>
      </c>
      <c r="D115" s="52" t="str">
        <f t="shared" si="9"/>
        <v>kr.go.prpr.app.my.service</v>
      </c>
      <c r="E115" s="332"/>
      <c r="F115" s="52"/>
      <c r="G115" s="52" t="s">
        <v>177</v>
      </c>
      <c r="H115" s="52"/>
      <c r="I115" s="52"/>
      <c r="J115" s="52"/>
      <c r="K115" s="52"/>
      <c r="L115" s="52"/>
      <c r="M115" s="52"/>
      <c r="N115" s="332"/>
      <c r="O115" s="332"/>
      <c r="P115" s="332"/>
      <c r="Q115" s="332"/>
      <c r="R115" s="332"/>
      <c r="S115" s="332"/>
      <c r="T115" s="332"/>
      <c r="U115" s="332"/>
      <c r="V115" s="52" t="s">
        <v>5177</v>
      </c>
      <c r="W115" s="332" t="s">
        <v>5294</v>
      </c>
      <c r="X115" s="332"/>
      <c r="Y115" s="338" t="s">
        <v>5377</v>
      </c>
      <c r="Z115" s="52"/>
      <c r="AA115" s="332" t="str">
        <f t="shared" si="10"/>
        <v>MyMenuService.java</v>
      </c>
      <c r="AB115" s="13" t="str">
        <f t="shared" si="11"/>
        <v/>
      </c>
      <c r="AC115" s="332"/>
      <c r="AD115" s="332"/>
      <c r="AE115" s="332"/>
      <c r="AF115" s="332"/>
      <c r="AG115" s="332"/>
      <c r="AH115" s="332"/>
      <c r="AI115" s="332"/>
      <c r="AJ115" s="332"/>
    </row>
    <row r="116" spans="1:36" s="333" customFormat="1" ht="16.05" customHeight="1">
      <c r="A116" s="350"/>
      <c r="B116" s="332"/>
      <c r="C116" s="52" t="s">
        <v>5218</v>
      </c>
      <c r="D116" s="52" t="str">
        <f t="shared" si="9"/>
        <v>kr.go.prpr.app.my.serviceimpl</v>
      </c>
      <c r="E116" s="332"/>
      <c r="F116" s="52"/>
      <c r="G116" s="52" t="s">
        <v>177</v>
      </c>
      <c r="H116" s="52"/>
      <c r="I116" s="52"/>
      <c r="J116" s="52"/>
      <c r="K116" s="52"/>
      <c r="L116" s="52"/>
      <c r="M116" s="52"/>
      <c r="N116" s="332"/>
      <c r="O116" s="332"/>
      <c r="P116" s="332"/>
      <c r="Q116" s="332"/>
      <c r="R116" s="332"/>
      <c r="S116" s="332"/>
      <c r="T116" s="332"/>
      <c r="U116" s="332"/>
      <c r="V116" s="52" t="s">
        <v>5178</v>
      </c>
      <c r="W116" s="332" t="s">
        <v>5295</v>
      </c>
      <c r="X116" s="332"/>
      <c r="Y116" s="338" t="s">
        <v>5377</v>
      </c>
      <c r="Z116" s="52"/>
      <c r="AA116" s="332" t="str">
        <f t="shared" si="10"/>
        <v>MyMenuServiceImpl.java</v>
      </c>
      <c r="AB116" s="13" t="str">
        <f t="shared" si="11"/>
        <v/>
      </c>
      <c r="AC116" s="332"/>
      <c r="AD116" s="332"/>
      <c r="AE116" s="332"/>
      <c r="AF116" s="332"/>
      <c r="AG116" s="332"/>
      <c r="AH116" s="332"/>
      <c r="AI116" s="332"/>
      <c r="AJ116" s="332"/>
    </row>
    <row r="117" spans="1:36" s="345" customFormat="1" ht="16.05" customHeight="1">
      <c r="A117" s="344"/>
      <c r="B117" s="8"/>
      <c r="C117" s="341" t="s">
        <v>5218</v>
      </c>
      <c r="D117" s="47" t="str">
        <f t="shared" si="9"/>
        <v/>
      </c>
      <c r="E117" s="8"/>
      <c r="F117" s="341"/>
      <c r="G117" s="341" t="s">
        <v>5291</v>
      </c>
      <c r="H117" s="341" t="s">
        <v>1525</v>
      </c>
      <c r="I117" s="341" t="s">
        <v>1455</v>
      </c>
      <c r="J117" s="341"/>
      <c r="K117" s="341"/>
      <c r="L117" s="341"/>
      <c r="M117" s="341"/>
      <c r="N117" s="8"/>
      <c r="O117" s="8"/>
      <c r="P117" s="8"/>
      <c r="Q117" s="8"/>
      <c r="R117" s="8"/>
      <c r="S117" s="8"/>
      <c r="T117" s="8"/>
      <c r="U117" s="8"/>
      <c r="V117" s="341" t="s">
        <v>2297</v>
      </c>
      <c r="W117" s="8" t="s">
        <v>5094</v>
      </c>
      <c r="X117" s="8"/>
      <c r="Y117" s="341" t="s">
        <v>5172</v>
      </c>
      <c r="Z117" s="341"/>
      <c r="AA117" s="8" t="str">
        <f t="shared" si="10"/>
        <v>selectMyMyInfoSrch</v>
      </c>
      <c r="AB117" s="275" t="str">
        <f t="shared" si="11"/>
        <v/>
      </c>
      <c r="AC117" s="8"/>
      <c r="AD117" s="8"/>
      <c r="AE117" s="8"/>
      <c r="AF117" s="8"/>
      <c r="AG117" s="8"/>
      <c r="AH117" s="8"/>
      <c r="AI117" s="8"/>
      <c r="AJ117" s="8"/>
    </row>
    <row r="118" spans="1:36" s="345" customFormat="1" ht="16.05" customHeight="1">
      <c r="A118" s="344"/>
      <c r="B118" s="8"/>
      <c r="C118" s="341" t="s">
        <v>5218</v>
      </c>
      <c r="D118" s="47" t="str">
        <f t="shared" si="9"/>
        <v/>
      </c>
      <c r="E118" s="8"/>
      <c r="F118" s="341"/>
      <c r="G118" s="341" t="s">
        <v>1285</v>
      </c>
      <c r="H118" s="341" t="s">
        <v>12</v>
      </c>
      <c r="I118" s="341" t="s">
        <v>5292</v>
      </c>
      <c r="J118" s="341" t="s">
        <v>5293</v>
      </c>
      <c r="K118" s="341"/>
      <c r="L118" s="341"/>
      <c r="M118" s="341"/>
      <c r="N118" s="8"/>
      <c r="O118" s="8"/>
      <c r="P118" s="8"/>
      <c r="Q118" s="8"/>
      <c r="R118" s="8"/>
      <c r="S118" s="8"/>
      <c r="T118" s="8"/>
      <c r="U118" s="8"/>
      <c r="V118" s="341" t="s">
        <v>2297</v>
      </c>
      <c r="W118" s="8" t="s">
        <v>5095</v>
      </c>
      <c r="X118" s="8"/>
      <c r="Y118" s="341" t="s">
        <v>31</v>
      </c>
      <c r="Z118" s="341"/>
      <c r="AA118" s="8" t="str">
        <f t="shared" si="10"/>
        <v>saveMyAtLoginOnOff</v>
      </c>
      <c r="AB118" s="275" t="str">
        <f t="shared" si="11"/>
        <v/>
      </c>
      <c r="AC118" s="8"/>
      <c r="AD118" s="8"/>
      <c r="AE118" s="8"/>
      <c r="AF118" s="8"/>
      <c r="AG118" s="8"/>
      <c r="AH118" s="8"/>
      <c r="AI118" s="8"/>
      <c r="AJ118" s="8"/>
    </row>
    <row r="119" spans="1:36" s="345" customFormat="1" ht="16.05" customHeight="1">
      <c r="A119" s="344"/>
      <c r="B119" s="8"/>
      <c r="C119" s="341" t="s">
        <v>5218</v>
      </c>
      <c r="D119" s="47" t="str">
        <f t="shared" si="9"/>
        <v/>
      </c>
      <c r="E119" s="8"/>
      <c r="F119" s="341"/>
      <c r="G119" s="341" t="s">
        <v>5279</v>
      </c>
      <c r="H119" s="341" t="s">
        <v>463</v>
      </c>
      <c r="I119" s="341"/>
      <c r="J119" s="341"/>
      <c r="K119" s="341"/>
      <c r="L119" s="341"/>
      <c r="M119" s="341"/>
      <c r="N119" s="8"/>
      <c r="O119" s="8"/>
      <c r="P119" s="8"/>
      <c r="Q119" s="8"/>
      <c r="R119" s="8"/>
      <c r="S119" s="8"/>
      <c r="T119" s="8"/>
      <c r="U119" s="8"/>
      <c r="V119" s="341" t="s">
        <v>2297</v>
      </c>
      <c r="W119" s="8" t="s">
        <v>5096</v>
      </c>
      <c r="X119" s="8"/>
      <c r="Y119" s="341" t="s">
        <v>30</v>
      </c>
      <c r="Z119" s="341"/>
      <c r="AA119" s="8" t="str">
        <f t="shared" si="10"/>
        <v>updateMyPwdChg</v>
      </c>
      <c r="AB119" s="275" t="str">
        <f t="shared" si="11"/>
        <v/>
      </c>
      <c r="AC119" s="8"/>
      <c r="AD119" s="8"/>
      <c r="AE119" s="8"/>
      <c r="AF119" s="8"/>
      <c r="AG119" s="8"/>
      <c r="AH119" s="8"/>
      <c r="AI119" s="8"/>
      <c r="AJ119" s="8"/>
    </row>
    <row r="120" spans="1:36" s="333" customFormat="1" ht="16.05" customHeight="1">
      <c r="A120" s="350"/>
      <c r="B120" s="332"/>
      <c r="C120" s="52" t="s">
        <v>5218</v>
      </c>
      <c r="D120" s="52" t="str">
        <f t="shared" si="9"/>
        <v/>
      </c>
      <c r="E120" s="332"/>
      <c r="F120" s="52"/>
      <c r="G120" s="52" t="s">
        <v>177</v>
      </c>
      <c r="H120" s="52"/>
      <c r="I120" s="52"/>
      <c r="J120" s="52"/>
      <c r="K120" s="52"/>
      <c r="L120" s="52"/>
      <c r="M120" s="52"/>
      <c r="N120" s="332"/>
      <c r="O120" s="332"/>
      <c r="P120" s="332"/>
      <c r="Q120" s="332"/>
      <c r="R120" s="332"/>
      <c r="S120" s="332"/>
      <c r="T120" s="332"/>
      <c r="U120" s="332"/>
      <c r="V120" s="52" t="s">
        <v>5251</v>
      </c>
      <c r="W120" s="332" t="s">
        <v>5296</v>
      </c>
      <c r="X120" s="332"/>
      <c r="Y120" s="52" t="s">
        <v>5185</v>
      </c>
      <c r="Z120" s="359" t="s">
        <v>5320</v>
      </c>
      <c r="AA120" s="332" t="str">
        <f t="shared" si="10"/>
        <v>/my/MyMenuServiceSQL.xml</v>
      </c>
      <c r="AB120" s="13" t="str">
        <f t="shared" si="11"/>
        <v/>
      </c>
      <c r="AC120" s="332"/>
      <c r="AD120" s="332"/>
      <c r="AE120" s="332"/>
      <c r="AF120" s="332"/>
      <c r="AG120" s="332"/>
      <c r="AH120" s="332"/>
      <c r="AI120" s="332"/>
      <c r="AJ120" s="332"/>
    </row>
    <row r="121" spans="1:36" s="345" customFormat="1" ht="16.05" customHeight="1">
      <c r="A121" s="344"/>
      <c r="B121" s="8"/>
      <c r="C121" s="341" t="s">
        <v>5218</v>
      </c>
      <c r="D121" s="47" t="str">
        <f t="shared" si="9"/>
        <v/>
      </c>
      <c r="E121" s="8"/>
      <c r="F121" s="341"/>
      <c r="G121" s="341" t="s">
        <v>5291</v>
      </c>
      <c r="H121" s="341" t="s">
        <v>1525</v>
      </c>
      <c r="I121" s="341" t="s">
        <v>1455</v>
      </c>
      <c r="J121" s="341"/>
      <c r="K121" s="341"/>
      <c r="L121" s="341"/>
      <c r="M121" s="341"/>
      <c r="N121" s="8"/>
      <c r="O121" s="8"/>
      <c r="P121" s="8"/>
      <c r="Q121" s="8"/>
      <c r="R121" s="8"/>
      <c r="S121" s="8"/>
      <c r="T121" s="8"/>
      <c r="U121" s="8"/>
      <c r="V121" s="341" t="s">
        <v>5181</v>
      </c>
      <c r="W121" s="8" t="s">
        <v>5094</v>
      </c>
      <c r="X121" s="8"/>
      <c r="Y121" s="341" t="s">
        <v>5172</v>
      </c>
      <c r="Z121" s="341"/>
      <c r="AA121" s="8" t="str">
        <f t="shared" si="10"/>
        <v>selectMyMyInfoSrch</v>
      </c>
      <c r="AB121" s="275" t="str">
        <f t="shared" si="11"/>
        <v/>
      </c>
      <c r="AC121" s="8"/>
      <c r="AD121" s="8"/>
      <c r="AE121" s="8"/>
      <c r="AF121" s="8"/>
      <c r="AG121" s="8"/>
      <c r="AH121" s="8"/>
      <c r="AI121" s="8"/>
      <c r="AJ121" s="8"/>
    </row>
    <row r="122" spans="1:36" s="345" customFormat="1" ht="16.05" customHeight="1">
      <c r="A122" s="344"/>
      <c r="B122" s="8"/>
      <c r="C122" s="341" t="s">
        <v>5218</v>
      </c>
      <c r="D122" s="47" t="str">
        <f t="shared" si="9"/>
        <v/>
      </c>
      <c r="E122" s="8"/>
      <c r="F122" s="341"/>
      <c r="G122" s="341" t="s">
        <v>1285</v>
      </c>
      <c r="H122" s="341" t="s">
        <v>12</v>
      </c>
      <c r="I122" s="341" t="s">
        <v>5292</v>
      </c>
      <c r="J122" s="341" t="s">
        <v>5293</v>
      </c>
      <c r="K122" s="341"/>
      <c r="L122" s="341"/>
      <c r="M122" s="341"/>
      <c r="N122" s="8"/>
      <c r="O122" s="8"/>
      <c r="P122" s="8"/>
      <c r="Q122" s="8"/>
      <c r="R122" s="8"/>
      <c r="S122" s="8"/>
      <c r="T122" s="8"/>
      <c r="U122" s="8"/>
      <c r="V122" s="341" t="s">
        <v>5181</v>
      </c>
      <c r="W122" s="8" t="s">
        <v>5095</v>
      </c>
      <c r="X122" s="8"/>
      <c r="Y122" s="341" t="s">
        <v>31</v>
      </c>
      <c r="Z122" s="341"/>
      <c r="AA122" s="8" t="str">
        <f t="shared" si="10"/>
        <v>saveMyAtLoginOnOff</v>
      </c>
      <c r="AB122" s="275" t="str">
        <f t="shared" si="11"/>
        <v/>
      </c>
      <c r="AC122" s="8"/>
      <c r="AD122" s="8"/>
      <c r="AE122" s="8"/>
      <c r="AF122" s="8"/>
      <c r="AG122" s="8"/>
      <c r="AH122" s="8"/>
      <c r="AI122" s="8"/>
      <c r="AJ122" s="8"/>
    </row>
    <row r="123" spans="1:36" s="349" customFormat="1" ht="16.05" customHeight="1" thickBot="1">
      <c r="A123" s="346"/>
      <c r="B123" s="16"/>
      <c r="C123" s="347" t="s">
        <v>5218</v>
      </c>
      <c r="D123" s="348" t="str">
        <f t="shared" si="9"/>
        <v/>
      </c>
      <c r="E123" s="16"/>
      <c r="F123" s="347"/>
      <c r="G123" s="347" t="s">
        <v>5279</v>
      </c>
      <c r="H123" s="347" t="s">
        <v>463</v>
      </c>
      <c r="I123" s="347"/>
      <c r="J123" s="347"/>
      <c r="K123" s="347"/>
      <c r="L123" s="347"/>
      <c r="M123" s="347"/>
      <c r="N123" s="16"/>
      <c r="O123" s="16"/>
      <c r="P123" s="16"/>
      <c r="Q123" s="16"/>
      <c r="R123" s="16"/>
      <c r="S123" s="16"/>
      <c r="T123" s="16"/>
      <c r="U123" s="16"/>
      <c r="V123" s="347" t="s">
        <v>5181</v>
      </c>
      <c r="W123" s="16" t="s">
        <v>5096</v>
      </c>
      <c r="X123" s="16"/>
      <c r="Y123" s="347" t="s">
        <v>30</v>
      </c>
      <c r="Z123" s="347"/>
      <c r="AA123" s="16" t="str">
        <f t="shared" si="10"/>
        <v>updateMyPwdChg</v>
      </c>
      <c r="AB123" s="15" t="str">
        <f t="shared" si="11"/>
        <v/>
      </c>
      <c r="AC123" s="16"/>
      <c r="AD123" s="16"/>
      <c r="AE123" s="16"/>
      <c r="AF123" s="16"/>
      <c r="AG123" s="16"/>
      <c r="AH123" s="16"/>
      <c r="AI123" s="16"/>
      <c r="AJ123" s="16"/>
    </row>
    <row r="124" spans="1:36" s="337" customFormat="1" ht="16.05" customHeight="1">
      <c r="A124" s="343"/>
      <c r="B124" s="336"/>
      <c r="C124" s="335" t="s">
        <v>2483</v>
      </c>
      <c r="D124" s="335" t="str">
        <f>genPackage($D$1,C124)</f>
        <v>kr.go.prpr.app.prgn.web</v>
      </c>
      <c r="E124" s="336"/>
      <c r="F124" s="335"/>
      <c r="G124" s="335" t="s">
        <v>1525</v>
      </c>
      <c r="H124" s="335"/>
      <c r="I124" s="335"/>
      <c r="J124" s="335"/>
      <c r="K124" s="335"/>
      <c r="L124" s="335"/>
      <c r="M124" s="335"/>
      <c r="N124" s="336"/>
      <c r="O124" s="336"/>
      <c r="P124" s="336"/>
      <c r="Q124" s="336"/>
      <c r="R124" s="336"/>
      <c r="S124" s="336"/>
      <c r="T124" s="336"/>
      <c r="U124" s="336"/>
      <c r="V124" s="335" t="s">
        <v>2844</v>
      </c>
      <c r="W124" s="336" t="s">
        <v>5297</v>
      </c>
      <c r="X124" s="336"/>
      <c r="Y124" s="335" t="s">
        <v>5377</v>
      </c>
      <c r="Z124" s="335"/>
      <c r="AA124" s="336" t="str">
        <f t="shared" si="10"/>
        <v>PrgnInfoController.java</v>
      </c>
      <c r="AB124" s="334" t="str">
        <f t="shared" si="11"/>
        <v/>
      </c>
      <c r="AC124" s="336"/>
      <c r="AD124" s="336"/>
      <c r="AE124" s="336"/>
      <c r="AF124" s="336"/>
      <c r="AG124" s="336"/>
      <c r="AH124" s="336"/>
      <c r="AI124" s="336"/>
      <c r="AJ124" s="336"/>
    </row>
    <row r="125" spans="1:36" s="358" customFormat="1" ht="16.05" customHeight="1">
      <c r="A125" s="352" t="s">
        <v>4517</v>
      </c>
      <c r="B125" s="353"/>
      <c r="C125" s="354" t="s">
        <v>2483</v>
      </c>
      <c r="D125" s="355" t="s">
        <v>1525</v>
      </c>
      <c r="E125" s="353"/>
      <c r="F125" s="354"/>
      <c r="G125" s="354" t="s">
        <v>261</v>
      </c>
      <c r="H125" s="354"/>
      <c r="I125" s="354"/>
      <c r="J125" s="354"/>
      <c r="K125" s="354"/>
      <c r="L125" s="354"/>
      <c r="M125" s="354"/>
      <c r="N125" s="353"/>
      <c r="O125" s="353"/>
      <c r="P125" s="353"/>
      <c r="Q125" s="353"/>
      <c r="R125" s="353"/>
      <c r="S125" s="353"/>
      <c r="T125" s="353"/>
      <c r="U125" s="353"/>
      <c r="V125" s="354" t="s">
        <v>1907</v>
      </c>
      <c r="W125" s="353" t="s">
        <v>5298</v>
      </c>
      <c r="X125" s="353"/>
      <c r="Y125" s="354" t="s">
        <v>5166</v>
      </c>
      <c r="Z125" s="354"/>
      <c r="AA125" s="353" t="str">
        <f t="shared" si="10"/>
        <v>viewPrgnInfoView</v>
      </c>
      <c r="AB125" s="356" t="str">
        <f t="shared" si="11"/>
        <v>/prgn/info/view.do</v>
      </c>
      <c r="AC125" s="353"/>
      <c r="AD125" s="357">
        <v>44537</v>
      </c>
      <c r="AE125" s="357">
        <v>44538</v>
      </c>
      <c r="AF125" s="353"/>
      <c r="AG125" s="353"/>
      <c r="AH125" s="353"/>
      <c r="AI125" s="353"/>
      <c r="AJ125" s="353"/>
    </row>
    <row r="126" spans="1:36" s="358" customFormat="1" ht="16.05" customHeight="1">
      <c r="A126" s="352" t="s">
        <v>4521</v>
      </c>
      <c r="B126" s="353"/>
      <c r="C126" s="354" t="s">
        <v>2483</v>
      </c>
      <c r="D126" s="355" t="s">
        <v>1525</v>
      </c>
      <c r="E126" s="353"/>
      <c r="F126" s="354"/>
      <c r="G126" s="354" t="s">
        <v>14</v>
      </c>
      <c r="H126" s="354"/>
      <c r="I126" s="354"/>
      <c r="J126" s="354"/>
      <c r="K126" s="354"/>
      <c r="L126" s="354"/>
      <c r="M126" s="354"/>
      <c r="N126" s="353"/>
      <c r="O126" s="353"/>
      <c r="P126" s="353"/>
      <c r="Q126" s="353"/>
      <c r="R126" s="353"/>
      <c r="S126" s="353"/>
      <c r="T126" s="353"/>
      <c r="U126" s="353"/>
      <c r="V126" s="354" t="s">
        <v>1907</v>
      </c>
      <c r="W126" s="353" t="s">
        <v>4523</v>
      </c>
      <c r="X126" s="353"/>
      <c r="Y126" s="354" t="s">
        <v>5166</v>
      </c>
      <c r="Z126" s="354"/>
      <c r="AA126" s="353" t="str">
        <f t="shared" si="10"/>
        <v>viewPrgnInfoReg</v>
      </c>
      <c r="AB126" s="356" t="str">
        <f t="shared" si="11"/>
        <v>/prgn/info/reg.do</v>
      </c>
      <c r="AC126" s="353"/>
      <c r="AD126" s="357">
        <v>44539</v>
      </c>
      <c r="AE126" s="357">
        <v>44543</v>
      </c>
      <c r="AF126" s="353"/>
      <c r="AG126" s="353"/>
      <c r="AH126" s="353"/>
      <c r="AI126" s="353"/>
      <c r="AJ126" s="353"/>
    </row>
    <row r="127" spans="1:36" s="358" customFormat="1" ht="16.05" customHeight="1">
      <c r="A127" s="352" t="s">
        <v>4526</v>
      </c>
      <c r="B127" s="353"/>
      <c r="C127" s="354" t="s">
        <v>2483</v>
      </c>
      <c r="D127" s="355" t="s">
        <v>1525</v>
      </c>
      <c r="E127" s="353"/>
      <c r="F127" s="354"/>
      <c r="G127" s="354" t="s">
        <v>2253</v>
      </c>
      <c r="H127" s="354" t="s">
        <v>1525</v>
      </c>
      <c r="I127" s="354" t="s">
        <v>14</v>
      </c>
      <c r="J127" s="354"/>
      <c r="K127" s="354"/>
      <c r="L127" s="354"/>
      <c r="M127" s="354"/>
      <c r="N127" s="353"/>
      <c r="O127" s="353"/>
      <c r="P127" s="353"/>
      <c r="Q127" s="353"/>
      <c r="R127" s="353"/>
      <c r="S127" s="353"/>
      <c r="T127" s="353"/>
      <c r="U127" s="353"/>
      <c r="V127" s="354" t="s">
        <v>1907</v>
      </c>
      <c r="W127" s="353" t="s">
        <v>4527</v>
      </c>
      <c r="X127" s="353"/>
      <c r="Y127" s="354" t="s">
        <v>5166</v>
      </c>
      <c r="Z127" s="354"/>
      <c r="AA127" s="353" t="str">
        <f t="shared" si="10"/>
        <v>viewPrgnInfoPaturInfoReg</v>
      </c>
      <c r="AB127" s="356" t="str">
        <f t="shared" si="11"/>
        <v>/prgn/info/paturInfoReg.do</v>
      </c>
      <c r="AC127" s="353"/>
      <c r="AD127" s="357">
        <v>44544</v>
      </c>
      <c r="AE127" s="357">
        <v>44546</v>
      </c>
      <c r="AF127" s="353"/>
      <c r="AG127" s="353"/>
      <c r="AH127" s="353"/>
      <c r="AI127" s="353"/>
      <c r="AJ127" s="353"/>
    </row>
    <row r="128" spans="1:36" s="358" customFormat="1" ht="16.05" customHeight="1">
      <c r="A128" s="352" t="s">
        <v>4529</v>
      </c>
      <c r="B128" s="353"/>
      <c r="C128" s="354" t="s">
        <v>2483</v>
      </c>
      <c r="D128" s="355" t="s">
        <v>1525</v>
      </c>
      <c r="E128" s="353"/>
      <c r="F128" s="354"/>
      <c r="G128" s="354" t="s">
        <v>2637</v>
      </c>
      <c r="H128" s="354" t="s">
        <v>1525</v>
      </c>
      <c r="I128" s="354" t="s">
        <v>14</v>
      </c>
      <c r="J128" s="354"/>
      <c r="K128" s="354"/>
      <c r="L128" s="354"/>
      <c r="M128" s="354"/>
      <c r="N128" s="353"/>
      <c r="O128" s="353"/>
      <c r="P128" s="353"/>
      <c r="Q128" s="353"/>
      <c r="R128" s="353"/>
      <c r="S128" s="353"/>
      <c r="T128" s="353"/>
      <c r="U128" s="353"/>
      <c r="V128" s="354" t="s">
        <v>1907</v>
      </c>
      <c r="W128" s="353" t="s">
        <v>4530</v>
      </c>
      <c r="X128" s="353"/>
      <c r="Y128" s="354" t="s">
        <v>5166</v>
      </c>
      <c r="Z128" s="354"/>
      <c r="AA128" s="353" t="str">
        <f t="shared" si="10"/>
        <v>viewPrgnInfoEmbrInfoReg</v>
      </c>
      <c r="AB128" s="356" t="str">
        <f t="shared" si="11"/>
        <v>/prgn/info/embrInfoReg.do</v>
      </c>
      <c r="AC128" s="353"/>
      <c r="AD128" s="357">
        <v>44544</v>
      </c>
      <c r="AE128" s="357">
        <v>44546</v>
      </c>
      <c r="AF128" s="353"/>
      <c r="AG128" s="353"/>
      <c r="AH128" s="353"/>
      <c r="AI128" s="353"/>
      <c r="AJ128" s="353"/>
    </row>
    <row r="129" spans="1:36" s="345" customFormat="1" ht="16.05" customHeight="1">
      <c r="A129" s="344"/>
      <c r="B129" s="8"/>
      <c r="C129" s="341" t="s">
        <v>2483</v>
      </c>
      <c r="D129" s="47" t="s">
        <v>1525</v>
      </c>
      <c r="E129" s="8"/>
      <c r="F129" s="341"/>
      <c r="G129" s="341"/>
      <c r="H129" s="341"/>
      <c r="I129" s="341"/>
      <c r="J129" s="341"/>
      <c r="K129" s="341"/>
      <c r="L129" s="341"/>
      <c r="M129" s="341"/>
      <c r="N129" s="8"/>
      <c r="O129" s="8"/>
      <c r="P129" s="8"/>
      <c r="Q129" s="8"/>
      <c r="R129" s="8"/>
      <c r="S129" s="8"/>
      <c r="T129" s="8"/>
      <c r="U129" s="8"/>
      <c r="V129" s="341" t="s">
        <v>5263</v>
      </c>
      <c r="W129" s="8" t="s">
        <v>5100</v>
      </c>
      <c r="X129" s="8"/>
      <c r="Y129" s="341" t="s">
        <v>5172</v>
      </c>
      <c r="Z129" s="341" t="s">
        <v>5317</v>
      </c>
      <c r="AA129" s="8" t="str">
        <f t="shared" si="10"/>
        <v>selectPrgnInfo</v>
      </c>
      <c r="AB129" s="275" t="str">
        <f t="shared" si="11"/>
        <v>/api/prgn/info</v>
      </c>
      <c r="AC129" s="8"/>
      <c r="AD129" s="8"/>
      <c r="AE129" s="8"/>
      <c r="AF129" s="8"/>
      <c r="AG129" s="8"/>
      <c r="AH129" s="8"/>
      <c r="AI129" s="8"/>
      <c r="AJ129" s="8"/>
    </row>
    <row r="130" spans="1:36" s="345" customFormat="1" ht="16.05" customHeight="1">
      <c r="A130" s="344"/>
      <c r="B130" s="8"/>
      <c r="C130" s="341" t="s">
        <v>2483</v>
      </c>
      <c r="D130" s="47" t="s">
        <v>1525</v>
      </c>
      <c r="E130" s="8"/>
      <c r="F130" s="341"/>
      <c r="G130" s="341" t="s">
        <v>5423</v>
      </c>
      <c r="H130" s="341"/>
      <c r="I130" s="341"/>
      <c r="J130" s="341"/>
      <c r="K130" s="341"/>
      <c r="L130" s="341"/>
      <c r="M130" s="341"/>
      <c r="N130" s="8"/>
      <c r="O130" s="8"/>
      <c r="P130" s="8"/>
      <c r="Q130" s="8"/>
      <c r="R130" s="8"/>
      <c r="S130" s="8"/>
      <c r="T130" s="8"/>
      <c r="U130" s="8"/>
      <c r="V130" s="341" t="s">
        <v>5263</v>
      </c>
      <c r="W130" s="8" t="s">
        <v>5422</v>
      </c>
      <c r="X130" s="8"/>
      <c r="Y130" s="341" t="s">
        <v>5172</v>
      </c>
      <c r="Z130" s="341" t="s">
        <v>5317</v>
      </c>
      <c r="AA130" s="8" t="str">
        <f t="shared" ref="AA130" si="12">gen(C130,D130,E130,F130,G130,H130,I130,J130,K130,L130,M130,V130,W130,X130,Y130,Z130)</f>
        <v>selectPrgnInfoDetail</v>
      </c>
      <c r="AB130" s="275" t="str">
        <f t="shared" ref="AB130" si="13">genUrl(C130,D130,E130,F130,G130,H130,I130,J130,K130,L130,M130,V130,W130,X130,Y130,Z130)</f>
        <v>/api/prgn/info/detail</v>
      </c>
      <c r="AC130" s="8"/>
      <c r="AD130" s="8"/>
      <c r="AE130" s="8"/>
      <c r="AF130" s="8"/>
      <c r="AG130" s="8"/>
      <c r="AH130" s="8"/>
      <c r="AI130" s="8"/>
      <c r="AJ130" s="8"/>
    </row>
    <row r="131" spans="1:36" s="345" customFormat="1" ht="16.05" customHeight="1">
      <c r="A131" s="344"/>
      <c r="B131" s="8"/>
      <c r="C131" s="341" t="s">
        <v>2483</v>
      </c>
      <c r="D131" s="47" t="s">
        <v>1525</v>
      </c>
      <c r="E131" s="8"/>
      <c r="F131" s="341"/>
      <c r="G131" s="341" t="s">
        <v>5424</v>
      </c>
      <c r="H131" s="341" t="s">
        <v>5425</v>
      </c>
      <c r="I131" s="341" t="s">
        <v>5426</v>
      </c>
      <c r="J131" s="341"/>
      <c r="K131" s="341"/>
      <c r="L131" s="341"/>
      <c r="M131" s="341"/>
      <c r="N131" s="8"/>
      <c r="O131" s="8"/>
      <c r="P131" s="8"/>
      <c r="Q131" s="8"/>
      <c r="R131" s="8"/>
      <c r="S131" s="8"/>
      <c r="T131" s="8"/>
      <c r="U131" s="8"/>
      <c r="V131" s="341" t="s">
        <v>5263</v>
      </c>
      <c r="W131" s="8" t="s">
        <v>5427</v>
      </c>
      <c r="X131" s="8"/>
      <c r="Y131" s="341" t="s">
        <v>5172</v>
      </c>
      <c r="Z131" s="341" t="s">
        <v>5317</v>
      </c>
      <c r="AA131" s="8" t="str">
        <f t="shared" ref="AA131" si="14">gen(C131,D131,E131,F131,G131,H131,I131,J131,K131,L131,M131,V131,W131,X131,Y131,Z131)</f>
        <v>selectPrgnInfoEmbrInfoSrch</v>
      </c>
      <c r="AB131" s="275" t="str">
        <f t="shared" ref="AB131" si="15">genUrl(C131,D131,E131,F131,G131,H131,I131,J131,K131,L131,M131,V131,W131,X131,Y131,Z131)</f>
        <v>/api/prgn/info/embrInfoSrch</v>
      </c>
      <c r="AC131" s="8"/>
      <c r="AD131" s="8"/>
      <c r="AE131" s="8"/>
      <c r="AF131" s="8"/>
      <c r="AG131" s="8"/>
      <c r="AH131" s="8"/>
      <c r="AI131" s="8"/>
      <c r="AJ131" s="8"/>
    </row>
    <row r="132" spans="1:36" s="345" customFormat="1" ht="16.05" customHeight="1">
      <c r="A132" s="344"/>
      <c r="B132" s="8"/>
      <c r="C132" s="341" t="s">
        <v>2483</v>
      </c>
      <c r="D132" s="47" t="s">
        <v>1525</v>
      </c>
      <c r="E132" s="8"/>
      <c r="F132" s="341"/>
      <c r="G132" s="341"/>
      <c r="H132" s="341"/>
      <c r="I132" s="341"/>
      <c r="J132" s="341"/>
      <c r="K132" s="341"/>
      <c r="L132" s="341"/>
      <c r="M132" s="341"/>
      <c r="N132" s="8"/>
      <c r="O132" s="8"/>
      <c r="P132" s="8"/>
      <c r="Q132" s="8"/>
      <c r="R132" s="8"/>
      <c r="S132" s="8"/>
      <c r="T132" s="8"/>
      <c r="U132" s="8"/>
      <c r="V132" s="341" t="s">
        <v>5263</v>
      </c>
      <c r="W132" s="8" t="s">
        <v>4523</v>
      </c>
      <c r="X132" s="8"/>
      <c r="Y132" s="341" t="s">
        <v>31</v>
      </c>
      <c r="Z132" s="341" t="s">
        <v>5398</v>
      </c>
      <c r="AA132" s="8" t="str">
        <f t="shared" si="10"/>
        <v>savePrgnInfo</v>
      </c>
      <c r="AB132" s="275" t="str">
        <f t="shared" si="11"/>
        <v>/api/prgn/info</v>
      </c>
      <c r="AC132" s="8"/>
      <c r="AD132" s="8"/>
      <c r="AE132" s="8"/>
      <c r="AF132" s="8"/>
      <c r="AG132" s="8"/>
      <c r="AH132" s="8"/>
      <c r="AI132" s="8"/>
      <c r="AJ132" s="8"/>
    </row>
    <row r="133" spans="1:36" s="345" customFormat="1" ht="16.05" customHeight="1">
      <c r="A133" s="344"/>
      <c r="B133" s="8"/>
      <c r="C133" s="341" t="s">
        <v>2483</v>
      </c>
      <c r="D133" s="47" t="s">
        <v>1525</v>
      </c>
      <c r="E133" s="8"/>
      <c r="F133" s="341"/>
      <c r="G133" s="341"/>
      <c r="H133" s="341"/>
      <c r="I133" s="341"/>
      <c r="J133" s="341"/>
      <c r="K133" s="341"/>
      <c r="L133" s="341"/>
      <c r="M133" s="341"/>
      <c r="N133" s="8"/>
      <c r="O133" s="8"/>
      <c r="P133" s="8"/>
      <c r="Q133" s="8"/>
      <c r="R133" s="8"/>
      <c r="S133" s="8"/>
      <c r="T133" s="8"/>
      <c r="U133" s="8"/>
      <c r="V133" s="341" t="s">
        <v>5263</v>
      </c>
      <c r="W133" s="8" t="s">
        <v>4524</v>
      </c>
      <c r="X133" s="8"/>
      <c r="Y133" s="341" t="s">
        <v>30</v>
      </c>
      <c r="Z133" s="341" t="s">
        <v>5399</v>
      </c>
      <c r="AA133" s="8" t="str">
        <f t="shared" si="10"/>
        <v>updatePrgnInfo</v>
      </c>
      <c r="AB133" s="275" t="str">
        <f t="shared" si="11"/>
        <v>/api/prgn/info</v>
      </c>
      <c r="AC133" s="8"/>
      <c r="AD133" s="8"/>
      <c r="AE133" s="8"/>
      <c r="AF133" s="8"/>
      <c r="AG133" s="8"/>
      <c r="AH133" s="8"/>
      <c r="AI133" s="8"/>
      <c r="AJ133" s="8"/>
    </row>
    <row r="134" spans="1:36" s="345" customFormat="1" ht="16.05" customHeight="1">
      <c r="A134" s="344"/>
      <c r="B134" s="8"/>
      <c r="C134" s="341" t="s">
        <v>2483</v>
      </c>
      <c r="D134" s="47" t="s">
        <v>1525</v>
      </c>
      <c r="E134" s="8"/>
      <c r="F134" s="341"/>
      <c r="G134" s="341" t="s">
        <v>5400</v>
      </c>
      <c r="H134" s="341"/>
      <c r="I134" s="341"/>
      <c r="J134" s="341"/>
      <c r="K134" s="341"/>
      <c r="L134" s="341"/>
      <c r="M134" s="341"/>
      <c r="N134" s="8"/>
      <c r="O134" s="8"/>
      <c r="P134" s="8"/>
      <c r="Q134" s="8"/>
      <c r="R134" s="8"/>
      <c r="S134" s="8"/>
      <c r="T134" s="8"/>
      <c r="U134" s="8"/>
      <c r="V134" s="341" t="s">
        <v>5263</v>
      </c>
      <c r="W134" s="8" t="s">
        <v>5101</v>
      </c>
      <c r="X134" s="8"/>
      <c r="Y134" s="341" t="s">
        <v>37</v>
      </c>
      <c r="Z134" s="341" t="s">
        <v>5390</v>
      </c>
      <c r="AA134" s="8" t="str">
        <f t="shared" si="10"/>
        <v>deletePrgnInfoDelete</v>
      </c>
      <c r="AB134" s="275" t="str">
        <f t="shared" si="11"/>
        <v>/api/prgn/info/delete</v>
      </c>
      <c r="AC134" s="8"/>
      <c r="AD134" s="8"/>
      <c r="AE134" s="8"/>
      <c r="AF134" s="8"/>
      <c r="AG134" s="8"/>
      <c r="AH134" s="8"/>
      <c r="AI134" s="8"/>
      <c r="AJ134" s="8"/>
    </row>
    <row r="135" spans="1:36" s="345" customFormat="1" ht="16.05" customHeight="1">
      <c r="A135" s="344"/>
      <c r="B135" s="8"/>
      <c r="C135" s="341" t="s">
        <v>2483</v>
      </c>
      <c r="D135" s="47" t="s">
        <v>1525</v>
      </c>
      <c r="E135" s="8"/>
      <c r="F135" s="341"/>
      <c r="G135" s="341" t="s">
        <v>2253</v>
      </c>
      <c r="H135" s="341" t="s">
        <v>52</v>
      </c>
      <c r="I135" s="341" t="s">
        <v>1608</v>
      </c>
      <c r="J135" s="341"/>
      <c r="K135" s="341"/>
      <c r="L135" s="341"/>
      <c r="M135" s="341"/>
      <c r="N135" s="8"/>
      <c r="O135" s="8"/>
      <c r="P135" s="8"/>
      <c r="Q135" s="8"/>
      <c r="R135" s="8"/>
      <c r="S135" s="8"/>
      <c r="T135" s="8"/>
      <c r="U135" s="8"/>
      <c r="V135" s="341" t="s">
        <v>5263</v>
      </c>
      <c r="W135" s="8" t="s">
        <v>5102</v>
      </c>
      <c r="X135" s="8"/>
      <c r="Y135" s="341" t="s">
        <v>31</v>
      </c>
      <c r="Z135" s="341" t="s">
        <v>5399</v>
      </c>
      <c r="AA135" s="8" t="str">
        <f t="shared" si="10"/>
        <v>savePrgnInfoPaturSeNcnt</v>
      </c>
      <c r="AB135" s="275" t="str">
        <f t="shared" si="11"/>
        <v>/api/prgn/info/paturSeNcnt</v>
      </c>
      <c r="AC135" s="8"/>
      <c r="AD135" s="8"/>
      <c r="AE135" s="8"/>
      <c r="AF135" s="8"/>
      <c r="AG135" s="8"/>
      <c r="AH135" s="8"/>
      <c r="AI135" s="8"/>
      <c r="AJ135" s="8"/>
    </row>
    <row r="136" spans="1:36" s="345" customFormat="1" ht="16.05" customHeight="1">
      <c r="A136" s="344"/>
      <c r="B136" s="8"/>
      <c r="C136" s="341" t="s">
        <v>2483</v>
      </c>
      <c r="D136" s="47" t="s">
        <v>1525</v>
      </c>
      <c r="E136" s="8"/>
      <c r="F136" s="341"/>
      <c r="G136" s="341" t="s">
        <v>2253</v>
      </c>
      <c r="H136" s="341" t="s">
        <v>52</v>
      </c>
      <c r="I136" s="341" t="s">
        <v>1608</v>
      </c>
      <c r="J136" s="341"/>
      <c r="K136" s="341"/>
      <c r="L136" s="341"/>
      <c r="M136" s="341"/>
      <c r="N136" s="8"/>
      <c r="O136" s="8"/>
      <c r="P136" s="8"/>
      <c r="Q136" s="8"/>
      <c r="R136" s="8"/>
      <c r="S136" s="8"/>
      <c r="T136" s="8"/>
      <c r="U136" s="8"/>
      <c r="V136" s="341" t="s">
        <v>5263</v>
      </c>
      <c r="W136" s="8" t="s">
        <v>5435</v>
      </c>
      <c r="X136" s="8"/>
      <c r="Y136" s="341" t="s">
        <v>5172</v>
      </c>
      <c r="Z136" s="341" t="s">
        <v>5317</v>
      </c>
      <c r="AA136" s="8" t="str">
        <f t="shared" ref="AA136" si="16">gen(C136,D136,E136,F136,G136,H136,I136,J136,K136,L136,M136,V136,W136,X136,Y136,Z136)</f>
        <v>selectPrgnInfoPaturSeNcnt</v>
      </c>
      <c r="AB136" s="275" t="str">
        <f t="shared" ref="AB136" si="17">genUrl(C136,D136,E136,F136,G136,H136,I136,J136,K136,L136,M136,V136,W136,X136,Y136,Z136)</f>
        <v>/api/prgn/info/paturSeNcnt</v>
      </c>
      <c r="AC136" s="8"/>
      <c r="AD136" s="8"/>
      <c r="AE136" s="8"/>
      <c r="AF136" s="8"/>
      <c r="AG136" s="8"/>
      <c r="AH136" s="8"/>
      <c r="AI136" s="8"/>
      <c r="AJ136" s="8"/>
    </row>
    <row r="137" spans="1:36" s="345" customFormat="1" ht="16.05" customHeight="1">
      <c r="A137" s="344"/>
      <c r="B137" s="8"/>
      <c r="C137" s="341" t="s">
        <v>2483</v>
      </c>
      <c r="D137" s="47" t="s">
        <v>1525</v>
      </c>
      <c r="E137" s="8"/>
      <c r="F137" s="341"/>
      <c r="G137" s="341" t="s">
        <v>2637</v>
      </c>
      <c r="H137" s="341" t="s">
        <v>5308</v>
      </c>
      <c r="I137" s="341"/>
      <c r="J137" s="341"/>
      <c r="K137" s="341"/>
      <c r="L137" s="341"/>
      <c r="M137" s="341"/>
      <c r="N137" s="8"/>
      <c r="O137" s="8"/>
      <c r="P137" s="8"/>
      <c r="Q137" s="8"/>
      <c r="R137" s="8"/>
      <c r="S137" s="8"/>
      <c r="T137" s="8"/>
      <c r="U137" s="8"/>
      <c r="V137" s="341" t="s">
        <v>5263</v>
      </c>
      <c r="W137" s="8" t="s">
        <v>5103</v>
      </c>
      <c r="X137" s="8"/>
      <c r="Y137" s="341" t="s">
        <v>31</v>
      </c>
      <c r="Z137" s="341" t="s">
        <v>5399</v>
      </c>
      <c r="AA137" s="8" t="str">
        <f t="shared" si="10"/>
        <v>savePrgnInfoEmbrNck</v>
      </c>
      <c r="AB137" s="275" t="str">
        <f t="shared" si="11"/>
        <v>/api/prgn/info/embrNck</v>
      </c>
      <c r="AC137" s="8"/>
      <c r="AD137" s="8"/>
      <c r="AE137" s="8"/>
      <c r="AF137" s="8"/>
      <c r="AG137" s="8"/>
      <c r="AH137" s="8"/>
      <c r="AI137" s="8"/>
      <c r="AJ137" s="8"/>
    </row>
    <row r="138" spans="1:36" s="358" customFormat="1" ht="16.05" customHeight="1">
      <c r="A138" s="352"/>
      <c r="B138" s="353"/>
      <c r="C138" s="354" t="s">
        <v>2483</v>
      </c>
      <c r="D138" s="355" t="s">
        <v>1525</v>
      </c>
      <c r="E138" s="353"/>
      <c r="F138" s="354"/>
      <c r="G138" s="354" t="s">
        <v>261</v>
      </c>
      <c r="H138" s="354"/>
      <c r="I138" s="354"/>
      <c r="J138" s="354"/>
      <c r="K138" s="354"/>
      <c r="L138" s="354"/>
      <c r="M138" s="354"/>
      <c r="N138" s="353"/>
      <c r="O138" s="353"/>
      <c r="P138" s="353"/>
      <c r="Q138" s="353"/>
      <c r="R138" s="353"/>
      <c r="S138" s="353"/>
      <c r="T138" s="353"/>
      <c r="U138" s="353"/>
      <c r="V138" s="354" t="s">
        <v>5173</v>
      </c>
      <c r="W138" s="353" t="s">
        <v>5298</v>
      </c>
      <c r="X138" s="353"/>
      <c r="Y138" s="354" t="s">
        <v>5173</v>
      </c>
      <c r="Z138" s="354"/>
      <c r="AA138" s="353" t="str">
        <f t="shared" ref="AA138:AA208" si="18">gen(C138,D138,E138,F138,G138,H138,I138,J138,K138,L138,M138,V138,W138,X138,Y138,Z138)</f>
        <v>/prgn/info/view.jsp</v>
      </c>
      <c r="AB138" s="356" t="str">
        <f t="shared" ref="AB138:AB208" si="19">genUrl(C138,D138,E138,F138,G138,H138,I138,J138,K138,L138,M138,V138,W138,X138,Y138,Z138)</f>
        <v/>
      </c>
      <c r="AC138" s="353"/>
      <c r="AD138" s="353"/>
      <c r="AE138" s="353"/>
      <c r="AF138" s="353"/>
      <c r="AG138" s="353"/>
      <c r="AH138" s="353"/>
      <c r="AI138" s="353"/>
      <c r="AJ138" s="353"/>
    </row>
    <row r="139" spans="1:36" s="358" customFormat="1" ht="16.05" customHeight="1">
      <c r="A139" s="352"/>
      <c r="B139" s="353"/>
      <c r="C139" s="354" t="s">
        <v>2483</v>
      </c>
      <c r="D139" s="355" t="s">
        <v>1525</v>
      </c>
      <c r="E139" s="353"/>
      <c r="F139" s="354"/>
      <c r="G139" s="354" t="s">
        <v>14</v>
      </c>
      <c r="H139" s="354"/>
      <c r="I139" s="354"/>
      <c r="J139" s="354"/>
      <c r="K139" s="354"/>
      <c r="L139" s="354"/>
      <c r="M139" s="354"/>
      <c r="N139" s="353"/>
      <c r="O139" s="353"/>
      <c r="P139" s="353"/>
      <c r="Q139" s="353"/>
      <c r="R139" s="353"/>
      <c r="S139" s="353"/>
      <c r="T139" s="353"/>
      <c r="U139" s="353"/>
      <c r="V139" s="354" t="s">
        <v>5173</v>
      </c>
      <c r="W139" s="353" t="s">
        <v>4523</v>
      </c>
      <c r="X139" s="353"/>
      <c r="Y139" s="354" t="s">
        <v>5173</v>
      </c>
      <c r="Z139" s="354"/>
      <c r="AA139" s="353" t="str">
        <f t="shared" si="18"/>
        <v>/prgn/info/reg.jsp</v>
      </c>
      <c r="AB139" s="356" t="str">
        <f t="shared" si="19"/>
        <v/>
      </c>
      <c r="AC139" s="353"/>
      <c r="AD139" s="353"/>
      <c r="AE139" s="353"/>
      <c r="AF139" s="353"/>
      <c r="AG139" s="353"/>
      <c r="AH139" s="353"/>
      <c r="AI139" s="353"/>
      <c r="AJ139" s="353"/>
    </row>
    <row r="140" spans="1:36" s="358" customFormat="1" ht="16.05" customHeight="1">
      <c r="A140" s="352"/>
      <c r="B140" s="353"/>
      <c r="C140" s="354" t="s">
        <v>2483</v>
      </c>
      <c r="D140" s="355" t="s">
        <v>1525</v>
      </c>
      <c r="E140" s="353"/>
      <c r="F140" s="354"/>
      <c r="G140" s="354" t="s">
        <v>2253</v>
      </c>
      <c r="H140" s="354" t="s">
        <v>1525</v>
      </c>
      <c r="I140" s="354" t="s">
        <v>14</v>
      </c>
      <c r="J140" s="354"/>
      <c r="K140" s="354"/>
      <c r="L140" s="354"/>
      <c r="M140" s="354"/>
      <c r="N140" s="353"/>
      <c r="O140" s="353"/>
      <c r="P140" s="353"/>
      <c r="Q140" s="353"/>
      <c r="R140" s="353"/>
      <c r="S140" s="353"/>
      <c r="T140" s="353"/>
      <c r="U140" s="353"/>
      <c r="V140" s="354" t="s">
        <v>5173</v>
      </c>
      <c r="W140" s="353" t="s">
        <v>4527</v>
      </c>
      <c r="X140" s="353"/>
      <c r="Y140" s="354" t="s">
        <v>5173</v>
      </c>
      <c r="Z140" s="354"/>
      <c r="AA140" s="353" t="str">
        <f t="shared" si="18"/>
        <v>/prgn/info/patur_info_reg.jsp</v>
      </c>
      <c r="AB140" s="356" t="str">
        <f t="shared" si="19"/>
        <v/>
      </c>
      <c r="AC140" s="353"/>
      <c r="AD140" s="353"/>
      <c r="AE140" s="353"/>
      <c r="AF140" s="353"/>
      <c r="AG140" s="353"/>
      <c r="AH140" s="353"/>
      <c r="AI140" s="353"/>
      <c r="AJ140" s="353"/>
    </row>
    <row r="141" spans="1:36" s="358" customFormat="1" ht="16.05" customHeight="1">
      <c r="A141" s="352"/>
      <c r="B141" s="353"/>
      <c r="C141" s="354" t="s">
        <v>2483</v>
      </c>
      <c r="D141" s="355" t="s">
        <v>1525</v>
      </c>
      <c r="E141" s="353"/>
      <c r="F141" s="354"/>
      <c r="G141" s="354" t="s">
        <v>2637</v>
      </c>
      <c r="H141" s="354" t="s">
        <v>1525</v>
      </c>
      <c r="I141" s="354" t="s">
        <v>14</v>
      </c>
      <c r="J141" s="354"/>
      <c r="K141" s="354"/>
      <c r="L141" s="354"/>
      <c r="M141" s="354"/>
      <c r="N141" s="353"/>
      <c r="O141" s="353"/>
      <c r="P141" s="353"/>
      <c r="Q141" s="353"/>
      <c r="R141" s="353"/>
      <c r="S141" s="353"/>
      <c r="T141" s="353"/>
      <c r="U141" s="353"/>
      <c r="V141" s="354" t="s">
        <v>5173</v>
      </c>
      <c r="W141" s="353" t="s">
        <v>4530</v>
      </c>
      <c r="X141" s="353"/>
      <c r="Y141" s="354" t="s">
        <v>5173</v>
      </c>
      <c r="Z141" s="354"/>
      <c r="AA141" s="353" t="str">
        <f t="shared" si="18"/>
        <v>/prgn/info/embr_info_reg.jsp</v>
      </c>
      <c r="AB141" s="356" t="str">
        <f t="shared" si="19"/>
        <v/>
      </c>
      <c r="AC141" s="353"/>
      <c r="AD141" s="353"/>
      <c r="AE141" s="353"/>
      <c r="AF141" s="353"/>
      <c r="AG141" s="353"/>
      <c r="AH141" s="353"/>
      <c r="AI141" s="353"/>
      <c r="AJ141" s="353"/>
    </row>
    <row r="142" spans="1:36" s="333" customFormat="1" ht="16.05" customHeight="1">
      <c r="A142" s="350"/>
      <c r="B142" s="332"/>
      <c r="C142" s="52" t="s">
        <v>2483</v>
      </c>
      <c r="D142" s="52" t="str">
        <f>genPackage($D$1,C142)</f>
        <v>kr.go.prpr.app.prgn.service</v>
      </c>
      <c r="E142" s="332"/>
      <c r="F142" s="52"/>
      <c r="G142" s="52" t="s">
        <v>1525</v>
      </c>
      <c r="H142" s="52"/>
      <c r="I142" s="52"/>
      <c r="J142" s="52"/>
      <c r="K142" s="52"/>
      <c r="L142" s="52"/>
      <c r="M142" s="52"/>
      <c r="N142" s="332"/>
      <c r="O142" s="332"/>
      <c r="P142" s="332"/>
      <c r="Q142" s="332"/>
      <c r="R142" s="332"/>
      <c r="S142" s="332"/>
      <c r="T142" s="332"/>
      <c r="U142" s="332"/>
      <c r="V142" s="52" t="s">
        <v>5177</v>
      </c>
      <c r="W142" s="332" t="s">
        <v>5294</v>
      </c>
      <c r="X142" s="332"/>
      <c r="Y142" s="338" t="s">
        <v>5377</v>
      </c>
      <c r="Z142" s="52"/>
      <c r="AA142" s="332" t="str">
        <f t="shared" si="18"/>
        <v>PrgnInfoService.java</v>
      </c>
      <c r="AB142" s="13" t="str">
        <f t="shared" si="19"/>
        <v/>
      </c>
      <c r="AC142" s="332"/>
      <c r="AD142" s="332"/>
      <c r="AE142" s="332"/>
      <c r="AF142" s="332"/>
      <c r="AG142" s="332"/>
      <c r="AH142" s="332"/>
      <c r="AI142" s="332"/>
      <c r="AJ142" s="332"/>
    </row>
    <row r="143" spans="1:36" s="333" customFormat="1" ht="16.05" customHeight="1">
      <c r="A143" s="350"/>
      <c r="B143" s="332"/>
      <c r="C143" s="52" t="s">
        <v>2483</v>
      </c>
      <c r="D143" s="52" t="str">
        <f t="shared" ref="D143:D208" si="20">genPackage($D$1,C143)</f>
        <v>kr.go.prpr.app.prgn.serviceimpl</v>
      </c>
      <c r="E143" s="332"/>
      <c r="F143" s="52"/>
      <c r="G143" s="52" t="s">
        <v>1525</v>
      </c>
      <c r="H143" s="52"/>
      <c r="I143" s="52"/>
      <c r="J143" s="52"/>
      <c r="K143" s="52"/>
      <c r="L143" s="52"/>
      <c r="M143" s="52"/>
      <c r="N143" s="332"/>
      <c r="O143" s="332"/>
      <c r="P143" s="332"/>
      <c r="Q143" s="332"/>
      <c r="R143" s="332"/>
      <c r="S143" s="332"/>
      <c r="T143" s="332"/>
      <c r="U143" s="332"/>
      <c r="V143" s="52" t="s">
        <v>5178</v>
      </c>
      <c r="W143" s="332" t="s">
        <v>5295</v>
      </c>
      <c r="X143" s="332"/>
      <c r="Y143" s="338" t="s">
        <v>5377</v>
      </c>
      <c r="Z143" s="52"/>
      <c r="AA143" s="332" t="str">
        <f t="shared" si="18"/>
        <v>PrgnInfoServiceImpl.java</v>
      </c>
      <c r="AB143" s="13" t="str">
        <f t="shared" si="19"/>
        <v/>
      </c>
      <c r="AC143" s="332"/>
      <c r="AD143" s="332"/>
      <c r="AE143" s="332"/>
      <c r="AF143" s="332"/>
      <c r="AG143" s="332"/>
      <c r="AH143" s="332"/>
      <c r="AI143" s="332"/>
      <c r="AJ143" s="332"/>
    </row>
    <row r="144" spans="1:36" s="345" customFormat="1" ht="16.05" customHeight="1">
      <c r="A144" s="344"/>
      <c r="B144" s="8"/>
      <c r="C144" s="341" t="s">
        <v>2483</v>
      </c>
      <c r="D144" s="341" t="s">
        <v>5401</v>
      </c>
      <c r="E144" s="8"/>
      <c r="F144" s="341"/>
      <c r="G144" s="341"/>
      <c r="H144" s="341"/>
      <c r="I144" s="341"/>
      <c r="J144" s="341"/>
      <c r="K144" s="341"/>
      <c r="L144" s="341"/>
      <c r="M144" s="341"/>
      <c r="N144" s="8"/>
      <c r="O144" s="8"/>
      <c r="P144" s="8"/>
      <c r="Q144" s="8"/>
      <c r="R144" s="8"/>
      <c r="S144" s="8"/>
      <c r="T144" s="8"/>
      <c r="U144" s="8"/>
      <c r="V144" s="341" t="s">
        <v>2297</v>
      </c>
      <c r="W144" s="8" t="s">
        <v>5100</v>
      </c>
      <c r="X144" s="8"/>
      <c r="Y144" s="341" t="s">
        <v>5172</v>
      </c>
      <c r="Z144" s="341"/>
      <c r="AA144" s="8" t="str">
        <f t="shared" si="18"/>
        <v>selectPrgnInfo</v>
      </c>
      <c r="AB144" s="275" t="str">
        <f t="shared" si="19"/>
        <v/>
      </c>
      <c r="AC144" s="8"/>
      <c r="AD144" s="8"/>
      <c r="AE144" s="8"/>
      <c r="AF144" s="8"/>
      <c r="AG144" s="8"/>
      <c r="AH144" s="8"/>
      <c r="AI144" s="8"/>
      <c r="AJ144" s="8"/>
    </row>
    <row r="145" spans="1:36" s="345" customFormat="1" ht="16.05" customHeight="1">
      <c r="A145" s="344"/>
      <c r="B145" s="8"/>
      <c r="C145" s="341" t="s">
        <v>2483</v>
      </c>
      <c r="D145" s="341" t="s">
        <v>4</v>
      </c>
      <c r="E145" s="8"/>
      <c r="F145" s="341"/>
      <c r="G145" s="341" t="s">
        <v>5423</v>
      </c>
      <c r="H145" s="341"/>
      <c r="I145" s="341"/>
      <c r="J145" s="341"/>
      <c r="K145" s="341"/>
      <c r="L145" s="341"/>
      <c r="M145" s="341"/>
      <c r="N145" s="8"/>
      <c r="O145" s="8"/>
      <c r="P145" s="8"/>
      <c r="Q145" s="8"/>
      <c r="R145" s="8"/>
      <c r="S145" s="8"/>
      <c r="T145" s="8"/>
      <c r="U145" s="8"/>
      <c r="V145" s="341" t="s">
        <v>2297</v>
      </c>
      <c r="W145" s="8" t="s">
        <v>5422</v>
      </c>
      <c r="X145" s="8"/>
      <c r="Y145" s="341" t="s">
        <v>5172</v>
      </c>
      <c r="Z145" s="341"/>
      <c r="AA145" s="8" t="str">
        <f t="shared" ref="AA145:AA148" si="21">gen(C145,D145,E145,F145,G145,H145,I145,J145,K145,L145,M145,V145,W145,X145,Y145,Z145)</f>
        <v>selectPrgnInfoDetail</v>
      </c>
      <c r="AB145" s="275" t="str">
        <f t="shared" ref="AB145:AB148" si="22">genUrl(C145,D145,E145,F145,G145,H145,I145,J145,K145,L145,M145,V145,W145,X145,Y145,Z145)</f>
        <v/>
      </c>
      <c r="AC145" s="8"/>
      <c r="AD145" s="8"/>
      <c r="AE145" s="8"/>
      <c r="AF145" s="8"/>
      <c r="AG145" s="8"/>
      <c r="AH145" s="8"/>
      <c r="AI145" s="8"/>
      <c r="AJ145" s="8"/>
    </row>
    <row r="146" spans="1:36" s="345" customFormat="1" ht="16.05" customHeight="1">
      <c r="A146" s="344"/>
      <c r="B146" s="8"/>
      <c r="C146" s="341" t="s">
        <v>2483</v>
      </c>
      <c r="D146" s="341" t="s">
        <v>4</v>
      </c>
      <c r="E146" s="8"/>
      <c r="F146" s="341"/>
      <c r="G146" s="341" t="s">
        <v>5424</v>
      </c>
      <c r="H146" s="341" t="s">
        <v>5425</v>
      </c>
      <c r="I146" s="341" t="s">
        <v>5426</v>
      </c>
      <c r="J146" s="341"/>
      <c r="K146" s="341"/>
      <c r="L146" s="341"/>
      <c r="M146" s="341"/>
      <c r="N146" s="8"/>
      <c r="O146" s="8"/>
      <c r="P146" s="8"/>
      <c r="Q146" s="8"/>
      <c r="R146" s="8"/>
      <c r="S146" s="8"/>
      <c r="T146" s="8"/>
      <c r="U146" s="8"/>
      <c r="V146" s="341" t="s">
        <v>2297</v>
      </c>
      <c r="W146" s="8" t="s">
        <v>5427</v>
      </c>
      <c r="X146" s="8"/>
      <c r="Y146" s="341" t="s">
        <v>5172</v>
      </c>
      <c r="Z146" s="341"/>
      <c r="AA146" s="8" t="str">
        <f t="shared" si="21"/>
        <v>selectPrgnInfoEmbrInfoSrch</v>
      </c>
      <c r="AB146" s="275" t="str">
        <f t="shared" si="22"/>
        <v/>
      </c>
      <c r="AC146" s="8"/>
      <c r="AD146" s="8"/>
      <c r="AE146" s="8"/>
      <c r="AF146" s="8"/>
      <c r="AG146" s="8"/>
      <c r="AH146" s="8"/>
      <c r="AI146" s="8"/>
      <c r="AJ146" s="8"/>
    </row>
    <row r="147" spans="1:36" s="345" customFormat="1" ht="16.05" customHeight="1">
      <c r="A147" s="344"/>
      <c r="B147" s="8"/>
      <c r="C147" s="341" t="s">
        <v>2483</v>
      </c>
      <c r="D147" s="341" t="s">
        <v>4</v>
      </c>
      <c r="E147" s="8"/>
      <c r="F147" s="341"/>
      <c r="G147" s="341" t="s">
        <v>5302</v>
      </c>
      <c r="H147" s="341" t="s">
        <v>5256</v>
      </c>
      <c r="I147" s="341"/>
      <c r="J147" s="341"/>
      <c r="K147" s="341"/>
      <c r="L147" s="341"/>
      <c r="M147" s="341"/>
      <c r="N147" s="8"/>
      <c r="O147" s="8"/>
      <c r="P147" s="8"/>
      <c r="Q147" s="8"/>
      <c r="R147" s="8"/>
      <c r="S147" s="8"/>
      <c r="T147" s="8"/>
      <c r="U147" s="8"/>
      <c r="V147" s="341" t="s">
        <v>2297</v>
      </c>
      <c r="W147" s="8" t="s">
        <v>5420</v>
      </c>
      <c r="X147" s="8"/>
      <c r="Y147" s="341" t="s">
        <v>31</v>
      </c>
      <c r="Z147" s="341"/>
      <c r="AA147" s="8" t="str">
        <f t="shared" si="21"/>
        <v>savePrgnInfoEmbrReg</v>
      </c>
      <c r="AB147" s="275" t="str">
        <f t="shared" si="22"/>
        <v/>
      </c>
      <c r="AC147" s="8"/>
      <c r="AD147" s="8"/>
      <c r="AE147" s="8"/>
      <c r="AF147" s="8"/>
      <c r="AG147" s="8"/>
      <c r="AH147" s="8"/>
      <c r="AI147" s="8"/>
      <c r="AJ147" s="8"/>
    </row>
    <row r="148" spans="1:36" s="345" customFormat="1" ht="16.05" customHeight="1">
      <c r="A148" s="344"/>
      <c r="B148" s="8"/>
      <c r="C148" s="341" t="s">
        <v>2483</v>
      </c>
      <c r="D148" s="341" t="s">
        <v>4</v>
      </c>
      <c r="E148" s="8"/>
      <c r="F148" s="341"/>
      <c r="G148" s="341" t="s">
        <v>5302</v>
      </c>
      <c r="H148" s="341" t="s">
        <v>5429</v>
      </c>
      <c r="I148" s="341"/>
      <c r="J148" s="341"/>
      <c r="K148" s="341"/>
      <c r="L148" s="341"/>
      <c r="M148" s="341"/>
      <c r="N148" s="8"/>
      <c r="O148" s="8"/>
      <c r="P148" s="8"/>
      <c r="Q148" s="8"/>
      <c r="R148" s="8"/>
      <c r="S148" s="8"/>
      <c r="T148" s="8"/>
      <c r="U148" s="8"/>
      <c r="V148" s="341" t="s">
        <v>2297</v>
      </c>
      <c r="W148" s="8" t="s">
        <v>5428</v>
      </c>
      <c r="X148" s="8"/>
      <c r="Y148" s="341" t="s">
        <v>31</v>
      </c>
      <c r="Z148" s="341"/>
      <c r="AA148" s="8" t="str">
        <f t="shared" si="21"/>
        <v>savePrgnInfoEmbrUpdate</v>
      </c>
      <c r="AB148" s="275" t="str">
        <f t="shared" si="22"/>
        <v/>
      </c>
      <c r="AC148" s="8"/>
      <c r="AD148" s="8"/>
      <c r="AE148" s="8"/>
      <c r="AF148" s="8"/>
      <c r="AG148" s="8"/>
      <c r="AH148" s="8"/>
      <c r="AI148" s="8"/>
      <c r="AJ148" s="8"/>
    </row>
    <row r="149" spans="1:36" s="345" customFormat="1" ht="16.05" customHeight="1">
      <c r="A149" s="344"/>
      <c r="B149" s="8"/>
      <c r="C149" s="341" t="s">
        <v>2483</v>
      </c>
      <c r="D149" s="341" t="s">
        <v>4</v>
      </c>
      <c r="E149" s="8"/>
      <c r="F149" s="341"/>
      <c r="G149" s="341" t="s">
        <v>5421</v>
      </c>
      <c r="H149" s="341" t="s">
        <v>5431</v>
      </c>
      <c r="I149" s="341"/>
      <c r="J149" s="341"/>
      <c r="K149" s="341"/>
      <c r="L149" s="341"/>
      <c r="M149" s="341"/>
      <c r="N149" s="8"/>
      <c r="O149" s="8"/>
      <c r="P149" s="8"/>
      <c r="Q149" s="8"/>
      <c r="R149" s="8"/>
      <c r="S149" s="8"/>
      <c r="T149" s="8"/>
      <c r="U149" s="8"/>
      <c r="V149" s="341" t="s">
        <v>2297</v>
      </c>
      <c r="W149" s="8" t="s">
        <v>5433</v>
      </c>
      <c r="X149" s="8"/>
      <c r="Y149" s="341" t="s">
        <v>5434</v>
      </c>
      <c r="Z149" s="341"/>
      <c r="AA149" s="8" t="str">
        <f t="shared" ref="AA149" si="23">gen(C149,D149,E149,F149,G149,H149,I149,J149,K149,L149,M149,V149,W149,X149,Y149,Z149)</f>
        <v>deletePrgnInfoEmbrAll</v>
      </c>
      <c r="AB149" s="275" t="str">
        <f t="shared" ref="AB149" si="24">genUrl(C149,D149,E149,F149,G149,H149,I149,J149,K149,L149,M149,V149,W149,X149,Y149,Z149)</f>
        <v/>
      </c>
      <c r="AC149" s="8"/>
      <c r="AD149" s="8"/>
      <c r="AE149" s="8"/>
      <c r="AF149" s="8"/>
      <c r="AG149" s="8"/>
      <c r="AH149" s="8"/>
      <c r="AI149" s="8"/>
      <c r="AJ149" s="8"/>
    </row>
    <row r="150" spans="1:36" s="345" customFormat="1" ht="16.05" customHeight="1">
      <c r="A150" s="344"/>
      <c r="B150" s="8"/>
      <c r="C150" s="341" t="s">
        <v>2483</v>
      </c>
      <c r="D150" s="341" t="s">
        <v>5401</v>
      </c>
      <c r="E150" s="8"/>
      <c r="F150" s="341"/>
      <c r="G150" s="341"/>
      <c r="H150" s="341"/>
      <c r="I150" s="341"/>
      <c r="J150" s="341"/>
      <c r="K150" s="341"/>
      <c r="L150" s="341"/>
      <c r="M150" s="341"/>
      <c r="N150" s="8"/>
      <c r="O150" s="8"/>
      <c r="P150" s="8"/>
      <c r="Q150" s="8"/>
      <c r="R150" s="8"/>
      <c r="S150" s="8"/>
      <c r="T150" s="8"/>
      <c r="U150" s="8"/>
      <c r="V150" s="341" t="s">
        <v>2297</v>
      </c>
      <c r="W150" s="8" t="s">
        <v>4523</v>
      </c>
      <c r="X150" s="8"/>
      <c r="Y150" s="341" t="s">
        <v>31</v>
      </c>
      <c r="Z150" s="341"/>
      <c r="AA150" s="8" t="str">
        <f t="shared" si="18"/>
        <v>savePrgnInfo</v>
      </c>
      <c r="AB150" s="275" t="str">
        <f t="shared" si="19"/>
        <v/>
      </c>
      <c r="AC150" s="8"/>
      <c r="AD150" s="8"/>
      <c r="AE150" s="8"/>
      <c r="AF150" s="8"/>
      <c r="AG150" s="8"/>
      <c r="AH150" s="8"/>
      <c r="AI150" s="8"/>
      <c r="AJ150" s="8"/>
    </row>
    <row r="151" spans="1:36" s="345" customFormat="1" ht="16.05" customHeight="1">
      <c r="A151" s="344"/>
      <c r="B151" s="8"/>
      <c r="C151" s="341" t="s">
        <v>2483</v>
      </c>
      <c r="D151" s="341" t="s">
        <v>5401</v>
      </c>
      <c r="E151" s="8"/>
      <c r="F151" s="341"/>
      <c r="G151" s="341"/>
      <c r="H151" s="341"/>
      <c r="I151" s="341"/>
      <c r="J151" s="341"/>
      <c r="K151" s="341"/>
      <c r="L151" s="341"/>
      <c r="M151" s="341"/>
      <c r="N151" s="8"/>
      <c r="O151" s="8"/>
      <c r="P151" s="8"/>
      <c r="Q151" s="8"/>
      <c r="R151" s="8"/>
      <c r="S151" s="8"/>
      <c r="T151" s="8"/>
      <c r="U151" s="8"/>
      <c r="V151" s="341" t="s">
        <v>2297</v>
      </c>
      <c r="W151" s="8" t="s">
        <v>4524</v>
      </c>
      <c r="X151" s="8"/>
      <c r="Y151" s="341" t="s">
        <v>30</v>
      </c>
      <c r="Z151" s="341"/>
      <c r="AA151" s="8" t="str">
        <f t="shared" si="18"/>
        <v>updatePrgnInfo</v>
      </c>
      <c r="AB151" s="275" t="str">
        <f t="shared" si="19"/>
        <v/>
      </c>
      <c r="AC151" s="8"/>
      <c r="AD151" s="8"/>
      <c r="AE151" s="8"/>
      <c r="AF151" s="8"/>
      <c r="AG151" s="8"/>
      <c r="AH151" s="8"/>
      <c r="AI151" s="8"/>
      <c r="AJ151" s="8"/>
    </row>
    <row r="152" spans="1:36" s="345" customFormat="1" ht="16.05" customHeight="1">
      <c r="A152" s="344"/>
      <c r="B152" s="8"/>
      <c r="C152" s="341" t="s">
        <v>2483</v>
      </c>
      <c r="D152" s="341" t="s">
        <v>5401</v>
      </c>
      <c r="E152" s="8"/>
      <c r="F152" s="341"/>
      <c r="G152" s="341"/>
      <c r="H152" s="341"/>
      <c r="I152" s="341"/>
      <c r="J152" s="341"/>
      <c r="K152" s="341"/>
      <c r="L152" s="341"/>
      <c r="M152" s="341"/>
      <c r="N152" s="8"/>
      <c r="O152" s="8"/>
      <c r="P152" s="8"/>
      <c r="Q152" s="8"/>
      <c r="R152" s="8"/>
      <c r="S152" s="8"/>
      <c r="T152" s="8"/>
      <c r="U152" s="8"/>
      <c r="V152" s="341" t="s">
        <v>2297</v>
      </c>
      <c r="W152" s="8" t="s">
        <v>5101</v>
      </c>
      <c r="X152" s="8"/>
      <c r="Y152" s="341" t="s">
        <v>37</v>
      </c>
      <c r="Z152" s="341"/>
      <c r="AA152" s="8" t="str">
        <f t="shared" si="18"/>
        <v>deletePrgnInfo</v>
      </c>
      <c r="AB152" s="275" t="str">
        <f t="shared" si="19"/>
        <v/>
      </c>
      <c r="AC152" s="8"/>
      <c r="AD152" s="8"/>
      <c r="AE152" s="8"/>
      <c r="AF152" s="8"/>
      <c r="AG152" s="8"/>
      <c r="AH152" s="8"/>
      <c r="AI152" s="8"/>
      <c r="AJ152" s="8"/>
    </row>
    <row r="153" spans="1:36" s="345" customFormat="1" ht="16.05" customHeight="1">
      <c r="A153" s="344"/>
      <c r="B153" s="8"/>
      <c r="C153" s="341" t="s">
        <v>2483</v>
      </c>
      <c r="D153" s="341" t="s">
        <v>5401</v>
      </c>
      <c r="E153" s="8"/>
      <c r="F153" s="341"/>
      <c r="G153" s="341" t="s">
        <v>2253</v>
      </c>
      <c r="H153" s="341" t="s">
        <v>52</v>
      </c>
      <c r="I153" s="341" t="s">
        <v>1608</v>
      </c>
      <c r="J153" s="341"/>
      <c r="K153" s="341"/>
      <c r="L153" s="341"/>
      <c r="M153" s="341"/>
      <c r="N153" s="8"/>
      <c r="O153" s="8"/>
      <c r="P153" s="8"/>
      <c r="Q153" s="8"/>
      <c r="R153" s="8"/>
      <c r="S153" s="8"/>
      <c r="T153" s="8"/>
      <c r="U153" s="8"/>
      <c r="V153" s="341" t="s">
        <v>2297</v>
      </c>
      <c r="W153" s="8" t="s">
        <v>5102</v>
      </c>
      <c r="X153" s="8"/>
      <c r="Y153" s="341" t="s">
        <v>31</v>
      </c>
      <c r="Z153" s="341"/>
      <c r="AA153" s="8" t="str">
        <f t="shared" si="18"/>
        <v>savePrgnInfoPaturSeNcnt</v>
      </c>
      <c r="AB153" s="275" t="str">
        <f t="shared" si="19"/>
        <v/>
      </c>
      <c r="AC153" s="8"/>
      <c r="AD153" s="8"/>
      <c r="AE153" s="8"/>
      <c r="AF153" s="8"/>
      <c r="AG153" s="8"/>
      <c r="AH153" s="8"/>
      <c r="AI153" s="8"/>
      <c r="AJ153" s="8"/>
    </row>
    <row r="154" spans="1:36" s="345" customFormat="1" ht="16.05" customHeight="1">
      <c r="A154" s="344"/>
      <c r="B154" s="8"/>
      <c r="C154" s="341" t="s">
        <v>2483</v>
      </c>
      <c r="D154" s="341" t="s">
        <v>4</v>
      </c>
      <c r="E154" s="8"/>
      <c r="F154" s="341"/>
      <c r="G154" s="341" t="s">
        <v>2253</v>
      </c>
      <c r="H154" s="341" t="s">
        <v>52</v>
      </c>
      <c r="I154" s="341" t="s">
        <v>1608</v>
      </c>
      <c r="J154" s="341"/>
      <c r="K154" s="341"/>
      <c r="L154" s="341"/>
      <c r="M154" s="341"/>
      <c r="N154" s="8"/>
      <c r="O154" s="8"/>
      <c r="P154" s="8"/>
      <c r="Q154" s="8"/>
      <c r="R154" s="8"/>
      <c r="S154" s="8"/>
      <c r="T154" s="8"/>
      <c r="U154" s="8"/>
      <c r="V154" s="341" t="s">
        <v>2297</v>
      </c>
      <c r="W154" s="8" t="s">
        <v>5435</v>
      </c>
      <c r="X154" s="8"/>
      <c r="Y154" s="341" t="s">
        <v>5172</v>
      </c>
      <c r="Z154" s="341"/>
      <c r="AA154" s="8" t="str">
        <f t="shared" ref="AA154" si="25">gen(C154,D154,E154,F154,G154,H154,I154,J154,K154,L154,M154,V154,W154,X154,Y154,Z154)</f>
        <v>selectPrgnInfoPaturSeNcnt</v>
      </c>
      <c r="AB154" s="275" t="str">
        <f t="shared" ref="AB154" si="26">genUrl(C154,D154,E154,F154,G154,H154,I154,J154,K154,L154,M154,V154,W154,X154,Y154,Z154)</f>
        <v/>
      </c>
      <c r="AC154" s="8"/>
      <c r="AD154" s="8"/>
      <c r="AE154" s="8"/>
      <c r="AF154" s="8"/>
      <c r="AG154" s="8"/>
      <c r="AH154" s="8"/>
      <c r="AI154" s="8"/>
      <c r="AJ154" s="8"/>
    </row>
    <row r="155" spans="1:36" s="333" customFormat="1" ht="16.05" customHeight="1">
      <c r="A155" s="350"/>
      <c r="B155" s="332"/>
      <c r="C155" s="52" t="s">
        <v>2483</v>
      </c>
      <c r="D155" s="52" t="str">
        <f t="shared" si="20"/>
        <v/>
      </c>
      <c r="E155" s="332"/>
      <c r="F155" s="52"/>
      <c r="G155" s="52" t="s">
        <v>1525</v>
      </c>
      <c r="H155" s="52"/>
      <c r="I155" s="52"/>
      <c r="J155" s="52"/>
      <c r="K155" s="52"/>
      <c r="L155" s="52"/>
      <c r="M155" s="52"/>
      <c r="N155" s="332"/>
      <c r="O155" s="332"/>
      <c r="P155" s="332"/>
      <c r="Q155" s="332"/>
      <c r="R155" s="332"/>
      <c r="S155" s="332"/>
      <c r="T155" s="332"/>
      <c r="U155" s="332"/>
      <c r="V155" s="52" t="s">
        <v>5251</v>
      </c>
      <c r="W155" s="332" t="s">
        <v>5296</v>
      </c>
      <c r="X155" s="332"/>
      <c r="Y155" s="52" t="s">
        <v>5185</v>
      </c>
      <c r="Z155" s="359" t="s">
        <v>5320</v>
      </c>
      <c r="AA155" s="332" t="str">
        <f t="shared" si="18"/>
        <v>/prgn/PrgnInfoServiceSQL.xml</v>
      </c>
      <c r="AB155" s="13" t="str">
        <f t="shared" si="19"/>
        <v/>
      </c>
      <c r="AC155" s="332"/>
      <c r="AD155" s="332"/>
      <c r="AE155" s="332"/>
      <c r="AF155" s="332"/>
      <c r="AG155" s="332"/>
      <c r="AH155" s="332"/>
      <c r="AI155" s="332"/>
      <c r="AJ155" s="332"/>
    </row>
    <row r="156" spans="1:36" s="345" customFormat="1" ht="16.05" customHeight="1">
      <c r="A156" s="344"/>
      <c r="B156" s="8"/>
      <c r="C156" s="341" t="s">
        <v>2483</v>
      </c>
      <c r="D156" s="47" t="str">
        <f t="shared" si="20"/>
        <v/>
      </c>
      <c r="E156" s="8"/>
      <c r="F156" s="341"/>
      <c r="G156" s="341" t="s">
        <v>5401</v>
      </c>
      <c r="H156" s="341"/>
      <c r="I156" s="341"/>
      <c r="J156" s="341"/>
      <c r="K156" s="341"/>
      <c r="L156" s="341"/>
      <c r="M156" s="341"/>
      <c r="N156" s="8"/>
      <c r="O156" s="8"/>
      <c r="P156" s="8"/>
      <c r="Q156" s="8"/>
      <c r="R156" s="8"/>
      <c r="S156" s="8"/>
      <c r="T156" s="8"/>
      <c r="U156" s="8"/>
      <c r="V156" s="341" t="s">
        <v>5181</v>
      </c>
      <c r="W156" s="8" t="s">
        <v>5100</v>
      </c>
      <c r="X156" s="8"/>
      <c r="Y156" s="341" t="s">
        <v>5172</v>
      </c>
      <c r="Z156" s="341"/>
      <c r="AA156" s="8" t="str">
        <f t="shared" si="18"/>
        <v>selectPrgnInfo</v>
      </c>
      <c r="AB156" s="275" t="str">
        <f t="shared" si="19"/>
        <v/>
      </c>
      <c r="AC156" s="8"/>
      <c r="AD156" s="8"/>
      <c r="AE156" s="8"/>
      <c r="AF156" s="8"/>
      <c r="AG156" s="8"/>
      <c r="AH156" s="8"/>
      <c r="AI156" s="8"/>
      <c r="AJ156" s="8"/>
    </row>
    <row r="157" spans="1:36" s="345" customFormat="1" ht="16.05" customHeight="1">
      <c r="A157" s="344"/>
      <c r="B157" s="8"/>
      <c r="C157" s="341" t="s">
        <v>2483</v>
      </c>
      <c r="D157" s="47" t="str">
        <f t="shared" ref="D157" si="27">genPackage($D$1,C157)</f>
        <v/>
      </c>
      <c r="E157" s="8"/>
      <c r="F157" s="341"/>
      <c r="G157" s="341" t="s">
        <v>4</v>
      </c>
      <c r="H157" s="341" t="s">
        <v>5423</v>
      </c>
      <c r="I157" s="341"/>
      <c r="J157" s="341"/>
      <c r="K157" s="341"/>
      <c r="L157" s="341"/>
      <c r="M157" s="341"/>
      <c r="N157" s="8"/>
      <c r="O157" s="8"/>
      <c r="P157" s="8"/>
      <c r="Q157" s="8"/>
      <c r="R157" s="8"/>
      <c r="S157" s="8"/>
      <c r="T157" s="8"/>
      <c r="U157" s="8"/>
      <c r="V157" s="341" t="s">
        <v>5181</v>
      </c>
      <c r="W157" s="8" t="s">
        <v>5422</v>
      </c>
      <c r="X157" s="8"/>
      <c r="Y157" s="341" t="s">
        <v>5172</v>
      </c>
      <c r="Z157" s="341"/>
      <c r="AA157" s="8" t="str">
        <f t="shared" ref="AA157" si="28">gen(C157,D157,E157,F157,G157,H157,I157,J157,K157,L157,M157,V157,W157,X157,Y157,Z157)</f>
        <v>selectPrgnInfoDetail</v>
      </c>
      <c r="AB157" s="275" t="str">
        <f t="shared" ref="AB157:AB161" si="29">genUrl(C157,D157,E157,F157,G157,H157,I157,J157,K157,L157,M157,V157,W157,X157,Y157,Z157)</f>
        <v/>
      </c>
      <c r="AC157" s="8"/>
      <c r="AD157" s="8"/>
      <c r="AE157" s="8"/>
      <c r="AF157" s="8"/>
      <c r="AG157" s="8"/>
      <c r="AH157" s="8"/>
      <c r="AI157" s="8"/>
      <c r="AJ157" s="8"/>
    </row>
    <row r="158" spans="1:36" s="345" customFormat="1" ht="16.05" customHeight="1">
      <c r="A158" s="344"/>
      <c r="B158" s="8"/>
      <c r="C158" s="341" t="s">
        <v>2483</v>
      </c>
      <c r="D158" s="341"/>
      <c r="E158" s="8"/>
      <c r="F158" s="341"/>
      <c r="G158" s="341" t="s">
        <v>4</v>
      </c>
      <c r="H158" s="341" t="s">
        <v>5424</v>
      </c>
      <c r="I158" s="341" t="s">
        <v>5425</v>
      </c>
      <c r="J158" s="341" t="s">
        <v>5426</v>
      </c>
      <c r="K158" s="341"/>
      <c r="L158" s="341"/>
      <c r="M158" s="341"/>
      <c r="N158" s="8"/>
      <c r="O158" s="8"/>
      <c r="P158" s="8"/>
      <c r="Q158" s="8"/>
      <c r="R158" s="8"/>
      <c r="S158" s="8"/>
      <c r="T158" s="8"/>
      <c r="U158" s="8"/>
      <c r="V158" s="341" t="s">
        <v>5181</v>
      </c>
      <c r="W158" s="8" t="s">
        <v>5427</v>
      </c>
      <c r="X158" s="8"/>
      <c r="Y158" s="341" t="s">
        <v>5172</v>
      </c>
      <c r="Z158" s="341"/>
      <c r="AA158" s="8" t="str">
        <f>gen(C158,D158,E158,F158,G158,H158,I158,J158,K158,L158,M158,V158,W158,X158,Y158,Z158)</f>
        <v>selectPrgnInfoEmbrInfoSrch</v>
      </c>
      <c r="AB158" s="275" t="str">
        <f t="shared" si="29"/>
        <v/>
      </c>
      <c r="AC158" s="8"/>
      <c r="AD158" s="8"/>
      <c r="AE158" s="8"/>
      <c r="AF158" s="8"/>
      <c r="AG158" s="8"/>
      <c r="AH158" s="8"/>
      <c r="AI158" s="8"/>
      <c r="AJ158" s="8"/>
    </row>
    <row r="159" spans="1:36" s="345" customFormat="1" ht="16.05" customHeight="1">
      <c r="A159" s="344"/>
      <c r="B159" s="8"/>
      <c r="C159" s="341" t="s">
        <v>2483</v>
      </c>
      <c r="D159" s="341"/>
      <c r="E159" s="8"/>
      <c r="F159" s="341"/>
      <c r="G159" s="341" t="s">
        <v>4</v>
      </c>
      <c r="H159" s="341" t="s">
        <v>5302</v>
      </c>
      <c r="I159" s="341" t="s">
        <v>5256</v>
      </c>
      <c r="J159" s="341"/>
      <c r="K159" s="341"/>
      <c r="L159" s="341"/>
      <c r="M159" s="341"/>
      <c r="N159" s="8"/>
      <c r="O159" s="8"/>
      <c r="P159" s="8"/>
      <c r="Q159" s="8"/>
      <c r="R159" s="8"/>
      <c r="S159" s="8"/>
      <c r="T159" s="8"/>
      <c r="U159" s="8"/>
      <c r="V159" s="341" t="s">
        <v>5181</v>
      </c>
      <c r="W159" s="8" t="s">
        <v>5420</v>
      </c>
      <c r="X159" s="8"/>
      <c r="Y159" s="341" t="s">
        <v>31</v>
      </c>
      <c r="Z159" s="341"/>
      <c r="AA159" s="8" t="str">
        <f t="shared" ref="AA159:AA161" si="30">gen(C159,D159,E159,F159,G159,H159,I159,J159,K159,L159,M159,V159,W159,X159,Y159,Z159)</f>
        <v>savePrgnInfoEmbrReg</v>
      </c>
      <c r="AB159" s="275" t="str">
        <f t="shared" si="29"/>
        <v/>
      </c>
      <c r="AC159" s="8"/>
      <c r="AD159" s="8"/>
      <c r="AE159" s="8"/>
      <c r="AF159" s="8"/>
      <c r="AG159" s="8"/>
      <c r="AH159" s="8"/>
      <c r="AI159" s="8"/>
      <c r="AJ159" s="8"/>
    </row>
    <row r="160" spans="1:36" s="345" customFormat="1" ht="16.05" customHeight="1">
      <c r="A160" s="344"/>
      <c r="B160" s="8"/>
      <c r="C160" s="341" t="s">
        <v>2483</v>
      </c>
      <c r="D160" s="341"/>
      <c r="E160" s="8"/>
      <c r="F160" s="341"/>
      <c r="G160" s="341" t="s">
        <v>4</v>
      </c>
      <c r="H160" s="341" t="s">
        <v>5302</v>
      </c>
      <c r="I160" s="341" t="s">
        <v>5429</v>
      </c>
      <c r="J160" s="341"/>
      <c r="K160" s="341"/>
      <c r="L160" s="341"/>
      <c r="M160" s="341"/>
      <c r="N160" s="8"/>
      <c r="O160" s="8"/>
      <c r="P160" s="8"/>
      <c r="Q160" s="8"/>
      <c r="R160" s="8"/>
      <c r="S160" s="8"/>
      <c r="T160" s="8"/>
      <c r="U160" s="8"/>
      <c r="V160" s="341" t="s">
        <v>5181</v>
      </c>
      <c r="W160" s="8" t="s">
        <v>5428</v>
      </c>
      <c r="X160" s="8"/>
      <c r="Y160" s="341" t="s">
        <v>5430</v>
      </c>
      <c r="Z160" s="341"/>
      <c r="AA160" s="8" t="str">
        <f t="shared" si="30"/>
        <v>updatePrgnInfoEmbrUpdate</v>
      </c>
      <c r="AB160" s="275" t="str">
        <f t="shared" si="29"/>
        <v/>
      </c>
      <c r="AC160" s="8"/>
      <c r="AD160" s="8"/>
      <c r="AE160" s="8"/>
      <c r="AF160" s="8"/>
      <c r="AG160" s="8"/>
      <c r="AH160" s="8"/>
      <c r="AI160" s="8"/>
      <c r="AJ160" s="8"/>
    </row>
    <row r="161" spans="1:36" s="345" customFormat="1" ht="16.05" customHeight="1">
      <c r="A161" s="344"/>
      <c r="B161" s="8"/>
      <c r="C161" s="341" t="s">
        <v>2483</v>
      </c>
      <c r="D161" s="341"/>
      <c r="E161" s="8"/>
      <c r="F161" s="341"/>
      <c r="G161" s="341" t="s">
        <v>4</v>
      </c>
      <c r="H161" s="341" t="s">
        <v>5302</v>
      </c>
      <c r="I161" s="341" t="s">
        <v>5431</v>
      </c>
      <c r="J161" s="341"/>
      <c r="K161" s="341"/>
      <c r="L161" s="341"/>
      <c r="M161" s="341"/>
      <c r="N161" s="8"/>
      <c r="O161" s="8"/>
      <c r="P161" s="8"/>
      <c r="Q161" s="8"/>
      <c r="R161" s="8"/>
      <c r="S161" s="8"/>
      <c r="T161" s="8"/>
      <c r="U161" s="8"/>
      <c r="V161" s="341" t="s">
        <v>5181</v>
      </c>
      <c r="W161" s="8" t="s">
        <v>5433</v>
      </c>
      <c r="X161" s="8"/>
      <c r="Y161" s="341" t="s">
        <v>5434</v>
      </c>
      <c r="Z161" s="341"/>
      <c r="AA161" s="8" t="str">
        <f t="shared" si="30"/>
        <v>deletePrgnInfoEmbrAll</v>
      </c>
      <c r="AB161" s="275" t="str">
        <f t="shared" si="29"/>
        <v/>
      </c>
      <c r="AC161" s="8"/>
      <c r="AD161" s="8"/>
      <c r="AE161" s="8"/>
      <c r="AF161" s="8"/>
      <c r="AG161" s="8"/>
      <c r="AH161" s="8"/>
      <c r="AI161" s="8"/>
      <c r="AJ161" s="8"/>
    </row>
    <row r="162" spans="1:36" s="345" customFormat="1" ht="16.05" customHeight="1">
      <c r="A162" s="344"/>
      <c r="B162" s="8"/>
      <c r="C162" s="341" t="s">
        <v>2483</v>
      </c>
      <c r="D162" s="47" t="str">
        <f t="shared" si="20"/>
        <v/>
      </c>
      <c r="E162" s="8"/>
      <c r="F162" s="341"/>
      <c r="G162" s="341" t="s">
        <v>5401</v>
      </c>
      <c r="H162" s="341"/>
      <c r="I162" s="341"/>
      <c r="J162" s="341"/>
      <c r="K162" s="341"/>
      <c r="L162" s="341"/>
      <c r="M162" s="341"/>
      <c r="N162" s="8"/>
      <c r="O162" s="8"/>
      <c r="P162" s="8"/>
      <c r="Q162" s="8"/>
      <c r="R162" s="8"/>
      <c r="S162" s="8"/>
      <c r="T162" s="8"/>
      <c r="U162" s="8"/>
      <c r="V162" s="341" t="s">
        <v>5181</v>
      </c>
      <c r="W162" s="8" t="s">
        <v>4523</v>
      </c>
      <c r="X162" s="8"/>
      <c r="Y162" s="341" t="s">
        <v>31</v>
      </c>
      <c r="Z162" s="341"/>
      <c r="AA162" s="8" t="str">
        <f t="shared" si="18"/>
        <v>savePrgnInfo</v>
      </c>
      <c r="AB162" s="275" t="str">
        <f t="shared" si="19"/>
        <v/>
      </c>
      <c r="AC162" s="8"/>
      <c r="AD162" s="8"/>
      <c r="AE162" s="8"/>
      <c r="AF162" s="8"/>
      <c r="AG162" s="8"/>
      <c r="AH162" s="8"/>
      <c r="AI162" s="8"/>
      <c r="AJ162" s="8"/>
    </row>
    <row r="163" spans="1:36" s="345" customFormat="1" ht="16.05" customHeight="1">
      <c r="A163" s="344"/>
      <c r="B163" s="8"/>
      <c r="C163" s="341" t="s">
        <v>2483</v>
      </c>
      <c r="D163" s="47" t="str">
        <f t="shared" si="20"/>
        <v/>
      </c>
      <c r="E163" s="8"/>
      <c r="F163" s="341"/>
      <c r="G163" s="341" t="s">
        <v>5401</v>
      </c>
      <c r="H163" s="341"/>
      <c r="I163" s="341"/>
      <c r="J163" s="341"/>
      <c r="K163" s="341"/>
      <c r="L163" s="341"/>
      <c r="M163" s="341"/>
      <c r="N163" s="8"/>
      <c r="O163" s="8"/>
      <c r="P163" s="8"/>
      <c r="Q163" s="8"/>
      <c r="R163" s="8"/>
      <c r="S163" s="8"/>
      <c r="T163" s="8"/>
      <c r="U163" s="8"/>
      <c r="V163" s="341" t="s">
        <v>5181</v>
      </c>
      <c r="W163" s="8" t="s">
        <v>4524</v>
      </c>
      <c r="X163" s="8"/>
      <c r="Y163" s="341" t="s">
        <v>30</v>
      </c>
      <c r="Z163" s="341"/>
      <c r="AA163" s="8" t="str">
        <f t="shared" si="18"/>
        <v>updatePrgnInfo</v>
      </c>
      <c r="AB163" s="275" t="str">
        <f t="shared" si="19"/>
        <v/>
      </c>
      <c r="AC163" s="8"/>
      <c r="AD163" s="8"/>
      <c r="AE163" s="8"/>
      <c r="AF163" s="8"/>
      <c r="AG163" s="8"/>
      <c r="AH163" s="8"/>
      <c r="AI163" s="8"/>
      <c r="AJ163" s="8"/>
    </row>
    <row r="164" spans="1:36" s="345" customFormat="1" ht="16.05" customHeight="1">
      <c r="A164" s="344"/>
      <c r="B164" s="8"/>
      <c r="C164" s="341" t="s">
        <v>2483</v>
      </c>
      <c r="D164" s="47" t="str">
        <f t="shared" ref="D164:D165" si="31">genPackage($D$1,C164)</f>
        <v/>
      </c>
      <c r="E164" s="8"/>
      <c r="F164" s="341"/>
      <c r="G164" s="341" t="s">
        <v>4</v>
      </c>
      <c r="H164" s="341"/>
      <c r="I164" s="341"/>
      <c r="J164" s="341"/>
      <c r="K164" s="341"/>
      <c r="L164" s="341"/>
      <c r="M164" s="341"/>
      <c r="N164" s="8"/>
      <c r="O164" s="8"/>
      <c r="P164" s="8"/>
      <c r="Q164" s="8"/>
      <c r="R164" s="8"/>
      <c r="S164" s="8"/>
      <c r="T164" s="8"/>
      <c r="U164" s="8"/>
      <c r="V164" s="341" t="s">
        <v>5181</v>
      </c>
      <c r="W164" s="8" t="s">
        <v>5101</v>
      </c>
      <c r="X164" s="8"/>
      <c r="Y164" s="341" t="s">
        <v>37</v>
      </c>
      <c r="Z164" s="341"/>
      <c r="AA164" s="8" t="str">
        <f t="shared" ref="AA164:AA165" si="32">gen(C164,D164,E164,F164,G164,H164,I164,J164,K164,L164,M164,V164,W164,X164,Y164,Z164)</f>
        <v>deletePrgnInfo</v>
      </c>
      <c r="AB164" s="275" t="str">
        <f t="shared" ref="AB164:AB165" si="33">genUrl(C164,D164,E164,F164,G164,H164,I164,J164,K164,L164,M164,V164,W164,X164,Y164,Z164)</f>
        <v/>
      </c>
      <c r="AC164" s="8"/>
      <c r="AD164" s="8"/>
      <c r="AE164" s="8"/>
      <c r="AF164" s="8"/>
      <c r="AG164" s="8"/>
      <c r="AH164" s="8"/>
      <c r="AI164" s="8"/>
      <c r="AJ164" s="8"/>
    </row>
    <row r="165" spans="1:36" s="345" customFormat="1" ht="16.05" customHeight="1">
      <c r="A165" s="344"/>
      <c r="B165" s="8"/>
      <c r="C165" s="341" t="s">
        <v>2483</v>
      </c>
      <c r="D165" s="47" t="str">
        <f t="shared" si="31"/>
        <v/>
      </c>
      <c r="E165" s="8"/>
      <c r="F165" s="341"/>
      <c r="G165" s="341" t="s">
        <v>1525</v>
      </c>
      <c r="H165" s="341" t="s">
        <v>2253</v>
      </c>
      <c r="I165" s="341" t="s">
        <v>52</v>
      </c>
      <c r="J165" s="341" t="s">
        <v>1608</v>
      </c>
      <c r="K165" s="341"/>
      <c r="L165" s="341"/>
      <c r="M165" s="341"/>
      <c r="N165" s="8"/>
      <c r="O165" s="8"/>
      <c r="P165" s="8"/>
      <c r="Q165" s="8"/>
      <c r="R165" s="8"/>
      <c r="S165" s="8"/>
      <c r="T165" s="8"/>
      <c r="U165" s="8"/>
      <c r="V165" s="341" t="s">
        <v>5181</v>
      </c>
      <c r="W165" s="8" t="s">
        <v>5102</v>
      </c>
      <c r="X165" s="8"/>
      <c r="Y165" s="341" t="s">
        <v>31</v>
      </c>
      <c r="Z165" s="341"/>
      <c r="AA165" s="8" t="str">
        <f t="shared" si="32"/>
        <v>savePrgnInfoPaturSeNcnt</v>
      </c>
      <c r="AB165" s="275" t="str">
        <f t="shared" si="33"/>
        <v/>
      </c>
      <c r="AC165" s="8"/>
      <c r="AD165" s="8"/>
      <c r="AE165" s="8"/>
      <c r="AF165" s="8"/>
      <c r="AG165" s="8"/>
      <c r="AH165" s="8"/>
      <c r="AI165" s="8"/>
      <c r="AJ165" s="8"/>
    </row>
    <row r="166" spans="1:36" s="349" customFormat="1" ht="16.05" customHeight="1" thickBot="1">
      <c r="A166" s="346"/>
      <c r="B166" s="16"/>
      <c r="C166" s="347" t="s">
        <v>2483</v>
      </c>
      <c r="D166" s="348" t="str">
        <f t="shared" si="20"/>
        <v/>
      </c>
      <c r="E166" s="16"/>
      <c r="F166" s="347"/>
      <c r="G166" s="347" t="s">
        <v>1525</v>
      </c>
      <c r="H166" s="347" t="s">
        <v>2253</v>
      </c>
      <c r="I166" s="347" t="s">
        <v>52</v>
      </c>
      <c r="J166" s="347" t="s">
        <v>1608</v>
      </c>
      <c r="K166" s="347"/>
      <c r="L166" s="347"/>
      <c r="M166" s="347"/>
      <c r="N166" s="16"/>
      <c r="O166" s="16"/>
      <c r="P166" s="16"/>
      <c r="Q166" s="16"/>
      <c r="R166" s="16"/>
      <c r="S166" s="16"/>
      <c r="T166" s="16"/>
      <c r="U166" s="16"/>
      <c r="V166" s="347" t="s">
        <v>5181</v>
      </c>
      <c r="W166" s="16" t="s">
        <v>5435</v>
      </c>
      <c r="X166" s="16"/>
      <c r="Y166" s="347" t="s">
        <v>5436</v>
      </c>
      <c r="Z166" s="347"/>
      <c r="AA166" s="16" t="str">
        <f t="shared" si="18"/>
        <v>selectPrgnInfoPaturSeNcnt</v>
      </c>
      <c r="AB166" s="15" t="str">
        <f t="shared" si="19"/>
        <v/>
      </c>
      <c r="AC166" s="16"/>
      <c r="AD166" s="16"/>
      <c r="AE166" s="16"/>
      <c r="AF166" s="16"/>
      <c r="AG166" s="16"/>
      <c r="AH166" s="16"/>
      <c r="AI166" s="16"/>
      <c r="AJ166" s="16"/>
    </row>
    <row r="167" spans="1:36" s="337" customFormat="1" ht="16.05" customHeight="1">
      <c r="A167" s="343"/>
      <c r="B167" s="336"/>
      <c r="C167" s="335" t="s">
        <v>2480</v>
      </c>
      <c r="D167" s="335" t="str">
        <f t="shared" si="20"/>
        <v>kr.go.prpr.app.par.web</v>
      </c>
      <c r="E167" s="336"/>
      <c r="F167" s="335"/>
      <c r="G167" s="335" t="s">
        <v>182</v>
      </c>
      <c r="H167" s="335"/>
      <c r="I167" s="335"/>
      <c r="J167" s="335"/>
      <c r="K167" s="335"/>
      <c r="L167" s="335"/>
      <c r="M167" s="335"/>
      <c r="N167" s="336"/>
      <c r="O167" s="336"/>
      <c r="P167" s="336"/>
      <c r="Q167" s="336"/>
      <c r="R167" s="336"/>
      <c r="S167" s="336"/>
      <c r="T167" s="336"/>
      <c r="U167" s="336"/>
      <c r="V167" s="335" t="s">
        <v>2844</v>
      </c>
      <c r="W167" s="336" t="s">
        <v>5306</v>
      </c>
      <c r="X167" s="336"/>
      <c r="Y167" s="335" t="s">
        <v>5377</v>
      </c>
      <c r="Z167" s="335"/>
      <c r="AA167" s="336" t="str">
        <f t="shared" si="18"/>
        <v>ParMainController.java</v>
      </c>
      <c r="AB167" s="334" t="str">
        <f t="shared" si="19"/>
        <v/>
      </c>
      <c r="AC167" s="336"/>
      <c r="AD167" s="336"/>
      <c r="AE167" s="336"/>
      <c r="AF167" s="336"/>
      <c r="AG167" s="336"/>
      <c r="AH167" s="336"/>
      <c r="AI167" s="336"/>
      <c r="AJ167" s="336"/>
    </row>
    <row r="168" spans="1:36" s="358" customFormat="1" ht="16.05" customHeight="1">
      <c r="A168" s="352" t="s">
        <v>4532</v>
      </c>
      <c r="B168" s="353"/>
      <c r="C168" s="354" t="s">
        <v>2480</v>
      </c>
      <c r="D168" s="355" t="str">
        <f t="shared" si="20"/>
        <v/>
      </c>
      <c r="E168" s="353"/>
      <c r="F168" s="354"/>
      <c r="G168" s="354" t="s">
        <v>182</v>
      </c>
      <c r="H168" s="354"/>
      <c r="I168" s="354"/>
      <c r="J168" s="354"/>
      <c r="K168" s="354"/>
      <c r="L168" s="354"/>
      <c r="M168" s="354"/>
      <c r="N168" s="353"/>
      <c r="O168" s="353"/>
      <c r="P168" s="353"/>
      <c r="Q168" s="353"/>
      <c r="R168" s="353"/>
      <c r="S168" s="353"/>
      <c r="T168" s="353"/>
      <c r="U168" s="353"/>
      <c r="V168" s="354" t="s">
        <v>1907</v>
      </c>
      <c r="W168" s="353" t="s">
        <v>5307</v>
      </c>
      <c r="X168" s="353"/>
      <c r="Y168" s="354" t="s">
        <v>5166</v>
      </c>
      <c r="Z168" s="354"/>
      <c r="AA168" s="353" t="str">
        <f t="shared" si="18"/>
        <v>viewParMain</v>
      </c>
      <c r="AB168" s="356" t="str">
        <f t="shared" si="19"/>
        <v>/par/main.do</v>
      </c>
      <c r="AC168" s="353"/>
      <c r="AD168" s="353"/>
      <c r="AE168" s="353"/>
      <c r="AF168" s="353"/>
      <c r="AG168" s="353"/>
      <c r="AH168" s="353"/>
      <c r="AI168" s="353"/>
      <c r="AJ168" s="353"/>
    </row>
    <row r="169" spans="1:36" s="345" customFormat="1" ht="16.05" customHeight="1">
      <c r="A169" s="344"/>
      <c r="B169" s="8"/>
      <c r="C169" s="341" t="s">
        <v>2480</v>
      </c>
      <c r="D169" s="47" t="str">
        <f t="shared" si="20"/>
        <v/>
      </c>
      <c r="E169" s="8"/>
      <c r="F169" s="341"/>
      <c r="G169" s="341" t="s">
        <v>767</v>
      </c>
      <c r="H169" s="341" t="s">
        <v>1137</v>
      </c>
      <c r="I169" s="341" t="s">
        <v>1525</v>
      </c>
      <c r="J169" s="341"/>
      <c r="K169" s="341"/>
      <c r="L169" s="341"/>
      <c r="M169" s="341"/>
      <c r="N169" s="8"/>
      <c r="O169" s="8"/>
      <c r="P169" s="8"/>
      <c r="Q169" s="8"/>
      <c r="R169" s="8"/>
      <c r="S169" s="8"/>
      <c r="T169" s="8"/>
      <c r="U169" s="8"/>
      <c r="V169" s="341" t="s">
        <v>5263</v>
      </c>
      <c r="W169" s="8" t="s">
        <v>5104</v>
      </c>
      <c r="X169" s="8"/>
      <c r="Y169" s="341" t="s">
        <v>5172</v>
      </c>
      <c r="Z169" s="341"/>
      <c r="AA169" s="8" t="str">
        <f t="shared" si="18"/>
        <v>selectParMmNbInfo</v>
      </c>
      <c r="AB169" s="275" t="str">
        <f t="shared" si="19"/>
        <v>/api/par/mmNbInfo</v>
      </c>
      <c r="AC169" s="8"/>
      <c r="AD169" s="8"/>
      <c r="AE169" s="8"/>
      <c r="AF169" s="8"/>
      <c r="AG169" s="8"/>
      <c r="AH169" s="8"/>
      <c r="AI169" s="8"/>
      <c r="AJ169" s="8"/>
    </row>
    <row r="170" spans="1:36" s="345" customFormat="1" ht="16.05" customHeight="1">
      <c r="A170" s="344"/>
      <c r="B170" s="8"/>
      <c r="C170" s="341" t="s">
        <v>2480</v>
      </c>
      <c r="D170" s="47" t="str">
        <f t="shared" si="20"/>
        <v/>
      </c>
      <c r="E170" s="8"/>
      <c r="F170" s="341"/>
      <c r="G170" s="341" t="s">
        <v>5439</v>
      </c>
      <c r="H170" s="341" t="s">
        <v>1137</v>
      </c>
      <c r="I170" s="341"/>
      <c r="J170" s="341"/>
      <c r="K170" s="341"/>
      <c r="L170" s="341"/>
      <c r="M170" s="341"/>
      <c r="N170" s="8"/>
      <c r="O170" s="8"/>
      <c r="P170" s="8"/>
      <c r="Q170" s="8"/>
      <c r="R170" s="8"/>
      <c r="S170" s="8"/>
      <c r="T170" s="8"/>
      <c r="U170" s="8"/>
      <c r="V170" s="341" t="s">
        <v>5263</v>
      </c>
      <c r="W170" s="8" t="s">
        <v>5440</v>
      </c>
      <c r="X170" s="8"/>
      <c r="Y170" s="341" t="s">
        <v>5172</v>
      </c>
      <c r="Z170" s="341"/>
      <c r="AA170" s="8" t="str">
        <f t="shared" si="18"/>
        <v>selectParPrtrNb</v>
      </c>
      <c r="AB170" s="275" t="str">
        <f t="shared" si="19"/>
        <v>/api/par/prtrNb</v>
      </c>
      <c r="AC170" s="8"/>
      <c r="AD170" s="8"/>
      <c r="AE170" s="8"/>
      <c r="AF170" s="8"/>
      <c r="AG170" s="8"/>
      <c r="AH170" s="8"/>
      <c r="AI170" s="8"/>
      <c r="AJ170" s="8"/>
    </row>
    <row r="171" spans="1:36" s="345" customFormat="1" ht="16.05" customHeight="1">
      <c r="A171" s="344"/>
      <c r="B171" s="8"/>
      <c r="C171" s="341" t="s">
        <v>2480</v>
      </c>
      <c r="D171" s="47" t="str">
        <f t="shared" si="20"/>
        <v/>
      </c>
      <c r="E171" s="8"/>
      <c r="F171" s="341"/>
      <c r="G171" s="341" t="s">
        <v>5439</v>
      </c>
      <c r="H171" s="341" t="s">
        <v>1137</v>
      </c>
      <c r="I171" s="341" t="s">
        <v>16</v>
      </c>
      <c r="J171" s="341" t="s">
        <v>5309</v>
      </c>
      <c r="K171" s="341" t="s">
        <v>5310</v>
      </c>
      <c r="L171" s="341"/>
      <c r="M171" s="341"/>
      <c r="N171" s="8"/>
      <c r="O171" s="8"/>
      <c r="P171" s="8"/>
      <c r="Q171" s="8"/>
      <c r="R171" s="8"/>
      <c r="S171" s="8"/>
      <c r="T171" s="8"/>
      <c r="U171" s="8"/>
      <c r="V171" s="341" t="s">
        <v>5263</v>
      </c>
      <c r="W171" s="8" t="s">
        <v>5441</v>
      </c>
      <c r="X171" s="8"/>
      <c r="Y171" s="341" t="s">
        <v>5172</v>
      </c>
      <c r="Z171" s="341"/>
      <c r="AA171" s="8" t="str">
        <f t="shared" si="18"/>
        <v>selectParPrtrNbDetailRglrMedx</v>
      </c>
      <c r="AB171" s="275" t="str">
        <f t="shared" si="19"/>
        <v>/api/par/prtrNbDetailRglrMedx</v>
      </c>
      <c r="AC171" s="8"/>
      <c r="AD171" s="8"/>
      <c r="AE171" s="8"/>
      <c r="AF171" s="8"/>
      <c r="AG171" s="8"/>
      <c r="AH171" s="8"/>
      <c r="AI171" s="8"/>
      <c r="AJ171" s="8"/>
    </row>
    <row r="172" spans="1:36" s="345" customFormat="1" ht="16.05" customHeight="1">
      <c r="A172" s="344"/>
      <c r="B172" s="8"/>
      <c r="C172" s="341" t="s">
        <v>2480</v>
      </c>
      <c r="D172" s="47" t="str">
        <f t="shared" si="20"/>
        <v/>
      </c>
      <c r="E172" s="8"/>
      <c r="F172" s="341"/>
      <c r="G172" s="341" t="s">
        <v>5439</v>
      </c>
      <c r="H172" s="341" t="s">
        <v>1137</v>
      </c>
      <c r="I172" s="341" t="s">
        <v>16</v>
      </c>
      <c r="J172" s="341" t="s">
        <v>2483</v>
      </c>
      <c r="K172" s="341" t="s">
        <v>1203</v>
      </c>
      <c r="L172" s="341"/>
      <c r="M172" s="341"/>
      <c r="N172" s="8"/>
      <c r="O172" s="8"/>
      <c r="P172" s="8"/>
      <c r="Q172" s="8"/>
      <c r="R172" s="8"/>
      <c r="S172" s="8"/>
      <c r="T172" s="8"/>
      <c r="U172" s="8"/>
      <c r="V172" s="341" t="s">
        <v>5263</v>
      </c>
      <c r="W172" s="8" t="s">
        <v>5442</v>
      </c>
      <c r="X172" s="8"/>
      <c r="Y172" s="341" t="s">
        <v>5172</v>
      </c>
      <c r="Z172" s="341"/>
      <c r="AA172" s="8" t="str">
        <f t="shared" si="18"/>
        <v>selectParPrtrNbDetailPrgnExm</v>
      </c>
      <c r="AB172" s="275" t="str">
        <f t="shared" si="19"/>
        <v>/api/par/prtrNbDetailPrgnExm</v>
      </c>
      <c r="AC172" s="8"/>
      <c r="AD172" s="8"/>
      <c r="AE172" s="8"/>
      <c r="AF172" s="8"/>
      <c r="AG172" s="8"/>
      <c r="AH172" s="8"/>
      <c r="AI172" s="8"/>
      <c r="AJ172" s="8"/>
    </row>
    <row r="173" spans="1:36" s="345" customFormat="1" ht="16.05" customHeight="1">
      <c r="A173" s="344"/>
      <c r="B173" s="8"/>
      <c r="C173" s="341" t="s">
        <v>2480</v>
      </c>
      <c r="D173" s="47" t="str">
        <f t="shared" si="20"/>
        <v/>
      </c>
      <c r="E173" s="8"/>
      <c r="F173" s="341"/>
      <c r="G173" s="341" t="s">
        <v>5439</v>
      </c>
      <c r="H173" s="341" t="s">
        <v>1137</v>
      </c>
      <c r="I173" s="341" t="s">
        <v>16</v>
      </c>
      <c r="J173" s="341" t="s">
        <v>5311</v>
      </c>
      <c r="K173" s="341" t="s">
        <v>5312</v>
      </c>
      <c r="L173" s="341"/>
      <c r="M173" s="341"/>
      <c r="N173" s="8"/>
      <c r="O173" s="8"/>
      <c r="P173" s="8"/>
      <c r="Q173" s="8"/>
      <c r="R173" s="8"/>
      <c r="S173" s="8"/>
      <c r="T173" s="8"/>
      <c r="U173" s="8"/>
      <c r="V173" s="341" t="s">
        <v>5263</v>
      </c>
      <c r="W173" s="8" t="s">
        <v>5443</v>
      </c>
      <c r="X173" s="8"/>
      <c r="Y173" s="341" t="s">
        <v>5172</v>
      </c>
      <c r="Z173" s="341"/>
      <c r="AA173" s="8" t="str">
        <f t="shared" si="18"/>
        <v>selectParPrtrNbDetailBabyLttr</v>
      </c>
      <c r="AB173" s="275" t="str">
        <f t="shared" si="19"/>
        <v>/api/par/prtrNbDetailBabyLttr</v>
      </c>
      <c r="AC173" s="8"/>
      <c r="AD173" s="8"/>
      <c r="AE173" s="8"/>
      <c r="AF173" s="8"/>
      <c r="AG173" s="8"/>
      <c r="AH173" s="8"/>
      <c r="AI173" s="8"/>
      <c r="AJ173" s="8"/>
    </row>
    <row r="174" spans="1:36" s="358" customFormat="1" ht="16.05" customHeight="1">
      <c r="A174" s="352"/>
      <c r="B174" s="353"/>
      <c r="C174" s="354" t="s">
        <v>2480</v>
      </c>
      <c r="D174" s="355" t="str">
        <f t="shared" si="20"/>
        <v/>
      </c>
      <c r="E174" s="353"/>
      <c r="F174" s="354"/>
      <c r="G174" s="354" t="s">
        <v>182</v>
      </c>
      <c r="H174" s="354"/>
      <c r="I174" s="354"/>
      <c r="J174" s="354"/>
      <c r="K174" s="354"/>
      <c r="L174" s="354"/>
      <c r="M174" s="354"/>
      <c r="N174" s="353"/>
      <c r="O174" s="353"/>
      <c r="P174" s="353"/>
      <c r="Q174" s="353"/>
      <c r="R174" s="353"/>
      <c r="S174" s="353"/>
      <c r="T174" s="353"/>
      <c r="U174" s="353"/>
      <c r="V174" s="354" t="s">
        <v>5173</v>
      </c>
      <c r="W174" s="353" t="s">
        <v>5307</v>
      </c>
      <c r="X174" s="353"/>
      <c r="Y174" s="354" t="s">
        <v>5173</v>
      </c>
      <c r="Z174" s="354"/>
      <c r="AA174" s="353" t="str">
        <f t="shared" si="18"/>
        <v>/par/main.jsp</v>
      </c>
      <c r="AB174" s="356" t="str">
        <f t="shared" si="19"/>
        <v/>
      </c>
      <c r="AC174" s="353"/>
      <c r="AD174" s="353"/>
      <c r="AE174" s="353"/>
      <c r="AF174" s="353"/>
      <c r="AG174" s="353"/>
      <c r="AH174" s="353"/>
      <c r="AI174" s="353"/>
      <c r="AJ174" s="353"/>
    </row>
    <row r="175" spans="1:36" s="333" customFormat="1" ht="16.05" customHeight="1">
      <c r="A175" s="350"/>
      <c r="B175" s="332"/>
      <c r="C175" s="52" t="s">
        <v>2480</v>
      </c>
      <c r="D175" s="52" t="str">
        <f t="shared" si="20"/>
        <v>kr.go.prpr.app.par.service</v>
      </c>
      <c r="E175" s="332"/>
      <c r="F175" s="52"/>
      <c r="G175" s="52" t="s">
        <v>182</v>
      </c>
      <c r="H175" s="52"/>
      <c r="I175" s="52"/>
      <c r="J175" s="52"/>
      <c r="K175" s="52"/>
      <c r="L175" s="52"/>
      <c r="M175" s="52"/>
      <c r="N175" s="332"/>
      <c r="O175" s="332"/>
      <c r="P175" s="332"/>
      <c r="Q175" s="332"/>
      <c r="R175" s="332"/>
      <c r="S175" s="332"/>
      <c r="T175" s="332"/>
      <c r="U175" s="332"/>
      <c r="V175" s="52" t="s">
        <v>5177</v>
      </c>
      <c r="W175" s="332" t="s">
        <v>5294</v>
      </c>
      <c r="X175" s="332"/>
      <c r="Y175" s="52" t="s">
        <v>5377</v>
      </c>
      <c r="Z175" s="52"/>
      <c r="AA175" s="332" t="str">
        <f t="shared" si="18"/>
        <v>ParMainService.java</v>
      </c>
      <c r="AB175" s="13" t="str">
        <f t="shared" si="19"/>
        <v/>
      </c>
      <c r="AC175" s="332"/>
      <c r="AD175" s="332"/>
      <c r="AE175" s="332"/>
      <c r="AF175" s="332"/>
      <c r="AG175" s="332"/>
      <c r="AH175" s="332"/>
      <c r="AI175" s="332"/>
      <c r="AJ175" s="332"/>
    </row>
    <row r="176" spans="1:36" s="333" customFormat="1" ht="16.05" customHeight="1">
      <c r="A176" s="350"/>
      <c r="B176" s="332"/>
      <c r="C176" s="52" t="s">
        <v>2480</v>
      </c>
      <c r="D176" s="52" t="str">
        <f t="shared" si="20"/>
        <v>kr.go.prpr.app.par.serviceimpl</v>
      </c>
      <c r="E176" s="332"/>
      <c r="F176" s="52"/>
      <c r="G176" s="52" t="s">
        <v>182</v>
      </c>
      <c r="H176" s="52"/>
      <c r="I176" s="52"/>
      <c r="J176" s="52"/>
      <c r="K176" s="52"/>
      <c r="L176" s="52"/>
      <c r="M176" s="52"/>
      <c r="N176" s="332"/>
      <c r="O176" s="332"/>
      <c r="P176" s="332"/>
      <c r="Q176" s="332"/>
      <c r="R176" s="332"/>
      <c r="S176" s="332"/>
      <c r="T176" s="332"/>
      <c r="U176" s="332"/>
      <c r="V176" s="52" t="s">
        <v>5178</v>
      </c>
      <c r="W176" s="332" t="s">
        <v>5295</v>
      </c>
      <c r="X176" s="332"/>
      <c r="Y176" s="338" t="s">
        <v>5377</v>
      </c>
      <c r="Z176" s="52"/>
      <c r="AA176" s="332" t="str">
        <f t="shared" si="18"/>
        <v>ParMainServiceImpl.java</v>
      </c>
      <c r="AB176" s="13" t="str">
        <f t="shared" si="19"/>
        <v/>
      </c>
      <c r="AC176" s="332"/>
      <c r="AD176" s="332"/>
      <c r="AE176" s="332"/>
      <c r="AF176" s="332"/>
      <c r="AG176" s="332"/>
      <c r="AH176" s="332"/>
      <c r="AI176" s="332"/>
      <c r="AJ176" s="332"/>
    </row>
    <row r="177" spans="1:36" s="345" customFormat="1" ht="16.05" customHeight="1">
      <c r="A177" s="344"/>
      <c r="B177" s="8"/>
      <c r="C177" s="341" t="s">
        <v>2480</v>
      </c>
      <c r="D177" s="47" t="str">
        <f t="shared" si="20"/>
        <v/>
      </c>
      <c r="E177" s="8"/>
      <c r="F177" s="341"/>
      <c r="G177" s="341" t="s">
        <v>5438</v>
      </c>
      <c r="H177" s="341" t="s">
        <v>1137</v>
      </c>
      <c r="I177" s="341" t="s">
        <v>1525</v>
      </c>
      <c r="J177" s="341"/>
      <c r="K177" s="341"/>
      <c r="L177" s="341"/>
      <c r="M177" s="341"/>
      <c r="N177" s="8"/>
      <c r="O177" s="8"/>
      <c r="P177" s="8"/>
      <c r="Q177" s="8"/>
      <c r="R177" s="8"/>
      <c r="S177" s="8"/>
      <c r="T177" s="8"/>
      <c r="U177" s="8"/>
      <c r="V177" s="341" t="s">
        <v>2297</v>
      </c>
      <c r="W177" s="8" t="s">
        <v>5104</v>
      </c>
      <c r="X177" s="8"/>
      <c r="Y177" s="341" t="s">
        <v>5172</v>
      </c>
      <c r="Z177" s="341"/>
      <c r="AA177" s="8" t="str">
        <f>gen(C177,D177,E177,F177,G177,H177,I177,J177,K177,L177,M177,V177,W177,X177,Y177,Z177)</f>
        <v>selectParMmNbInfo</v>
      </c>
      <c r="AB177" s="275" t="str">
        <f t="shared" si="19"/>
        <v/>
      </c>
      <c r="AC177" s="8"/>
      <c r="AD177" s="8"/>
      <c r="AE177" s="8"/>
      <c r="AF177" s="8"/>
      <c r="AG177" s="8"/>
      <c r="AH177" s="8"/>
      <c r="AI177" s="8"/>
      <c r="AJ177" s="8"/>
    </row>
    <row r="178" spans="1:36" s="345" customFormat="1" ht="16.05" customHeight="1">
      <c r="A178" s="344"/>
      <c r="B178" s="8"/>
      <c r="C178" s="341" t="s">
        <v>2480</v>
      </c>
      <c r="D178" s="47" t="str">
        <f t="shared" si="20"/>
        <v/>
      </c>
      <c r="E178" s="8"/>
      <c r="F178" s="341"/>
      <c r="G178" s="341" t="s">
        <v>5439</v>
      </c>
      <c r="H178" s="341" t="s">
        <v>1137</v>
      </c>
      <c r="I178" s="341"/>
      <c r="J178" s="341"/>
      <c r="K178" s="341"/>
      <c r="L178" s="341"/>
      <c r="M178" s="341"/>
      <c r="N178" s="8"/>
      <c r="O178" s="8"/>
      <c r="P178" s="8"/>
      <c r="Q178" s="8"/>
      <c r="R178" s="8"/>
      <c r="S178" s="8"/>
      <c r="T178" s="8"/>
      <c r="U178" s="8"/>
      <c r="V178" s="341" t="s">
        <v>2297</v>
      </c>
      <c r="W178" s="8" t="s">
        <v>5440</v>
      </c>
      <c r="X178" s="8"/>
      <c r="Y178" s="341" t="s">
        <v>5172</v>
      </c>
      <c r="Z178" s="341"/>
      <c r="AA178" s="8" t="str">
        <f>gen(C178,D178,E178,F178,G178,H178,I178,J178,K178,L178,M178,V178,W178,X178,Y178,Z178)</f>
        <v>selectParPrtrNb</v>
      </c>
      <c r="AB178" s="275" t="str">
        <f t="shared" si="19"/>
        <v/>
      </c>
      <c r="AC178" s="8"/>
      <c r="AD178" s="8"/>
      <c r="AE178" s="8"/>
      <c r="AF178" s="8"/>
      <c r="AG178" s="8"/>
      <c r="AH178" s="8"/>
      <c r="AI178" s="8"/>
      <c r="AJ178" s="8"/>
    </row>
    <row r="179" spans="1:36" s="345" customFormat="1" ht="16.05" customHeight="1">
      <c r="A179" s="344"/>
      <c r="B179" s="8"/>
      <c r="C179" s="341" t="s">
        <v>2480</v>
      </c>
      <c r="D179" s="47" t="str">
        <f t="shared" si="20"/>
        <v/>
      </c>
      <c r="E179" s="8"/>
      <c r="F179" s="341"/>
      <c r="G179" s="341" t="s">
        <v>5439</v>
      </c>
      <c r="H179" s="341" t="s">
        <v>1137</v>
      </c>
      <c r="I179" s="341" t="s">
        <v>16</v>
      </c>
      <c r="J179" s="341" t="s">
        <v>5309</v>
      </c>
      <c r="K179" s="341" t="s">
        <v>5310</v>
      </c>
      <c r="L179" s="341"/>
      <c r="M179" s="341"/>
      <c r="N179" s="8"/>
      <c r="O179" s="8"/>
      <c r="P179" s="8"/>
      <c r="Q179" s="8"/>
      <c r="R179" s="8"/>
      <c r="S179" s="8"/>
      <c r="T179" s="8"/>
      <c r="U179" s="8"/>
      <c r="V179" s="341" t="s">
        <v>2297</v>
      </c>
      <c r="W179" s="8" t="s">
        <v>5441</v>
      </c>
      <c r="X179" s="8"/>
      <c r="Y179" s="341" t="s">
        <v>5172</v>
      </c>
      <c r="Z179" s="341"/>
      <c r="AA179" s="8" t="str">
        <f t="shared" si="18"/>
        <v>selectParPrtrNbDetailRglrMedx</v>
      </c>
      <c r="AB179" s="275" t="str">
        <f t="shared" si="19"/>
        <v/>
      </c>
      <c r="AC179" s="8"/>
      <c r="AD179" s="8"/>
      <c r="AE179" s="8"/>
      <c r="AF179" s="8"/>
      <c r="AG179" s="8"/>
      <c r="AH179" s="8"/>
      <c r="AI179" s="8"/>
      <c r="AJ179" s="8"/>
    </row>
    <row r="180" spans="1:36" s="345" customFormat="1" ht="16.05" customHeight="1">
      <c r="A180" s="344"/>
      <c r="B180" s="8"/>
      <c r="C180" s="341" t="s">
        <v>2480</v>
      </c>
      <c r="D180" s="47" t="str">
        <f t="shared" si="20"/>
        <v/>
      </c>
      <c r="E180" s="8"/>
      <c r="F180" s="341"/>
      <c r="G180" s="341" t="s">
        <v>5439</v>
      </c>
      <c r="H180" s="341" t="s">
        <v>1137</v>
      </c>
      <c r="I180" s="341" t="s">
        <v>16</v>
      </c>
      <c r="J180" s="341" t="s">
        <v>2483</v>
      </c>
      <c r="K180" s="341" t="s">
        <v>1203</v>
      </c>
      <c r="L180" s="341"/>
      <c r="M180" s="341"/>
      <c r="N180" s="8"/>
      <c r="O180" s="8"/>
      <c r="P180" s="8"/>
      <c r="Q180" s="8"/>
      <c r="R180" s="8"/>
      <c r="S180" s="8"/>
      <c r="T180" s="8"/>
      <c r="U180" s="8"/>
      <c r="V180" s="341" t="s">
        <v>2297</v>
      </c>
      <c r="W180" s="8" t="s">
        <v>5442</v>
      </c>
      <c r="X180" s="8"/>
      <c r="Y180" s="341" t="s">
        <v>5172</v>
      </c>
      <c r="Z180" s="341"/>
      <c r="AA180" s="8" t="str">
        <f t="shared" si="18"/>
        <v>selectParPrtrNbDetailPrgnExm</v>
      </c>
      <c r="AB180" s="275" t="str">
        <f t="shared" si="19"/>
        <v/>
      </c>
      <c r="AC180" s="8"/>
      <c r="AD180" s="8"/>
      <c r="AE180" s="8"/>
      <c r="AF180" s="8"/>
      <c r="AG180" s="8"/>
      <c r="AH180" s="8"/>
      <c r="AI180" s="8"/>
      <c r="AJ180" s="8"/>
    </row>
    <row r="181" spans="1:36" s="345" customFormat="1" ht="16.05" customHeight="1">
      <c r="A181" s="344"/>
      <c r="B181" s="8"/>
      <c r="C181" s="341" t="s">
        <v>2480</v>
      </c>
      <c r="D181" s="47" t="str">
        <f t="shared" si="20"/>
        <v/>
      </c>
      <c r="E181" s="8"/>
      <c r="F181" s="341"/>
      <c r="G181" s="341" t="s">
        <v>5439</v>
      </c>
      <c r="H181" s="341" t="s">
        <v>1137</v>
      </c>
      <c r="I181" s="341" t="s">
        <v>16</v>
      </c>
      <c r="J181" s="341" t="s">
        <v>5311</v>
      </c>
      <c r="K181" s="341" t="s">
        <v>5312</v>
      </c>
      <c r="L181" s="341"/>
      <c r="M181" s="341"/>
      <c r="N181" s="8"/>
      <c r="O181" s="8"/>
      <c r="P181" s="8"/>
      <c r="Q181" s="8"/>
      <c r="R181" s="8"/>
      <c r="S181" s="8"/>
      <c r="T181" s="8"/>
      <c r="U181" s="8"/>
      <c r="V181" s="341" t="s">
        <v>2297</v>
      </c>
      <c r="W181" s="8" t="s">
        <v>5443</v>
      </c>
      <c r="X181" s="8"/>
      <c r="Y181" s="341" t="s">
        <v>5172</v>
      </c>
      <c r="Z181" s="341"/>
      <c r="AA181" s="8" t="str">
        <f t="shared" si="18"/>
        <v>selectParPrtrNbDetailBabyLttr</v>
      </c>
      <c r="AB181" s="275" t="str">
        <f t="shared" si="19"/>
        <v/>
      </c>
      <c r="AC181" s="8"/>
      <c r="AD181" s="8"/>
      <c r="AE181" s="8"/>
      <c r="AF181" s="8"/>
      <c r="AG181" s="8"/>
      <c r="AH181" s="8"/>
      <c r="AI181" s="8"/>
      <c r="AJ181" s="8"/>
    </row>
    <row r="182" spans="1:36" s="333" customFormat="1" ht="16.05" customHeight="1">
      <c r="A182" s="350"/>
      <c r="B182" s="332"/>
      <c r="C182" s="52" t="s">
        <v>2480</v>
      </c>
      <c r="D182" s="52" t="str">
        <f t="shared" si="20"/>
        <v/>
      </c>
      <c r="E182" s="332"/>
      <c r="F182" s="52"/>
      <c r="G182" s="52" t="s">
        <v>182</v>
      </c>
      <c r="H182" s="52"/>
      <c r="I182" s="52"/>
      <c r="J182" s="52"/>
      <c r="K182" s="52"/>
      <c r="L182" s="52"/>
      <c r="M182" s="52"/>
      <c r="N182" s="332"/>
      <c r="O182" s="332"/>
      <c r="P182" s="332"/>
      <c r="Q182" s="332"/>
      <c r="R182" s="332"/>
      <c r="S182" s="332"/>
      <c r="T182" s="332"/>
      <c r="U182" s="332"/>
      <c r="V182" s="52" t="s">
        <v>5251</v>
      </c>
      <c r="W182" s="332" t="s">
        <v>5296</v>
      </c>
      <c r="X182" s="332"/>
      <c r="Y182" s="52" t="s">
        <v>5185</v>
      </c>
      <c r="Z182" s="359" t="s">
        <v>5320</v>
      </c>
      <c r="AA182" s="332" t="str">
        <f t="shared" si="18"/>
        <v>/par/ParMainServiceSQL.xml</v>
      </c>
      <c r="AB182" s="13" t="str">
        <f t="shared" si="19"/>
        <v/>
      </c>
      <c r="AC182" s="332"/>
      <c r="AD182" s="332"/>
      <c r="AE182" s="332"/>
      <c r="AF182" s="332"/>
      <c r="AG182" s="332"/>
      <c r="AH182" s="332"/>
      <c r="AI182" s="332"/>
      <c r="AJ182" s="332"/>
    </row>
    <row r="183" spans="1:36" s="345" customFormat="1" ht="16.05" customHeight="1">
      <c r="A183" s="344"/>
      <c r="B183" s="8"/>
      <c r="C183" s="341" t="s">
        <v>2480</v>
      </c>
      <c r="D183" s="47" t="str">
        <f t="shared" si="20"/>
        <v/>
      </c>
      <c r="E183" s="8"/>
      <c r="F183" s="341"/>
      <c r="G183" s="341" t="s">
        <v>5438</v>
      </c>
      <c r="H183" s="341" t="s">
        <v>1137</v>
      </c>
      <c r="I183" s="341" t="s">
        <v>1525</v>
      </c>
      <c r="J183" s="341"/>
      <c r="K183" s="341"/>
      <c r="L183" s="341"/>
      <c r="M183" s="341"/>
      <c r="N183" s="8"/>
      <c r="O183" s="8"/>
      <c r="P183" s="8"/>
      <c r="Q183" s="8"/>
      <c r="R183" s="8"/>
      <c r="S183" s="8"/>
      <c r="T183" s="8"/>
      <c r="U183" s="8"/>
      <c r="V183" s="341" t="s">
        <v>5181</v>
      </c>
      <c r="W183" s="8" t="s">
        <v>5104</v>
      </c>
      <c r="X183" s="8"/>
      <c r="Y183" s="341" t="s">
        <v>5172</v>
      </c>
      <c r="Z183" s="341"/>
      <c r="AA183" s="8" t="str">
        <f t="shared" si="18"/>
        <v>selectParMmNbInfo</v>
      </c>
      <c r="AB183" s="275" t="str">
        <f t="shared" si="19"/>
        <v/>
      </c>
      <c r="AC183" s="8"/>
      <c r="AD183" s="8"/>
      <c r="AE183" s="8"/>
      <c r="AF183" s="8"/>
      <c r="AG183" s="8"/>
      <c r="AH183" s="8"/>
      <c r="AI183" s="8"/>
      <c r="AJ183" s="8"/>
    </row>
    <row r="184" spans="1:36" s="345" customFormat="1" ht="16.05" customHeight="1">
      <c r="A184" s="344"/>
      <c r="B184" s="8"/>
      <c r="C184" s="341" t="s">
        <v>2480</v>
      </c>
      <c r="D184" s="47" t="str">
        <f t="shared" si="20"/>
        <v/>
      </c>
      <c r="E184" s="8"/>
      <c r="F184" s="341"/>
      <c r="G184" s="341" t="s">
        <v>5439</v>
      </c>
      <c r="H184" s="341" t="s">
        <v>1137</v>
      </c>
      <c r="I184" s="341"/>
      <c r="J184" s="341"/>
      <c r="K184" s="341"/>
      <c r="L184" s="341"/>
      <c r="M184" s="341"/>
      <c r="N184" s="8"/>
      <c r="O184" s="8"/>
      <c r="P184" s="8"/>
      <c r="Q184" s="8"/>
      <c r="R184" s="8"/>
      <c r="S184" s="8"/>
      <c r="T184" s="8"/>
      <c r="U184" s="8"/>
      <c r="V184" s="341" t="s">
        <v>5181</v>
      </c>
      <c r="W184" s="8" t="s">
        <v>5440</v>
      </c>
      <c r="X184" s="8"/>
      <c r="Y184" s="341" t="s">
        <v>5172</v>
      </c>
      <c r="Z184" s="341"/>
      <c r="AA184" s="8" t="str">
        <f t="shared" si="18"/>
        <v>selectParPrtrNb</v>
      </c>
      <c r="AB184" s="275" t="str">
        <f t="shared" si="19"/>
        <v/>
      </c>
      <c r="AC184" s="8"/>
      <c r="AD184" s="8"/>
      <c r="AE184" s="8"/>
      <c r="AF184" s="8"/>
      <c r="AG184" s="8"/>
      <c r="AH184" s="8"/>
      <c r="AI184" s="8"/>
      <c r="AJ184" s="8"/>
    </row>
    <row r="185" spans="1:36" s="345" customFormat="1" ht="16.05" customHeight="1">
      <c r="A185" s="344"/>
      <c r="B185" s="8"/>
      <c r="C185" s="341" t="s">
        <v>2480</v>
      </c>
      <c r="D185" s="47" t="str">
        <f t="shared" si="20"/>
        <v/>
      </c>
      <c r="E185" s="8"/>
      <c r="F185" s="341"/>
      <c r="G185" s="341" t="s">
        <v>5439</v>
      </c>
      <c r="H185" s="341" t="s">
        <v>1137</v>
      </c>
      <c r="I185" s="341" t="s">
        <v>16</v>
      </c>
      <c r="J185" s="341" t="s">
        <v>5309</v>
      </c>
      <c r="K185" s="341" t="s">
        <v>5310</v>
      </c>
      <c r="L185" s="341"/>
      <c r="M185" s="341"/>
      <c r="N185" s="8"/>
      <c r="O185" s="8"/>
      <c r="P185" s="8"/>
      <c r="Q185" s="8"/>
      <c r="R185" s="8"/>
      <c r="S185" s="8"/>
      <c r="T185" s="8"/>
      <c r="U185" s="8"/>
      <c r="V185" s="341" t="s">
        <v>5181</v>
      </c>
      <c r="W185" s="8" t="s">
        <v>5441</v>
      </c>
      <c r="X185" s="8"/>
      <c r="Y185" s="341" t="s">
        <v>5172</v>
      </c>
      <c r="Z185" s="341"/>
      <c r="AA185" s="8" t="str">
        <f t="shared" si="18"/>
        <v>selectParPrtrNbDetailRglrMedx</v>
      </c>
      <c r="AB185" s="275" t="str">
        <f t="shared" si="19"/>
        <v/>
      </c>
      <c r="AC185" s="8"/>
      <c r="AD185" s="8"/>
      <c r="AE185" s="8"/>
      <c r="AF185" s="8"/>
      <c r="AG185" s="8"/>
      <c r="AH185" s="8"/>
      <c r="AI185" s="8"/>
      <c r="AJ185" s="8"/>
    </row>
    <row r="186" spans="1:36" s="345" customFormat="1" ht="16.05" customHeight="1">
      <c r="A186" s="344"/>
      <c r="B186" s="8"/>
      <c r="C186" s="341" t="s">
        <v>2480</v>
      </c>
      <c r="D186" s="47" t="str">
        <f t="shared" si="20"/>
        <v/>
      </c>
      <c r="E186" s="8"/>
      <c r="F186" s="341"/>
      <c r="G186" s="341" t="s">
        <v>5439</v>
      </c>
      <c r="H186" s="341" t="s">
        <v>1137</v>
      </c>
      <c r="I186" s="341" t="s">
        <v>16</v>
      </c>
      <c r="J186" s="341" t="s">
        <v>2483</v>
      </c>
      <c r="K186" s="341" t="s">
        <v>1203</v>
      </c>
      <c r="L186" s="341"/>
      <c r="M186" s="341"/>
      <c r="N186" s="8"/>
      <c r="O186" s="8"/>
      <c r="P186" s="8"/>
      <c r="Q186" s="8"/>
      <c r="R186" s="8"/>
      <c r="S186" s="8"/>
      <c r="T186" s="8"/>
      <c r="U186" s="8"/>
      <c r="V186" s="341" t="s">
        <v>5181</v>
      </c>
      <c r="W186" s="8" t="s">
        <v>5442</v>
      </c>
      <c r="X186" s="8"/>
      <c r="Y186" s="341" t="s">
        <v>5172</v>
      </c>
      <c r="Z186" s="341"/>
      <c r="AA186" s="8" t="str">
        <f t="shared" si="18"/>
        <v>selectParPrtrNbDetailPrgnExm</v>
      </c>
      <c r="AB186" s="275" t="str">
        <f t="shared" si="19"/>
        <v/>
      </c>
      <c r="AC186" s="8"/>
      <c r="AD186" s="8"/>
      <c r="AE186" s="8"/>
      <c r="AF186" s="8"/>
      <c r="AG186" s="8"/>
      <c r="AH186" s="8"/>
      <c r="AI186" s="8"/>
      <c r="AJ186" s="8"/>
    </row>
    <row r="187" spans="1:36" s="349" customFormat="1" ht="16.05" customHeight="1" thickBot="1">
      <c r="A187" s="346"/>
      <c r="B187" s="16"/>
      <c r="C187" s="347" t="s">
        <v>2480</v>
      </c>
      <c r="D187" s="348" t="str">
        <f t="shared" si="20"/>
        <v/>
      </c>
      <c r="E187" s="16"/>
      <c r="F187" s="347"/>
      <c r="G187" s="341" t="s">
        <v>5439</v>
      </c>
      <c r="H187" s="347" t="s">
        <v>1137</v>
      </c>
      <c r="I187" s="347" t="s">
        <v>16</v>
      </c>
      <c r="J187" s="347" t="s">
        <v>5311</v>
      </c>
      <c r="K187" s="347" t="s">
        <v>5312</v>
      </c>
      <c r="L187" s="347"/>
      <c r="M187" s="347"/>
      <c r="N187" s="16"/>
      <c r="O187" s="16"/>
      <c r="P187" s="16"/>
      <c r="Q187" s="16"/>
      <c r="R187" s="16"/>
      <c r="S187" s="16"/>
      <c r="T187" s="16"/>
      <c r="U187" s="16"/>
      <c r="V187" s="347" t="s">
        <v>5181</v>
      </c>
      <c r="W187" s="8" t="s">
        <v>5443</v>
      </c>
      <c r="X187" s="16"/>
      <c r="Y187" s="341" t="s">
        <v>5172</v>
      </c>
      <c r="Z187" s="347"/>
      <c r="AA187" s="16" t="str">
        <f t="shared" si="18"/>
        <v>selectParPrtrNbDetailBabyLttr</v>
      </c>
      <c r="AB187" s="15" t="str">
        <f t="shared" si="19"/>
        <v/>
      </c>
      <c r="AC187" s="16"/>
      <c r="AD187" s="16"/>
      <c r="AE187" s="16"/>
      <c r="AF187" s="16"/>
      <c r="AG187" s="16"/>
      <c r="AH187" s="16"/>
      <c r="AI187" s="16"/>
      <c r="AJ187" s="16"/>
    </row>
    <row r="188" spans="1:36" s="337" customFormat="1" ht="16.05" customHeight="1">
      <c r="A188" s="343"/>
      <c r="B188" s="336"/>
      <c r="C188" s="335" t="s">
        <v>2480</v>
      </c>
      <c r="D188" s="335" t="str">
        <f t="shared" si="20"/>
        <v>kr.go.prpr.app.par.web</v>
      </c>
      <c r="E188" s="336"/>
      <c r="F188" s="335"/>
      <c r="G188" s="335" t="s">
        <v>182</v>
      </c>
      <c r="H188" s="335"/>
      <c r="I188" s="335"/>
      <c r="J188" s="335"/>
      <c r="K188" s="335"/>
      <c r="L188" s="335"/>
      <c r="M188" s="335"/>
      <c r="N188" s="336"/>
      <c r="O188" s="336"/>
      <c r="P188" s="336"/>
      <c r="Q188" s="336"/>
      <c r="R188" s="336"/>
      <c r="S188" s="336"/>
      <c r="T188" s="336"/>
      <c r="U188" s="336"/>
      <c r="V188" s="335" t="s">
        <v>2844</v>
      </c>
      <c r="W188" s="336" t="s">
        <v>5306</v>
      </c>
      <c r="X188" s="336"/>
      <c r="Y188" s="335" t="s">
        <v>5377</v>
      </c>
      <c r="Z188" s="335"/>
      <c r="AA188" s="336" t="str">
        <f t="shared" si="18"/>
        <v>ParMainController.java</v>
      </c>
      <c r="AB188" s="334" t="str">
        <f t="shared" si="19"/>
        <v/>
      </c>
      <c r="AC188" s="336"/>
      <c r="AD188" s="336"/>
      <c r="AE188" s="336"/>
      <c r="AF188" s="336"/>
      <c r="AG188" s="336"/>
      <c r="AH188" s="336"/>
      <c r="AI188" s="336"/>
      <c r="AJ188" s="336"/>
    </row>
    <row r="189" spans="1:36" s="358" customFormat="1" ht="16.05" customHeight="1">
      <c r="A189" s="352" t="s">
        <v>4532</v>
      </c>
      <c r="B189" s="353"/>
      <c r="C189" s="354" t="s">
        <v>2480</v>
      </c>
      <c r="D189" s="355" t="str">
        <f t="shared" si="20"/>
        <v/>
      </c>
      <c r="E189" s="353"/>
      <c r="F189" s="354"/>
      <c r="G189" s="354" t="s">
        <v>5309</v>
      </c>
      <c r="H189" s="354" t="s">
        <v>5310</v>
      </c>
      <c r="I189" s="354" t="s">
        <v>182</v>
      </c>
      <c r="J189" s="354"/>
      <c r="K189" s="354"/>
      <c r="L189" s="354"/>
      <c r="M189" s="354"/>
      <c r="N189" s="353"/>
      <c r="O189" s="353"/>
      <c r="P189" s="353"/>
      <c r="Q189" s="353"/>
      <c r="R189" s="353"/>
      <c r="S189" s="353"/>
      <c r="T189" s="353"/>
      <c r="U189" s="353"/>
      <c r="V189" s="354" t="s">
        <v>1907</v>
      </c>
      <c r="W189" s="353" t="s">
        <v>4541</v>
      </c>
      <c r="X189" s="353"/>
      <c r="Y189" s="354" t="s">
        <v>5166</v>
      </c>
      <c r="Z189" s="354"/>
      <c r="AA189" s="353" t="str">
        <f t="shared" si="18"/>
        <v>viewParRglrMedxMain</v>
      </c>
      <c r="AB189" s="356" t="str">
        <f t="shared" si="19"/>
        <v>/par/rglrMedxMain.do</v>
      </c>
      <c r="AC189" s="353"/>
      <c r="AD189" s="353"/>
      <c r="AE189" s="353"/>
      <c r="AF189" s="353"/>
      <c r="AG189" s="353"/>
      <c r="AH189" s="353"/>
      <c r="AI189" s="353"/>
      <c r="AJ189" s="353"/>
    </row>
    <row r="190" spans="1:36" s="358" customFormat="1" ht="16.05" customHeight="1">
      <c r="A190" s="352" t="s">
        <v>4532</v>
      </c>
      <c r="B190" s="353"/>
      <c r="C190" s="354" t="s">
        <v>2480</v>
      </c>
      <c r="D190" s="355" t="str">
        <f t="shared" si="20"/>
        <v/>
      </c>
      <c r="E190" s="353"/>
      <c r="F190" s="354"/>
      <c r="G190" s="354" t="s">
        <v>2612</v>
      </c>
      <c r="H190" s="354" t="s">
        <v>5313</v>
      </c>
      <c r="I190" s="354" t="s">
        <v>182</v>
      </c>
      <c r="J190" s="354"/>
      <c r="K190" s="354"/>
      <c r="L190" s="354"/>
      <c r="M190" s="354"/>
      <c r="N190" s="353"/>
      <c r="O190" s="353"/>
      <c r="P190" s="353"/>
      <c r="Q190" s="353"/>
      <c r="R190" s="353"/>
      <c r="S190" s="353"/>
      <c r="T190" s="353"/>
      <c r="U190" s="353"/>
      <c r="V190" s="354" t="s">
        <v>1907</v>
      </c>
      <c r="W190" s="353" t="s">
        <v>4544</v>
      </c>
      <c r="X190" s="353"/>
      <c r="Y190" s="354" t="s">
        <v>5166</v>
      </c>
      <c r="Z190" s="354"/>
      <c r="AA190" s="353" t="str">
        <f t="shared" si="18"/>
        <v>viewParWgChgMain</v>
      </c>
      <c r="AB190" s="356" t="str">
        <f t="shared" si="19"/>
        <v>/par/wgChgMain.do</v>
      </c>
      <c r="AC190" s="353"/>
      <c r="AD190" s="353"/>
      <c r="AE190" s="353"/>
      <c r="AF190" s="353"/>
      <c r="AG190" s="353"/>
      <c r="AH190" s="353"/>
      <c r="AI190" s="353"/>
      <c r="AJ190" s="353"/>
    </row>
    <row r="191" spans="1:36" s="345" customFormat="1" ht="16.05" customHeight="1">
      <c r="A191" s="344"/>
      <c r="B191" s="8"/>
      <c r="C191" s="341" t="s">
        <v>2480</v>
      </c>
      <c r="D191" s="47" t="str">
        <f t="shared" si="20"/>
        <v/>
      </c>
      <c r="E191" s="8"/>
      <c r="F191" s="341"/>
      <c r="G191" s="341" t="s">
        <v>5309</v>
      </c>
      <c r="H191" s="341" t="s">
        <v>5310</v>
      </c>
      <c r="I191" s="341" t="s">
        <v>1718</v>
      </c>
      <c r="J191" s="341"/>
      <c r="K191" s="341"/>
      <c r="L191" s="341"/>
      <c r="M191" s="341"/>
      <c r="N191" s="8"/>
      <c r="O191" s="8"/>
      <c r="P191" s="8"/>
      <c r="Q191" s="8"/>
      <c r="R191" s="8"/>
      <c r="S191" s="8"/>
      <c r="T191" s="8"/>
      <c r="U191" s="8"/>
      <c r="V191" s="341" t="s">
        <v>5263</v>
      </c>
      <c r="W191" s="8" t="s">
        <v>5109</v>
      </c>
      <c r="X191" s="8"/>
      <c r="Y191" s="341" t="s">
        <v>5172</v>
      </c>
      <c r="Z191" s="341"/>
      <c r="AA191" s="8" t="str">
        <f t="shared" si="18"/>
        <v>selectParRglrMedxSttus</v>
      </c>
      <c r="AB191" s="275" t="str">
        <f t="shared" si="19"/>
        <v>/api/par/rglrMedxSttus</v>
      </c>
      <c r="AC191" s="8"/>
      <c r="AD191" s="8"/>
      <c r="AE191" s="8"/>
      <c r="AF191" s="8"/>
      <c r="AG191" s="8"/>
      <c r="AH191" s="8"/>
      <c r="AI191" s="8"/>
      <c r="AJ191" s="8"/>
    </row>
    <row r="192" spans="1:36" s="345" customFormat="1" ht="16.05" customHeight="1">
      <c r="A192" s="344"/>
      <c r="B192" s="8"/>
      <c r="C192" s="341" t="s">
        <v>2480</v>
      </c>
      <c r="D192" s="47" t="str">
        <f t="shared" si="20"/>
        <v/>
      </c>
      <c r="E192" s="8"/>
      <c r="F192" s="341"/>
      <c r="G192" s="341" t="s">
        <v>2612</v>
      </c>
      <c r="H192" s="341" t="s">
        <v>5313</v>
      </c>
      <c r="I192" s="341"/>
      <c r="J192" s="341"/>
      <c r="K192" s="341"/>
      <c r="L192" s="341"/>
      <c r="M192" s="341"/>
      <c r="N192" s="8"/>
      <c r="O192" s="8"/>
      <c r="P192" s="8"/>
      <c r="Q192" s="8"/>
      <c r="R192" s="8"/>
      <c r="S192" s="8"/>
      <c r="T192" s="8"/>
      <c r="U192" s="8"/>
      <c r="V192" s="341" t="s">
        <v>5263</v>
      </c>
      <c r="W192" s="8" t="s">
        <v>5314</v>
      </c>
      <c r="X192" s="8"/>
      <c r="Y192" s="341" t="s">
        <v>5172</v>
      </c>
      <c r="Z192" s="341"/>
      <c r="AA192" s="8" t="str">
        <f t="shared" si="18"/>
        <v>selectParWgChg</v>
      </c>
      <c r="AB192" s="275" t="str">
        <f t="shared" si="19"/>
        <v>/api/par/wgChg</v>
      </c>
      <c r="AC192" s="8"/>
      <c r="AD192" s="8"/>
      <c r="AE192" s="8"/>
      <c r="AF192" s="8"/>
      <c r="AG192" s="8"/>
      <c r="AH192" s="8"/>
      <c r="AI192" s="8"/>
      <c r="AJ192" s="8"/>
    </row>
    <row r="193" spans="1:36" s="345" customFormat="1" ht="16.05" customHeight="1">
      <c r="A193" s="344"/>
      <c r="B193" s="8"/>
      <c r="C193" s="341" t="s">
        <v>2480</v>
      </c>
      <c r="D193" s="47" t="str">
        <f t="shared" si="20"/>
        <v/>
      </c>
      <c r="E193" s="8"/>
      <c r="F193" s="341"/>
      <c r="G193" s="341" t="s">
        <v>2612</v>
      </c>
      <c r="H193" s="341" t="s">
        <v>5313</v>
      </c>
      <c r="I193" s="341"/>
      <c r="J193" s="341"/>
      <c r="K193" s="341"/>
      <c r="L193" s="341"/>
      <c r="M193" s="341"/>
      <c r="N193" s="8"/>
      <c r="O193" s="8"/>
      <c r="P193" s="8"/>
      <c r="Q193" s="8"/>
      <c r="R193" s="8"/>
      <c r="S193" s="8"/>
      <c r="T193" s="8"/>
      <c r="U193" s="8"/>
      <c r="V193" s="341" t="s">
        <v>5263</v>
      </c>
      <c r="W193" s="8" t="s">
        <v>5315</v>
      </c>
      <c r="X193" s="8"/>
      <c r="Y193" s="341" t="s">
        <v>30</v>
      </c>
      <c r="Z193" s="341"/>
      <c r="AA193" s="8" t="str">
        <f t="shared" si="18"/>
        <v>updateParWgChg</v>
      </c>
      <c r="AB193" s="275" t="str">
        <f t="shared" si="19"/>
        <v>/api/par/wgChg</v>
      </c>
      <c r="AC193" s="8"/>
      <c r="AD193" s="8"/>
      <c r="AE193" s="8"/>
      <c r="AF193" s="8"/>
      <c r="AG193" s="8"/>
      <c r="AH193" s="8"/>
      <c r="AI193" s="8"/>
      <c r="AJ193" s="8"/>
    </row>
    <row r="194" spans="1:36" s="358" customFormat="1" ht="16.05" customHeight="1">
      <c r="A194" s="352"/>
      <c r="B194" s="353"/>
      <c r="C194" s="354" t="s">
        <v>2480</v>
      </c>
      <c r="D194" s="355" t="str">
        <f t="shared" si="20"/>
        <v/>
      </c>
      <c r="E194" s="353"/>
      <c r="F194" s="354"/>
      <c r="G194" s="354" t="s">
        <v>5309</v>
      </c>
      <c r="H194" s="354" t="s">
        <v>5310</v>
      </c>
      <c r="I194" s="354" t="s">
        <v>182</v>
      </c>
      <c r="J194" s="354"/>
      <c r="K194" s="354"/>
      <c r="L194" s="354"/>
      <c r="M194" s="354"/>
      <c r="N194" s="353"/>
      <c r="O194" s="353"/>
      <c r="P194" s="353"/>
      <c r="Q194" s="353"/>
      <c r="R194" s="353"/>
      <c r="S194" s="353"/>
      <c r="T194" s="353"/>
      <c r="U194" s="353"/>
      <c r="V194" s="354" t="s">
        <v>5173</v>
      </c>
      <c r="W194" s="353" t="s">
        <v>4541</v>
      </c>
      <c r="X194" s="353"/>
      <c r="Y194" s="354" t="s">
        <v>5173</v>
      </c>
      <c r="Z194" s="354"/>
      <c r="AA194" s="353" t="str">
        <f t="shared" si="18"/>
        <v>/par/rglr_medx_main.jsp</v>
      </c>
      <c r="AB194" s="356" t="str">
        <f t="shared" si="19"/>
        <v/>
      </c>
      <c r="AC194" s="353"/>
      <c r="AD194" s="353"/>
      <c r="AE194" s="353"/>
      <c r="AF194" s="353"/>
      <c r="AG194" s="353"/>
      <c r="AH194" s="353"/>
      <c r="AI194" s="353"/>
      <c r="AJ194" s="353"/>
    </row>
    <row r="195" spans="1:36" s="358" customFormat="1" ht="16.05" customHeight="1">
      <c r="A195" s="352"/>
      <c r="B195" s="353"/>
      <c r="C195" s="354" t="s">
        <v>2480</v>
      </c>
      <c r="D195" s="355" t="str">
        <f t="shared" si="20"/>
        <v/>
      </c>
      <c r="E195" s="353"/>
      <c r="F195" s="354"/>
      <c r="G195" s="354" t="s">
        <v>2612</v>
      </c>
      <c r="H195" s="354" t="s">
        <v>5313</v>
      </c>
      <c r="I195" s="354" t="s">
        <v>182</v>
      </c>
      <c r="J195" s="354"/>
      <c r="K195" s="354"/>
      <c r="L195" s="354"/>
      <c r="M195" s="354"/>
      <c r="N195" s="353"/>
      <c r="O195" s="353"/>
      <c r="P195" s="353"/>
      <c r="Q195" s="353"/>
      <c r="R195" s="353"/>
      <c r="S195" s="353"/>
      <c r="T195" s="353"/>
      <c r="U195" s="353"/>
      <c r="V195" s="354" t="s">
        <v>5173</v>
      </c>
      <c r="W195" s="353" t="s">
        <v>4544</v>
      </c>
      <c r="X195" s="353"/>
      <c r="Y195" s="354" t="s">
        <v>5173</v>
      </c>
      <c r="Z195" s="354"/>
      <c r="AA195" s="353" t="str">
        <f t="shared" si="18"/>
        <v>/par/wg_chg_main.jsp</v>
      </c>
      <c r="AB195" s="356" t="str">
        <f t="shared" si="19"/>
        <v/>
      </c>
      <c r="AC195" s="353"/>
      <c r="AD195" s="353"/>
      <c r="AE195" s="353"/>
      <c r="AF195" s="353"/>
      <c r="AG195" s="353"/>
      <c r="AH195" s="353"/>
      <c r="AI195" s="353"/>
      <c r="AJ195" s="353"/>
    </row>
    <row r="196" spans="1:36" s="333" customFormat="1" ht="16.05" customHeight="1">
      <c r="A196" s="350"/>
      <c r="B196" s="332"/>
      <c r="C196" s="52" t="s">
        <v>2480</v>
      </c>
      <c r="D196" s="52" t="str">
        <f t="shared" si="20"/>
        <v>kr.go.prpr.app.par.service</v>
      </c>
      <c r="E196" s="332"/>
      <c r="F196" s="52"/>
      <c r="G196" s="52" t="s">
        <v>182</v>
      </c>
      <c r="H196" s="52"/>
      <c r="I196" s="52"/>
      <c r="J196" s="52"/>
      <c r="K196" s="52"/>
      <c r="L196" s="52"/>
      <c r="M196" s="52"/>
      <c r="N196" s="332"/>
      <c r="O196" s="332"/>
      <c r="P196" s="332"/>
      <c r="Q196" s="332"/>
      <c r="R196" s="332"/>
      <c r="S196" s="332"/>
      <c r="T196" s="332"/>
      <c r="U196" s="332"/>
      <c r="V196" s="52" t="s">
        <v>5177</v>
      </c>
      <c r="W196" s="332" t="s">
        <v>5294</v>
      </c>
      <c r="X196" s="332"/>
      <c r="Y196" s="52" t="s">
        <v>5377</v>
      </c>
      <c r="Z196" s="52"/>
      <c r="AA196" s="332" t="str">
        <f t="shared" si="18"/>
        <v>ParMainService.java</v>
      </c>
      <c r="AB196" s="13" t="str">
        <f t="shared" si="19"/>
        <v/>
      </c>
      <c r="AC196" s="332"/>
      <c r="AD196" s="332"/>
      <c r="AE196" s="332"/>
      <c r="AF196" s="332"/>
      <c r="AG196" s="332"/>
      <c r="AH196" s="332"/>
      <c r="AI196" s="332"/>
      <c r="AJ196" s="332"/>
    </row>
    <row r="197" spans="1:36" s="333" customFormat="1" ht="16.05" customHeight="1">
      <c r="A197" s="350"/>
      <c r="B197" s="332"/>
      <c r="C197" s="52" t="s">
        <v>2480</v>
      </c>
      <c r="D197" s="52" t="str">
        <f t="shared" si="20"/>
        <v>kr.go.prpr.app.par.serviceimpl</v>
      </c>
      <c r="E197" s="332"/>
      <c r="F197" s="52"/>
      <c r="G197" s="52" t="s">
        <v>182</v>
      </c>
      <c r="H197" s="52"/>
      <c r="I197" s="52"/>
      <c r="J197" s="52"/>
      <c r="K197" s="52"/>
      <c r="L197" s="52"/>
      <c r="M197" s="52"/>
      <c r="N197" s="332"/>
      <c r="O197" s="332"/>
      <c r="P197" s="332"/>
      <c r="Q197" s="332"/>
      <c r="R197" s="332"/>
      <c r="S197" s="332"/>
      <c r="T197" s="332"/>
      <c r="U197" s="332"/>
      <c r="V197" s="52" t="s">
        <v>5178</v>
      </c>
      <c r="W197" s="332" t="s">
        <v>5295</v>
      </c>
      <c r="X197" s="332"/>
      <c r="Y197" s="338" t="s">
        <v>5377</v>
      </c>
      <c r="Z197" s="52"/>
      <c r="AA197" s="332" t="str">
        <f t="shared" si="18"/>
        <v>ParMainServiceImpl.java</v>
      </c>
      <c r="AB197" s="13" t="str">
        <f t="shared" si="19"/>
        <v/>
      </c>
      <c r="AC197" s="332"/>
      <c r="AD197" s="332"/>
      <c r="AE197" s="332"/>
      <c r="AF197" s="332"/>
      <c r="AG197" s="332"/>
      <c r="AH197" s="332"/>
      <c r="AI197" s="332"/>
      <c r="AJ197" s="332"/>
    </row>
    <row r="198" spans="1:36" s="345" customFormat="1" ht="16.05" customHeight="1">
      <c r="A198" s="344"/>
      <c r="B198" s="8"/>
      <c r="C198" s="341" t="s">
        <v>2480</v>
      </c>
      <c r="D198" s="47" t="str">
        <f t="shared" si="20"/>
        <v/>
      </c>
      <c r="E198" s="8"/>
      <c r="F198" s="341"/>
      <c r="G198" s="341" t="s">
        <v>1137</v>
      </c>
      <c r="H198" s="341" t="s">
        <v>1525</v>
      </c>
      <c r="I198" s="341"/>
      <c r="J198" s="341"/>
      <c r="K198" s="341"/>
      <c r="L198" s="341"/>
      <c r="M198" s="341"/>
      <c r="N198" s="8"/>
      <c r="O198" s="8"/>
      <c r="P198" s="8"/>
      <c r="Q198" s="8"/>
      <c r="R198" s="8"/>
      <c r="S198" s="8"/>
      <c r="T198" s="8"/>
      <c r="U198" s="8"/>
      <c r="V198" s="341" t="s">
        <v>2297</v>
      </c>
      <c r="W198" s="8" t="s">
        <v>5104</v>
      </c>
      <c r="X198" s="8"/>
      <c r="Y198" s="341" t="s">
        <v>5172</v>
      </c>
      <c r="Z198" s="341"/>
      <c r="AA198" s="8" t="str">
        <f t="shared" si="18"/>
        <v>selectParNbInfo</v>
      </c>
      <c r="AB198" s="275" t="str">
        <f t="shared" si="19"/>
        <v/>
      </c>
      <c r="AC198" s="8"/>
      <c r="AD198" s="8"/>
      <c r="AE198" s="8"/>
      <c r="AF198" s="8"/>
      <c r="AG198" s="8"/>
      <c r="AH198" s="8"/>
      <c r="AI198" s="8"/>
      <c r="AJ198" s="8"/>
    </row>
    <row r="199" spans="1:36" s="345" customFormat="1" ht="16.05" customHeight="1">
      <c r="A199" s="344"/>
      <c r="B199" s="8"/>
      <c r="C199" s="341" t="s">
        <v>2480</v>
      </c>
      <c r="D199" s="47" t="str">
        <f t="shared" si="20"/>
        <v/>
      </c>
      <c r="E199" s="8"/>
      <c r="F199" s="341"/>
      <c r="G199" s="341" t="s">
        <v>1137</v>
      </c>
      <c r="H199" s="341"/>
      <c r="I199" s="341"/>
      <c r="J199" s="341"/>
      <c r="K199" s="341"/>
      <c r="L199" s="341"/>
      <c r="M199" s="341"/>
      <c r="N199" s="8"/>
      <c r="O199" s="8"/>
      <c r="P199" s="8"/>
      <c r="Q199" s="8"/>
      <c r="R199" s="8"/>
      <c r="S199" s="8"/>
      <c r="T199" s="8"/>
      <c r="U199" s="8"/>
      <c r="V199" s="341" t="s">
        <v>2297</v>
      </c>
      <c r="W199" s="8" t="s">
        <v>5105</v>
      </c>
      <c r="X199" s="8"/>
      <c r="Y199" s="341" t="s">
        <v>5172</v>
      </c>
      <c r="Z199" s="341"/>
      <c r="AA199" s="8" t="str">
        <f t="shared" si="18"/>
        <v>selectParNb</v>
      </c>
      <c r="AB199" s="275" t="str">
        <f t="shared" si="19"/>
        <v/>
      </c>
      <c r="AC199" s="8"/>
      <c r="AD199" s="8"/>
      <c r="AE199" s="8"/>
      <c r="AF199" s="8"/>
      <c r="AG199" s="8"/>
      <c r="AH199" s="8"/>
      <c r="AI199" s="8"/>
      <c r="AJ199" s="8"/>
    </row>
    <row r="200" spans="1:36" s="345" customFormat="1" ht="16.05" customHeight="1">
      <c r="A200" s="344"/>
      <c r="B200" s="8"/>
      <c r="C200" s="341" t="s">
        <v>2480</v>
      </c>
      <c r="D200" s="47" t="str">
        <f t="shared" si="20"/>
        <v/>
      </c>
      <c r="E200" s="8"/>
      <c r="F200" s="341"/>
      <c r="G200" s="341" t="s">
        <v>1137</v>
      </c>
      <c r="H200" s="341" t="s">
        <v>16</v>
      </c>
      <c r="I200" s="341" t="s">
        <v>5309</v>
      </c>
      <c r="J200" s="341" t="s">
        <v>5310</v>
      </c>
      <c r="K200" s="341"/>
      <c r="L200" s="341"/>
      <c r="M200" s="341"/>
      <c r="N200" s="8"/>
      <c r="O200" s="8"/>
      <c r="P200" s="8"/>
      <c r="Q200" s="8"/>
      <c r="R200" s="8"/>
      <c r="S200" s="8"/>
      <c r="T200" s="8"/>
      <c r="U200" s="8"/>
      <c r="V200" s="341" t="s">
        <v>2297</v>
      </c>
      <c r="W200" s="8" t="s">
        <v>5106</v>
      </c>
      <c r="X200" s="8"/>
      <c r="Y200" s="341" t="s">
        <v>5172</v>
      </c>
      <c r="Z200" s="341"/>
      <c r="AA200" s="8" t="str">
        <f t="shared" si="18"/>
        <v>selectParNbDetailRglrMedx</v>
      </c>
      <c r="AB200" s="275" t="str">
        <f t="shared" si="19"/>
        <v/>
      </c>
      <c r="AC200" s="8"/>
      <c r="AD200" s="8"/>
      <c r="AE200" s="8"/>
      <c r="AF200" s="8"/>
      <c r="AG200" s="8"/>
      <c r="AH200" s="8"/>
      <c r="AI200" s="8"/>
      <c r="AJ200" s="8"/>
    </row>
    <row r="201" spans="1:36" s="345" customFormat="1" ht="16.05" customHeight="1">
      <c r="A201" s="344"/>
      <c r="B201" s="8"/>
      <c r="C201" s="341" t="s">
        <v>2480</v>
      </c>
      <c r="D201" s="47" t="str">
        <f t="shared" si="20"/>
        <v/>
      </c>
      <c r="E201" s="8"/>
      <c r="F201" s="341"/>
      <c r="G201" s="341" t="s">
        <v>1137</v>
      </c>
      <c r="H201" s="341" t="s">
        <v>16</v>
      </c>
      <c r="I201" s="341" t="s">
        <v>2483</v>
      </c>
      <c r="J201" s="341" t="s">
        <v>1203</v>
      </c>
      <c r="K201" s="341"/>
      <c r="L201" s="341"/>
      <c r="M201" s="341"/>
      <c r="N201" s="8"/>
      <c r="O201" s="8"/>
      <c r="P201" s="8"/>
      <c r="Q201" s="8"/>
      <c r="R201" s="8"/>
      <c r="S201" s="8"/>
      <c r="T201" s="8"/>
      <c r="U201" s="8"/>
      <c r="V201" s="341" t="s">
        <v>2297</v>
      </c>
      <c r="W201" s="8" t="s">
        <v>5107</v>
      </c>
      <c r="X201" s="8"/>
      <c r="Y201" s="341" t="s">
        <v>5172</v>
      </c>
      <c r="Z201" s="341"/>
      <c r="AA201" s="8" t="str">
        <f t="shared" si="18"/>
        <v>selectParNbDetailPrgnExm</v>
      </c>
      <c r="AB201" s="275" t="str">
        <f t="shared" si="19"/>
        <v/>
      </c>
      <c r="AC201" s="8"/>
      <c r="AD201" s="8"/>
      <c r="AE201" s="8"/>
      <c r="AF201" s="8"/>
      <c r="AG201" s="8"/>
      <c r="AH201" s="8"/>
      <c r="AI201" s="8"/>
      <c r="AJ201" s="8"/>
    </row>
    <row r="202" spans="1:36" s="345" customFormat="1" ht="16.05" customHeight="1">
      <c r="A202" s="344"/>
      <c r="B202" s="8"/>
      <c r="C202" s="341" t="s">
        <v>2480</v>
      </c>
      <c r="D202" s="47" t="str">
        <f t="shared" si="20"/>
        <v/>
      </c>
      <c r="E202" s="8"/>
      <c r="F202" s="341"/>
      <c r="G202" s="341" t="s">
        <v>1137</v>
      </c>
      <c r="H202" s="341" t="s">
        <v>16</v>
      </c>
      <c r="I202" s="341" t="s">
        <v>5311</v>
      </c>
      <c r="J202" s="341" t="s">
        <v>5312</v>
      </c>
      <c r="K202" s="341"/>
      <c r="L202" s="341"/>
      <c r="M202" s="341"/>
      <c r="N202" s="8"/>
      <c r="O202" s="8"/>
      <c r="P202" s="8"/>
      <c r="Q202" s="8"/>
      <c r="R202" s="8"/>
      <c r="S202" s="8"/>
      <c r="T202" s="8"/>
      <c r="U202" s="8"/>
      <c r="V202" s="341" t="s">
        <v>2297</v>
      </c>
      <c r="W202" s="8" t="s">
        <v>5108</v>
      </c>
      <c r="X202" s="8"/>
      <c r="Y202" s="341" t="s">
        <v>5172</v>
      </c>
      <c r="Z202" s="341"/>
      <c r="AA202" s="8" t="str">
        <f t="shared" si="18"/>
        <v>selectParNbDetailBabyLttr</v>
      </c>
      <c r="AB202" s="275" t="str">
        <f t="shared" si="19"/>
        <v/>
      </c>
      <c r="AC202" s="8"/>
      <c r="AD202" s="8"/>
      <c r="AE202" s="8"/>
      <c r="AF202" s="8"/>
      <c r="AG202" s="8"/>
      <c r="AH202" s="8"/>
      <c r="AI202" s="8"/>
      <c r="AJ202" s="8"/>
    </row>
    <row r="203" spans="1:36" s="333" customFormat="1" ht="16.05" customHeight="1">
      <c r="A203" s="350"/>
      <c r="B203" s="332"/>
      <c r="C203" s="52" t="s">
        <v>2480</v>
      </c>
      <c r="D203" s="52" t="str">
        <f t="shared" si="20"/>
        <v/>
      </c>
      <c r="E203" s="332"/>
      <c r="F203" s="52"/>
      <c r="G203" s="52" t="s">
        <v>182</v>
      </c>
      <c r="H203" s="52"/>
      <c r="I203" s="52"/>
      <c r="J203" s="52"/>
      <c r="K203" s="52"/>
      <c r="L203" s="52"/>
      <c r="M203" s="52"/>
      <c r="N203" s="332"/>
      <c r="O203" s="332"/>
      <c r="P203" s="332"/>
      <c r="Q203" s="332"/>
      <c r="R203" s="332"/>
      <c r="S203" s="332"/>
      <c r="T203" s="332"/>
      <c r="U203" s="332"/>
      <c r="V203" s="52" t="s">
        <v>5251</v>
      </c>
      <c r="W203" s="332" t="s">
        <v>5296</v>
      </c>
      <c r="X203" s="332"/>
      <c r="Y203" s="52" t="s">
        <v>5185</v>
      </c>
      <c r="Z203" s="359" t="s">
        <v>5320</v>
      </c>
      <c r="AA203" s="332" t="str">
        <f t="shared" si="18"/>
        <v>/par/ParMainServiceSQL.xml</v>
      </c>
      <c r="AB203" s="13" t="str">
        <f t="shared" si="19"/>
        <v/>
      </c>
      <c r="AC203" s="332"/>
      <c r="AD203" s="332"/>
      <c r="AE203" s="332"/>
      <c r="AF203" s="332"/>
      <c r="AG203" s="332"/>
      <c r="AH203" s="332"/>
      <c r="AI203" s="332"/>
      <c r="AJ203" s="332"/>
    </row>
    <row r="204" spans="1:36" s="345" customFormat="1" ht="16.05" customHeight="1">
      <c r="A204" s="344"/>
      <c r="B204" s="8"/>
      <c r="C204" s="341" t="s">
        <v>2480</v>
      </c>
      <c r="D204" s="47" t="str">
        <f t="shared" si="20"/>
        <v/>
      </c>
      <c r="E204" s="8"/>
      <c r="F204" s="341"/>
      <c r="G204" s="341" t="s">
        <v>1137</v>
      </c>
      <c r="H204" s="341" t="s">
        <v>1525</v>
      </c>
      <c r="I204" s="341"/>
      <c r="J204" s="341"/>
      <c r="K204" s="341"/>
      <c r="L204" s="341"/>
      <c r="M204" s="341"/>
      <c r="N204" s="8"/>
      <c r="O204" s="8"/>
      <c r="P204" s="8"/>
      <c r="Q204" s="8"/>
      <c r="R204" s="8"/>
      <c r="S204" s="8"/>
      <c r="T204" s="8"/>
      <c r="U204" s="8"/>
      <c r="V204" s="341" t="s">
        <v>5181</v>
      </c>
      <c r="W204" s="8" t="s">
        <v>5104</v>
      </c>
      <c r="X204" s="8"/>
      <c r="Y204" s="341" t="s">
        <v>5172</v>
      </c>
      <c r="Z204" s="341"/>
      <c r="AA204" s="8" t="str">
        <f t="shared" si="18"/>
        <v>selectParNbInfo</v>
      </c>
      <c r="AB204" s="275" t="str">
        <f t="shared" si="19"/>
        <v/>
      </c>
      <c r="AC204" s="8"/>
      <c r="AD204" s="8"/>
      <c r="AE204" s="8"/>
      <c r="AF204" s="8"/>
      <c r="AG204" s="8"/>
      <c r="AH204" s="8"/>
      <c r="AI204" s="8"/>
      <c r="AJ204" s="8"/>
    </row>
    <row r="205" spans="1:36" s="345" customFormat="1" ht="16.05" customHeight="1">
      <c r="A205" s="344"/>
      <c r="B205" s="8"/>
      <c r="C205" s="341" t="s">
        <v>2480</v>
      </c>
      <c r="D205" s="47" t="str">
        <f t="shared" si="20"/>
        <v/>
      </c>
      <c r="E205" s="8"/>
      <c r="F205" s="341"/>
      <c r="G205" s="341" t="s">
        <v>1137</v>
      </c>
      <c r="H205" s="341"/>
      <c r="I205" s="341"/>
      <c r="J205" s="341"/>
      <c r="K205" s="341"/>
      <c r="L205" s="341"/>
      <c r="M205" s="341"/>
      <c r="N205" s="8"/>
      <c r="O205" s="8"/>
      <c r="P205" s="8"/>
      <c r="Q205" s="8"/>
      <c r="R205" s="8"/>
      <c r="S205" s="8"/>
      <c r="T205" s="8"/>
      <c r="U205" s="8"/>
      <c r="V205" s="341" t="s">
        <v>5181</v>
      </c>
      <c r="W205" s="8" t="s">
        <v>5105</v>
      </c>
      <c r="X205" s="8"/>
      <c r="Y205" s="341" t="s">
        <v>31</v>
      </c>
      <c r="Z205" s="341"/>
      <c r="AA205" s="8" t="str">
        <f t="shared" si="18"/>
        <v>saveParNb</v>
      </c>
      <c r="AB205" s="275" t="str">
        <f t="shared" si="19"/>
        <v/>
      </c>
      <c r="AC205" s="8"/>
      <c r="AD205" s="8"/>
      <c r="AE205" s="8"/>
      <c r="AF205" s="8"/>
      <c r="AG205" s="8"/>
      <c r="AH205" s="8"/>
      <c r="AI205" s="8"/>
      <c r="AJ205" s="8"/>
    </row>
    <row r="206" spans="1:36" s="345" customFormat="1" ht="16.05" customHeight="1">
      <c r="A206" s="344"/>
      <c r="B206" s="8"/>
      <c r="C206" s="341" t="s">
        <v>2480</v>
      </c>
      <c r="D206" s="47" t="str">
        <f t="shared" si="20"/>
        <v/>
      </c>
      <c r="E206" s="8"/>
      <c r="F206" s="341"/>
      <c r="G206" s="341" t="s">
        <v>1137</v>
      </c>
      <c r="H206" s="341" t="s">
        <v>16</v>
      </c>
      <c r="I206" s="341" t="s">
        <v>5309</v>
      </c>
      <c r="J206" s="341" t="s">
        <v>5310</v>
      </c>
      <c r="K206" s="341"/>
      <c r="L206" s="341"/>
      <c r="M206" s="341"/>
      <c r="N206" s="8"/>
      <c r="O206" s="8"/>
      <c r="P206" s="8"/>
      <c r="Q206" s="8"/>
      <c r="R206" s="8"/>
      <c r="S206" s="8"/>
      <c r="T206" s="8"/>
      <c r="U206" s="8"/>
      <c r="V206" s="341" t="s">
        <v>5181</v>
      </c>
      <c r="W206" s="8" t="s">
        <v>5106</v>
      </c>
      <c r="X206" s="8"/>
      <c r="Y206" s="341" t="s">
        <v>30</v>
      </c>
      <c r="Z206" s="341"/>
      <c r="AA206" s="8" t="str">
        <f t="shared" si="18"/>
        <v>updateParNbDetailRglrMedx</v>
      </c>
      <c r="AB206" s="275" t="str">
        <f t="shared" si="19"/>
        <v/>
      </c>
      <c r="AC206" s="8"/>
      <c r="AD206" s="8"/>
      <c r="AE206" s="8"/>
      <c r="AF206" s="8"/>
      <c r="AG206" s="8"/>
      <c r="AH206" s="8"/>
      <c r="AI206" s="8"/>
      <c r="AJ206" s="8"/>
    </row>
    <row r="207" spans="1:36" s="345" customFormat="1" ht="16.05" customHeight="1">
      <c r="A207" s="344"/>
      <c r="B207" s="8"/>
      <c r="C207" s="341" t="s">
        <v>2480</v>
      </c>
      <c r="D207" s="47" t="str">
        <f t="shared" si="20"/>
        <v/>
      </c>
      <c r="E207" s="8"/>
      <c r="F207" s="341"/>
      <c r="G207" s="341" t="s">
        <v>1137</v>
      </c>
      <c r="H207" s="341" t="s">
        <v>16</v>
      </c>
      <c r="I207" s="341" t="s">
        <v>2483</v>
      </c>
      <c r="J207" s="341" t="s">
        <v>1203</v>
      </c>
      <c r="K207" s="341"/>
      <c r="L207" s="341"/>
      <c r="M207" s="341"/>
      <c r="N207" s="8"/>
      <c r="O207" s="8"/>
      <c r="P207" s="8"/>
      <c r="Q207" s="8"/>
      <c r="R207" s="8"/>
      <c r="S207" s="8"/>
      <c r="T207" s="8"/>
      <c r="U207" s="8"/>
      <c r="V207" s="341" t="s">
        <v>5181</v>
      </c>
      <c r="W207" s="8" t="s">
        <v>5107</v>
      </c>
      <c r="X207" s="8"/>
      <c r="Y207" s="341" t="s">
        <v>37</v>
      </c>
      <c r="Z207" s="341"/>
      <c r="AA207" s="8" t="str">
        <f t="shared" si="18"/>
        <v>deleteParNbDetailPrgnExm</v>
      </c>
      <c r="AB207" s="275" t="str">
        <f t="shared" si="19"/>
        <v/>
      </c>
      <c r="AC207" s="8"/>
      <c r="AD207" s="8"/>
      <c r="AE207" s="8"/>
      <c r="AF207" s="8"/>
      <c r="AG207" s="8"/>
      <c r="AH207" s="8"/>
      <c r="AI207" s="8"/>
      <c r="AJ207" s="8"/>
    </row>
    <row r="208" spans="1:36" s="349" customFormat="1" ht="16.05" customHeight="1" thickBot="1">
      <c r="A208" s="346"/>
      <c r="B208" s="16"/>
      <c r="C208" s="347" t="s">
        <v>2480</v>
      </c>
      <c r="D208" s="348" t="str">
        <f t="shared" si="20"/>
        <v/>
      </c>
      <c r="E208" s="16"/>
      <c r="F208" s="347"/>
      <c r="G208" s="347" t="s">
        <v>1137</v>
      </c>
      <c r="H208" s="347" t="s">
        <v>16</v>
      </c>
      <c r="I208" s="347" t="s">
        <v>5311</v>
      </c>
      <c r="J208" s="347" t="s">
        <v>5312</v>
      </c>
      <c r="K208" s="347"/>
      <c r="L208" s="347"/>
      <c r="M208" s="347"/>
      <c r="N208" s="16"/>
      <c r="O208" s="16"/>
      <c r="P208" s="16"/>
      <c r="Q208" s="16"/>
      <c r="R208" s="16"/>
      <c r="S208" s="16"/>
      <c r="T208" s="16"/>
      <c r="U208" s="16"/>
      <c r="V208" s="347" t="s">
        <v>5181</v>
      </c>
      <c r="W208" s="16" t="s">
        <v>5108</v>
      </c>
      <c r="X208" s="16"/>
      <c r="Y208" s="347" t="s">
        <v>31</v>
      </c>
      <c r="Z208" s="347"/>
      <c r="AA208" s="16" t="str">
        <f t="shared" si="18"/>
        <v>saveParNbDetailBabyLttr</v>
      </c>
      <c r="AB208" s="15" t="str">
        <f t="shared" si="19"/>
        <v/>
      </c>
      <c r="AC208" s="16"/>
      <c r="AD208" s="16"/>
      <c r="AE208" s="16"/>
      <c r="AF208" s="16"/>
      <c r="AG208" s="16"/>
      <c r="AH208" s="16"/>
      <c r="AI208" s="16"/>
      <c r="AJ208" s="16"/>
    </row>
  </sheetData>
  <autoFilter ref="A1:AJ1"/>
  <phoneticPr fontId="1" type="noConversion"/>
  <conditionalFormatting sqref="AE1:AF1 AC1 AC18:AC21 AE18:AF21">
    <cfRule type="cellIs" dxfId="2569" priority="533" operator="equal">
      <formula>"수정-신규"</formula>
    </cfRule>
    <cfRule type="cellIs" dxfId="2568" priority="534" operator="equal">
      <formula>"수정"</formula>
    </cfRule>
    <cfRule type="cellIs" dxfId="2567" priority="535" operator="equal">
      <formula>"신규"</formula>
    </cfRule>
  </conditionalFormatting>
  <conditionalFormatting sqref="Y1">
    <cfRule type="cellIs" dxfId="2566" priority="532" operator="equal">
      <formula>"화면"</formula>
    </cfRule>
  </conditionalFormatting>
  <conditionalFormatting sqref="AD1 AD18:AD21">
    <cfRule type="cellIs" dxfId="2565" priority="527" operator="equal">
      <formula>"수정-신규"</formula>
    </cfRule>
    <cfRule type="cellIs" dxfId="2564" priority="528" operator="equal">
      <formula>"수정"</formula>
    </cfRule>
    <cfRule type="cellIs" dxfId="2563" priority="529" operator="equal">
      <formula>"신규"</formula>
    </cfRule>
  </conditionalFormatting>
  <conditionalFormatting sqref="Z1 Z18:Z21">
    <cfRule type="cellIs" dxfId="2562" priority="531" operator="equal">
      <formula>"화면"</formula>
    </cfRule>
  </conditionalFormatting>
  <conditionalFormatting sqref="AE1:AF1 AC1 AC18:AC21 AE18:AF21">
    <cfRule type="cellIs" dxfId="2561" priority="530" operator="equal">
      <formula>"수정-신규"</formula>
    </cfRule>
  </conditionalFormatting>
  <conditionalFormatting sqref="AD1 AD18:AD21">
    <cfRule type="cellIs" dxfId="2560" priority="526" operator="equal">
      <formula>"수정-신규"</formula>
    </cfRule>
  </conditionalFormatting>
  <conditionalFormatting sqref="V1 V18:V21">
    <cfRule type="cellIs" dxfId="2559" priority="521" operator="equal">
      <formula>"수정-신규"</formula>
    </cfRule>
  </conditionalFormatting>
  <conditionalFormatting sqref="V1 V18:V21">
    <cfRule type="cellIs" dxfId="2558" priority="522" operator="equal">
      <formula>"수정-신규"</formula>
    </cfRule>
    <cfRule type="cellIs" dxfId="2557" priority="523" operator="equal">
      <formula>"수정"</formula>
    </cfRule>
    <cfRule type="cellIs" dxfId="2556" priority="524" operator="equal">
      <formula>"신규"</formula>
    </cfRule>
  </conditionalFormatting>
  <conditionalFormatting sqref="V1 V18:V21">
    <cfRule type="cellIs" dxfId="2555" priority="520" operator="equal">
      <formula>"REST"</formula>
    </cfRule>
  </conditionalFormatting>
  <conditionalFormatting sqref="X1 X18:X21">
    <cfRule type="cellIs" dxfId="2554" priority="519" operator="equal">
      <formula>"화면"</formula>
    </cfRule>
  </conditionalFormatting>
  <conditionalFormatting sqref="V1 V36:V56 V18:V21 V32:V33 V69:V71 V92:V96 V101:V109 V58:V59 V77:V79 V61 V73:V75 V81 V63:V67 V83:V87 V89:V90 V98:V99 V111:V129 V150:V153 V162:V163 V132:V135 V155:V156 V137:V144 V165:V1048576">
    <cfRule type="cellIs" dxfId="2553" priority="518" operator="equal">
      <formula>"REST"</formula>
    </cfRule>
  </conditionalFormatting>
  <conditionalFormatting sqref="V35">
    <cfRule type="cellIs" dxfId="2552" priority="516" operator="equal">
      <formula>"REST"</formula>
    </cfRule>
  </conditionalFormatting>
  <conditionalFormatting sqref="V34">
    <cfRule type="cellIs" dxfId="2551" priority="515" operator="equal">
      <formula>"REST"</formula>
    </cfRule>
  </conditionalFormatting>
  <conditionalFormatting sqref="V18">
    <cfRule type="cellIs" dxfId="2550" priority="513" operator="equal">
      <formula>"REST"</formula>
    </cfRule>
  </conditionalFormatting>
  <conditionalFormatting sqref="V19">
    <cfRule type="cellIs" dxfId="2549" priority="512" operator="equal">
      <formula>"REST"</formula>
    </cfRule>
  </conditionalFormatting>
  <conditionalFormatting sqref="V20">
    <cfRule type="cellIs" dxfId="2548" priority="511" operator="equal">
      <formula>"REST"</formula>
    </cfRule>
  </conditionalFormatting>
  <conditionalFormatting sqref="V21">
    <cfRule type="cellIs" dxfId="2547" priority="510" operator="equal">
      <formula>"REST"</formula>
    </cfRule>
  </conditionalFormatting>
  <conditionalFormatting sqref="AE22:AF22 AC22">
    <cfRule type="cellIs" dxfId="2546" priority="507" operator="equal">
      <formula>"수정-신규"</formula>
    </cfRule>
    <cfRule type="cellIs" dxfId="2545" priority="508" operator="equal">
      <formula>"수정"</formula>
    </cfRule>
    <cfRule type="cellIs" dxfId="2544" priority="509" operator="equal">
      <formula>"신규"</formula>
    </cfRule>
  </conditionalFormatting>
  <conditionalFormatting sqref="AD22">
    <cfRule type="cellIs" dxfId="2543" priority="501" operator="equal">
      <formula>"수정-신규"</formula>
    </cfRule>
    <cfRule type="cellIs" dxfId="2542" priority="502" operator="equal">
      <formula>"수정"</formula>
    </cfRule>
    <cfRule type="cellIs" dxfId="2541" priority="503" operator="equal">
      <formula>"신규"</formula>
    </cfRule>
  </conditionalFormatting>
  <conditionalFormatting sqref="Z22">
    <cfRule type="cellIs" dxfId="2540" priority="505" operator="equal">
      <formula>"화면"</formula>
    </cfRule>
  </conditionalFormatting>
  <conditionalFormatting sqref="AE22:AF22 AC22">
    <cfRule type="cellIs" dxfId="2539" priority="504" operator="equal">
      <formula>"수정-신규"</formula>
    </cfRule>
  </conditionalFormatting>
  <conditionalFormatting sqref="AD22">
    <cfRule type="cellIs" dxfId="2538" priority="500" operator="equal">
      <formula>"수정-신규"</formula>
    </cfRule>
  </conditionalFormatting>
  <conditionalFormatting sqref="V22">
    <cfRule type="cellIs" dxfId="2537" priority="496" operator="equal">
      <formula>"수정-신규"</formula>
    </cfRule>
  </conditionalFormatting>
  <conditionalFormatting sqref="V22">
    <cfRule type="cellIs" dxfId="2536" priority="497" operator="equal">
      <formula>"수정-신규"</formula>
    </cfRule>
    <cfRule type="cellIs" dxfId="2535" priority="498" operator="equal">
      <formula>"수정"</formula>
    </cfRule>
    <cfRule type="cellIs" dxfId="2534" priority="499" operator="equal">
      <formula>"신규"</formula>
    </cfRule>
  </conditionalFormatting>
  <conditionalFormatting sqref="V22">
    <cfRule type="cellIs" dxfId="2533" priority="495" operator="equal">
      <formula>"REST"</formula>
    </cfRule>
  </conditionalFormatting>
  <conditionalFormatting sqref="X22">
    <cfRule type="cellIs" dxfId="2532" priority="494" operator="equal">
      <formula>"화면"</formula>
    </cfRule>
  </conditionalFormatting>
  <conditionalFormatting sqref="V22">
    <cfRule type="cellIs" dxfId="2531" priority="493" operator="equal">
      <formula>"REST"</formula>
    </cfRule>
  </conditionalFormatting>
  <conditionalFormatting sqref="V22">
    <cfRule type="cellIs" dxfId="2530" priority="492" operator="equal">
      <formula>"REST"</formula>
    </cfRule>
  </conditionalFormatting>
  <conditionalFormatting sqref="AC17 AE17:AF17">
    <cfRule type="cellIs" dxfId="2529" priority="489" operator="equal">
      <formula>"수정-신규"</formula>
    </cfRule>
    <cfRule type="cellIs" dxfId="2528" priority="490" operator="equal">
      <formula>"수정"</formula>
    </cfRule>
    <cfRule type="cellIs" dxfId="2527" priority="491" operator="equal">
      <formula>"신규"</formula>
    </cfRule>
  </conditionalFormatting>
  <conditionalFormatting sqref="AD17">
    <cfRule type="cellIs" dxfId="2526" priority="483" operator="equal">
      <formula>"수정-신규"</formula>
    </cfRule>
    <cfRule type="cellIs" dxfId="2525" priority="484" operator="equal">
      <formula>"수정"</formula>
    </cfRule>
    <cfRule type="cellIs" dxfId="2524" priority="485" operator="equal">
      <formula>"신규"</formula>
    </cfRule>
  </conditionalFormatting>
  <conditionalFormatting sqref="Z17">
    <cfRule type="cellIs" dxfId="2523" priority="487" operator="equal">
      <formula>"화면"</formula>
    </cfRule>
  </conditionalFormatting>
  <conditionalFormatting sqref="AC17 AE17:AF17">
    <cfRule type="cellIs" dxfId="2522" priority="486" operator="equal">
      <formula>"수정-신규"</formula>
    </cfRule>
  </conditionalFormatting>
  <conditionalFormatting sqref="AD17">
    <cfRule type="cellIs" dxfId="2521" priority="482" operator="equal">
      <formula>"수정-신규"</formula>
    </cfRule>
  </conditionalFormatting>
  <conditionalFormatting sqref="V17">
    <cfRule type="cellIs" dxfId="2520" priority="478" operator="equal">
      <formula>"수정-신규"</formula>
    </cfRule>
  </conditionalFormatting>
  <conditionalFormatting sqref="V17">
    <cfRule type="cellIs" dxfId="2519" priority="479" operator="equal">
      <formula>"수정-신규"</formula>
    </cfRule>
    <cfRule type="cellIs" dxfId="2518" priority="480" operator="equal">
      <formula>"수정"</formula>
    </cfRule>
    <cfRule type="cellIs" dxfId="2517" priority="481" operator="equal">
      <formula>"신규"</formula>
    </cfRule>
  </conditionalFormatting>
  <conditionalFormatting sqref="V17">
    <cfRule type="cellIs" dxfId="2516" priority="477" operator="equal">
      <formula>"REST"</formula>
    </cfRule>
  </conditionalFormatting>
  <conditionalFormatting sqref="X17">
    <cfRule type="cellIs" dxfId="2515" priority="476" operator="equal">
      <formula>"화면"</formula>
    </cfRule>
  </conditionalFormatting>
  <conditionalFormatting sqref="V17">
    <cfRule type="cellIs" dxfId="2514" priority="475" operator="equal">
      <formula>"REST"</formula>
    </cfRule>
  </conditionalFormatting>
  <conditionalFormatting sqref="V17">
    <cfRule type="cellIs" dxfId="2513" priority="474" operator="equal">
      <formula>"REST"</formula>
    </cfRule>
  </conditionalFormatting>
  <conditionalFormatting sqref="AC16 AE16:AF16">
    <cfRule type="cellIs" dxfId="2512" priority="471" operator="equal">
      <formula>"수정-신규"</formula>
    </cfRule>
    <cfRule type="cellIs" dxfId="2511" priority="472" operator="equal">
      <formula>"수정"</formula>
    </cfRule>
    <cfRule type="cellIs" dxfId="2510" priority="473" operator="equal">
      <formula>"신규"</formula>
    </cfRule>
  </conditionalFormatting>
  <conditionalFormatting sqref="AD16">
    <cfRule type="cellIs" dxfId="2509" priority="465" operator="equal">
      <formula>"수정-신규"</formula>
    </cfRule>
    <cfRule type="cellIs" dxfId="2508" priority="466" operator="equal">
      <formula>"수정"</formula>
    </cfRule>
    <cfRule type="cellIs" dxfId="2507" priority="467" operator="equal">
      <formula>"신규"</formula>
    </cfRule>
  </conditionalFormatting>
  <conditionalFormatting sqref="Z16">
    <cfRule type="cellIs" dxfId="2506" priority="469" operator="equal">
      <formula>"화면"</formula>
    </cfRule>
  </conditionalFormatting>
  <conditionalFormatting sqref="AC16 AE16:AF16">
    <cfRule type="cellIs" dxfId="2505" priority="468" operator="equal">
      <formula>"수정-신규"</formula>
    </cfRule>
  </conditionalFormatting>
  <conditionalFormatting sqref="AD16">
    <cfRule type="cellIs" dxfId="2504" priority="464" operator="equal">
      <formula>"수정-신규"</formula>
    </cfRule>
  </conditionalFormatting>
  <conditionalFormatting sqref="V16">
    <cfRule type="cellIs" dxfId="2503" priority="460" operator="equal">
      <formula>"수정-신규"</formula>
    </cfRule>
  </conditionalFormatting>
  <conditionalFormatting sqref="V16">
    <cfRule type="cellIs" dxfId="2502" priority="461" operator="equal">
      <formula>"수정-신규"</formula>
    </cfRule>
    <cfRule type="cellIs" dxfId="2501" priority="462" operator="equal">
      <formula>"수정"</formula>
    </cfRule>
    <cfRule type="cellIs" dxfId="2500" priority="463" operator="equal">
      <formula>"신규"</formula>
    </cfRule>
  </conditionalFormatting>
  <conditionalFormatting sqref="V16">
    <cfRule type="cellIs" dxfId="2499" priority="459" operator="equal">
      <formula>"REST"</formula>
    </cfRule>
  </conditionalFormatting>
  <conditionalFormatting sqref="X16">
    <cfRule type="cellIs" dxfId="2498" priority="458" operator="equal">
      <formula>"화면"</formula>
    </cfRule>
  </conditionalFormatting>
  <conditionalFormatting sqref="V16">
    <cfRule type="cellIs" dxfId="2497" priority="457" operator="equal">
      <formula>"REST"</formula>
    </cfRule>
  </conditionalFormatting>
  <conditionalFormatting sqref="V16">
    <cfRule type="cellIs" dxfId="2496" priority="456" operator="equal">
      <formula>"REST"</formula>
    </cfRule>
  </conditionalFormatting>
  <conditionalFormatting sqref="AC15 AE15:AF15">
    <cfRule type="cellIs" dxfId="2495" priority="453" operator="equal">
      <formula>"수정-신규"</formula>
    </cfRule>
    <cfRule type="cellIs" dxfId="2494" priority="454" operator="equal">
      <formula>"수정"</formula>
    </cfRule>
    <cfRule type="cellIs" dxfId="2493" priority="455" operator="equal">
      <formula>"신규"</formula>
    </cfRule>
  </conditionalFormatting>
  <conditionalFormatting sqref="AD15">
    <cfRule type="cellIs" dxfId="2492" priority="447" operator="equal">
      <formula>"수정-신규"</formula>
    </cfRule>
    <cfRule type="cellIs" dxfId="2491" priority="448" operator="equal">
      <formula>"수정"</formula>
    </cfRule>
    <cfRule type="cellIs" dxfId="2490" priority="449" operator="equal">
      <formula>"신규"</formula>
    </cfRule>
  </conditionalFormatting>
  <conditionalFormatting sqref="Z15">
    <cfRule type="cellIs" dxfId="2489" priority="451" operator="equal">
      <formula>"화면"</formula>
    </cfRule>
  </conditionalFormatting>
  <conditionalFormatting sqref="AC15 AE15:AF15">
    <cfRule type="cellIs" dxfId="2488" priority="450" operator="equal">
      <formula>"수정-신규"</formula>
    </cfRule>
  </conditionalFormatting>
  <conditionalFormatting sqref="AD15">
    <cfRule type="cellIs" dxfId="2487" priority="446" operator="equal">
      <formula>"수정-신규"</formula>
    </cfRule>
  </conditionalFormatting>
  <conditionalFormatting sqref="V15">
    <cfRule type="cellIs" dxfId="2486" priority="442" operator="equal">
      <formula>"수정-신규"</formula>
    </cfRule>
  </conditionalFormatting>
  <conditionalFormatting sqref="V15">
    <cfRule type="cellIs" dxfId="2485" priority="443" operator="equal">
      <formula>"수정-신규"</formula>
    </cfRule>
    <cfRule type="cellIs" dxfId="2484" priority="444" operator="equal">
      <formula>"수정"</formula>
    </cfRule>
    <cfRule type="cellIs" dxfId="2483" priority="445" operator="equal">
      <formula>"신규"</formula>
    </cfRule>
  </conditionalFormatting>
  <conditionalFormatting sqref="V15">
    <cfRule type="cellIs" dxfId="2482" priority="441" operator="equal">
      <formula>"REST"</formula>
    </cfRule>
  </conditionalFormatting>
  <conditionalFormatting sqref="X15">
    <cfRule type="cellIs" dxfId="2481" priority="440" operator="equal">
      <formula>"화면"</formula>
    </cfRule>
  </conditionalFormatting>
  <conditionalFormatting sqref="V15">
    <cfRule type="cellIs" dxfId="2480" priority="439" operator="equal">
      <formula>"REST"</formula>
    </cfRule>
  </conditionalFormatting>
  <conditionalFormatting sqref="V15">
    <cfRule type="cellIs" dxfId="2479" priority="438" operator="equal">
      <formula>"REST"</formula>
    </cfRule>
  </conditionalFormatting>
  <conditionalFormatting sqref="AC14 AE14:AF14">
    <cfRule type="cellIs" dxfId="2478" priority="435" operator="equal">
      <formula>"수정-신규"</formula>
    </cfRule>
    <cfRule type="cellIs" dxfId="2477" priority="436" operator="equal">
      <formula>"수정"</formula>
    </cfRule>
    <cfRule type="cellIs" dxfId="2476" priority="437" operator="equal">
      <formula>"신규"</formula>
    </cfRule>
  </conditionalFormatting>
  <conditionalFormatting sqref="AD14">
    <cfRule type="cellIs" dxfId="2475" priority="429" operator="equal">
      <formula>"수정-신규"</formula>
    </cfRule>
    <cfRule type="cellIs" dxfId="2474" priority="430" operator="equal">
      <formula>"수정"</formula>
    </cfRule>
    <cfRule type="cellIs" dxfId="2473" priority="431" operator="equal">
      <formula>"신규"</formula>
    </cfRule>
  </conditionalFormatting>
  <conditionalFormatting sqref="Z14">
    <cfRule type="cellIs" dxfId="2472" priority="433" operator="equal">
      <formula>"화면"</formula>
    </cfRule>
  </conditionalFormatting>
  <conditionalFormatting sqref="AC14 AE14:AF14">
    <cfRule type="cellIs" dxfId="2471" priority="432" operator="equal">
      <formula>"수정-신규"</formula>
    </cfRule>
  </conditionalFormatting>
  <conditionalFormatting sqref="AD14">
    <cfRule type="cellIs" dxfId="2470" priority="428" operator="equal">
      <formula>"수정-신규"</formula>
    </cfRule>
  </conditionalFormatting>
  <conditionalFormatting sqref="V14">
    <cfRule type="cellIs" dxfId="2469" priority="424" operator="equal">
      <formula>"수정-신규"</formula>
    </cfRule>
  </conditionalFormatting>
  <conditionalFormatting sqref="V14">
    <cfRule type="cellIs" dxfId="2468" priority="425" operator="equal">
      <formula>"수정-신규"</formula>
    </cfRule>
    <cfRule type="cellIs" dxfId="2467" priority="426" operator="equal">
      <formula>"수정"</formula>
    </cfRule>
    <cfRule type="cellIs" dxfId="2466" priority="427" operator="equal">
      <formula>"신규"</formula>
    </cfRule>
  </conditionalFormatting>
  <conditionalFormatting sqref="V14">
    <cfRule type="cellIs" dxfId="2465" priority="423" operator="equal">
      <formula>"REST"</formula>
    </cfRule>
  </conditionalFormatting>
  <conditionalFormatting sqref="X14">
    <cfRule type="cellIs" dxfId="2464" priority="422" operator="equal">
      <formula>"화면"</formula>
    </cfRule>
  </conditionalFormatting>
  <conditionalFormatting sqref="V14">
    <cfRule type="cellIs" dxfId="2463" priority="421" operator="equal">
      <formula>"REST"</formula>
    </cfRule>
  </conditionalFormatting>
  <conditionalFormatting sqref="V14">
    <cfRule type="cellIs" dxfId="2462" priority="420" operator="equal">
      <formula>"REST"</formula>
    </cfRule>
  </conditionalFormatting>
  <conditionalFormatting sqref="AC13 AE13:AF13">
    <cfRule type="cellIs" dxfId="2461" priority="417" operator="equal">
      <formula>"수정-신규"</formula>
    </cfRule>
    <cfRule type="cellIs" dxfId="2460" priority="418" operator="equal">
      <formula>"수정"</formula>
    </cfRule>
    <cfRule type="cellIs" dxfId="2459" priority="419" operator="equal">
      <formula>"신규"</formula>
    </cfRule>
  </conditionalFormatting>
  <conditionalFormatting sqref="AD13">
    <cfRule type="cellIs" dxfId="2458" priority="411" operator="equal">
      <formula>"수정-신규"</formula>
    </cfRule>
    <cfRule type="cellIs" dxfId="2457" priority="412" operator="equal">
      <formula>"수정"</formula>
    </cfRule>
    <cfRule type="cellIs" dxfId="2456" priority="413" operator="equal">
      <formula>"신규"</formula>
    </cfRule>
  </conditionalFormatting>
  <conditionalFormatting sqref="Z13">
    <cfRule type="cellIs" dxfId="2455" priority="415" operator="equal">
      <formula>"화면"</formula>
    </cfRule>
  </conditionalFormatting>
  <conditionalFormatting sqref="AC13 AE13:AF13">
    <cfRule type="cellIs" dxfId="2454" priority="414" operator="equal">
      <formula>"수정-신규"</formula>
    </cfRule>
  </conditionalFormatting>
  <conditionalFormatting sqref="AD13">
    <cfRule type="cellIs" dxfId="2453" priority="410" operator="equal">
      <formula>"수정-신규"</formula>
    </cfRule>
  </conditionalFormatting>
  <conditionalFormatting sqref="V13">
    <cfRule type="cellIs" dxfId="2452" priority="406" operator="equal">
      <formula>"수정-신규"</formula>
    </cfRule>
  </conditionalFormatting>
  <conditionalFormatting sqref="V13">
    <cfRule type="cellIs" dxfId="2451" priority="407" operator="equal">
      <formula>"수정-신규"</formula>
    </cfRule>
    <cfRule type="cellIs" dxfId="2450" priority="408" operator="equal">
      <formula>"수정"</formula>
    </cfRule>
    <cfRule type="cellIs" dxfId="2449" priority="409" operator="equal">
      <formula>"신규"</formula>
    </cfRule>
  </conditionalFormatting>
  <conditionalFormatting sqref="V13">
    <cfRule type="cellIs" dxfId="2448" priority="405" operator="equal">
      <formula>"REST"</formula>
    </cfRule>
  </conditionalFormatting>
  <conditionalFormatting sqref="X13">
    <cfRule type="cellIs" dxfId="2447" priority="404" operator="equal">
      <formula>"화면"</formula>
    </cfRule>
  </conditionalFormatting>
  <conditionalFormatting sqref="V13">
    <cfRule type="cellIs" dxfId="2446" priority="403" operator="equal">
      <formula>"REST"</formula>
    </cfRule>
  </conditionalFormatting>
  <conditionalFormatting sqref="V13">
    <cfRule type="cellIs" dxfId="2445" priority="402" operator="equal">
      <formula>"REST"</formula>
    </cfRule>
  </conditionalFormatting>
  <conditionalFormatting sqref="AC12 AE12:AF12">
    <cfRule type="cellIs" dxfId="2444" priority="399" operator="equal">
      <formula>"수정-신규"</formula>
    </cfRule>
    <cfRule type="cellIs" dxfId="2443" priority="400" operator="equal">
      <formula>"수정"</formula>
    </cfRule>
    <cfRule type="cellIs" dxfId="2442" priority="401" operator="equal">
      <formula>"신규"</formula>
    </cfRule>
  </conditionalFormatting>
  <conditionalFormatting sqref="AD12">
    <cfRule type="cellIs" dxfId="2441" priority="393" operator="equal">
      <formula>"수정-신규"</formula>
    </cfRule>
    <cfRule type="cellIs" dxfId="2440" priority="394" operator="equal">
      <formula>"수정"</formula>
    </cfRule>
    <cfRule type="cellIs" dxfId="2439" priority="395" operator="equal">
      <formula>"신규"</formula>
    </cfRule>
  </conditionalFormatting>
  <conditionalFormatting sqref="Z12">
    <cfRule type="cellIs" dxfId="2438" priority="397" operator="equal">
      <formula>"화면"</formula>
    </cfRule>
  </conditionalFormatting>
  <conditionalFormatting sqref="AC12 AE12:AF12">
    <cfRule type="cellIs" dxfId="2437" priority="396" operator="equal">
      <formula>"수정-신규"</formula>
    </cfRule>
  </conditionalFormatting>
  <conditionalFormatting sqref="AD12">
    <cfRule type="cellIs" dxfId="2436" priority="392" operator="equal">
      <formula>"수정-신규"</formula>
    </cfRule>
  </conditionalFormatting>
  <conditionalFormatting sqref="V12">
    <cfRule type="cellIs" dxfId="2435" priority="388" operator="equal">
      <formula>"수정-신규"</formula>
    </cfRule>
  </conditionalFormatting>
  <conditionalFormatting sqref="V12">
    <cfRule type="cellIs" dxfId="2434" priority="389" operator="equal">
      <formula>"수정-신규"</formula>
    </cfRule>
    <cfRule type="cellIs" dxfId="2433" priority="390" operator="equal">
      <formula>"수정"</formula>
    </cfRule>
    <cfRule type="cellIs" dxfId="2432" priority="391" operator="equal">
      <formula>"신규"</formula>
    </cfRule>
  </conditionalFormatting>
  <conditionalFormatting sqref="V12">
    <cfRule type="cellIs" dxfId="2431" priority="387" operator="equal">
      <formula>"REST"</formula>
    </cfRule>
  </conditionalFormatting>
  <conditionalFormatting sqref="X12">
    <cfRule type="cellIs" dxfId="2430" priority="386" operator="equal">
      <formula>"화면"</formula>
    </cfRule>
  </conditionalFormatting>
  <conditionalFormatting sqref="V12">
    <cfRule type="cellIs" dxfId="2429" priority="385" operator="equal">
      <formula>"REST"</formula>
    </cfRule>
  </conditionalFormatting>
  <conditionalFormatting sqref="V12">
    <cfRule type="cellIs" dxfId="2428" priority="384" operator="equal">
      <formula>"REST"</formula>
    </cfRule>
  </conditionalFormatting>
  <conditionalFormatting sqref="AC11 AE11:AF11">
    <cfRule type="cellIs" dxfId="2427" priority="381" operator="equal">
      <formula>"수정-신규"</formula>
    </cfRule>
    <cfRule type="cellIs" dxfId="2426" priority="382" operator="equal">
      <formula>"수정"</formula>
    </cfRule>
    <cfRule type="cellIs" dxfId="2425" priority="383" operator="equal">
      <formula>"신규"</formula>
    </cfRule>
  </conditionalFormatting>
  <conditionalFormatting sqref="AD11">
    <cfRule type="cellIs" dxfId="2424" priority="375" operator="equal">
      <formula>"수정-신규"</formula>
    </cfRule>
    <cfRule type="cellIs" dxfId="2423" priority="376" operator="equal">
      <formula>"수정"</formula>
    </cfRule>
    <cfRule type="cellIs" dxfId="2422" priority="377" operator="equal">
      <formula>"신규"</formula>
    </cfRule>
  </conditionalFormatting>
  <conditionalFormatting sqref="Z11">
    <cfRule type="cellIs" dxfId="2421" priority="379" operator="equal">
      <formula>"화면"</formula>
    </cfRule>
  </conditionalFormatting>
  <conditionalFormatting sqref="AC11 AE11:AF11">
    <cfRule type="cellIs" dxfId="2420" priority="378" operator="equal">
      <formula>"수정-신규"</formula>
    </cfRule>
  </conditionalFormatting>
  <conditionalFormatting sqref="AD11">
    <cfRule type="cellIs" dxfId="2419" priority="374" operator="equal">
      <formula>"수정-신규"</formula>
    </cfRule>
  </conditionalFormatting>
  <conditionalFormatting sqref="V11">
    <cfRule type="cellIs" dxfId="2418" priority="370" operator="equal">
      <formula>"수정-신규"</formula>
    </cfRule>
  </conditionalFormatting>
  <conditionalFormatting sqref="V11">
    <cfRule type="cellIs" dxfId="2417" priority="371" operator="equal">
      <formula>"수정-신규"</formula>
    </cfRule>
    <cfRule type="cellIs" dxfId="2416" priority="372" operator="equal">
      <formula>"수정"</formula>
    </cfRule>
    <cfRule type="cellIs" dxfId="2415" priority="373" operator="equal">
      <formula>"신규"</formula>
    </cfRule>
  </conditionalFormatting>
  <conditionalFormatting sqref="V11">
    <cfRule type="cellIs" dxfId="2414" priority="369" operator="equal">
      <formula>"REST"</formula>
    </cfRule>
  </conditionalFormatting>
  <conditionalFormatting sqref="X11">
    <cfRule type="cellIs" dxfId="2413" priority="368" operator="equal">
      <formula>"화면"</formula>
    </cfRule>
  </conditionalFormatting>
  <conditionalFormatting sqref="V11">
    <cfRule type="cellIs" dxfId="2412" priority="367" operator="equal">
      <formula>"REST"</formula>
    </cfRule>
  </conditionalFormatting>
  <conditionalFormatting sqref="V11">
    <cfRule type="cellIs" dxfId="2411" priority="366" operator="equal">
      <formula>"REST"</formula>
    </cfRule>
  </conditionalFormatting>
  <conditionalFormatting sqref="AC10 AE10:AF10">
    <cfRule type="cellIs" dxfId="2410" priority="363" operator="equal">
      <formula>"수정-신규"</formula>
    </cfRule>
    <cfRule type="cellIs" dxfId="2409" priority="364" operator="equal">
      <formula>"수정"</formula>
    </cfRule>
    <cfRule type="cellIs" dxfId="2408" priority="365" operator="equal">
      <formula>"신규"</formula>
    </cfRule>
  </conditionalFormatting>
  <conditionalFormatting sqref="Y10">
    <cfRule type="cellIs" dxfId="2407" priority="362" operator="equal">
      <formula>"화면"</formula>
    </cfRule>
  </conditionalFormatting>
  <conditionalFormatting sqref="AD10">
    <cfRule type="cellIs" dxfId="2406" priority="357" operator="equal">
      <formula>"수정-신규"</formula>
    </cfRule>
    <cfRule type="cellIs" dxfId="2405" priority="358" operator="equal">
      <formula>"수정"</formula>
    </cfRule>
    <cfRule type="cellIs" dxfId="2404" priority="359" operator="equal">
      <formula>"신규"</formula>
    </cfRule>
  </conditionalFormatting>
  <conditionalFormatting sqref="Z10">
    <cfRule type="cellIs" dxfId="2403" priority="361" operator="equal">
      <formula>"화면"</formula>
    </cfRule>
  </conditionalFormatting>
  <conditionalFormatting sqref="AC10 AE10:AF10">
    <cfRule type="cellIs" dxfId="2402" priority="360" operator="equal">
      <formula>"수정-신규"</formula>
    </cfRule>
  </conditionalFormatting>
  <conditionalFormatting sqref="AD10">
    <cfRule type="cellIs" dxfId="2401" priority="356" operator="equal">
      <formula>"수정-신규"</formula>
    </cfRule>
  </conditionalFormatting>
  <conditionalFormatting sqref="V10">
    <cfRule type="cellIs" dxfId="2400" priority="352" operator="equal">
      <formula>"수정-신규"</formula>
    </cfRule>
  </conditionalFormatting>
  <conditionalFormatting sqref="V10">
    <cfRule type="cellIs" dxfId="2399" priority="353" operator="equal">
      <formula>"수정-신규"</formula>
    </cfRule>
    <cfRule type="cellIs" dxfId="2398" priority="354" operator="equal">
      <formula>"수정"</formula>
    </cfRule>
    <cfRule type="cellIs" dxfId="2397" priority="355" operator="equal">
      <formula>"신규"</formula>
    </cfRule>
  </conditionalFormatting>
  <conditionalFormatting sqref="V10">
    <cfRule type="cellIs" dxfId="2396" priority="351" operator="equal">
      <formula>"REST"</formula>
    </cfRule>
  </conditionalFormatting>
  <conditionalFormatting sqref="X10">
    <cfRule type="cellIs" dxfId="2395" priority="350" operator="equal">
      <formula>"화면"</formula>
    </cfRule>
  </conditionalFormatting>
  <conditionalFormatting sqref="V10">
    <cfRule type="cellIs" dxfId="2394" priority="349" operator="equal">
      <formula>"REST"</formula>
    </cfRule>
  </conditionalFormatting>
  <conditionalFormatting sqref="V10">
    <cfRule type="cellIs" dxfId="2393" priority="348" operator="equal">
      <formula>"REST"</formula>
    </cfRule>
  </conditionalFormatting>
  <conditionalFormatting sqref="AC30 AE30:AF30">
    <cfRule type="cellIs" dxfId="2392" priority="327" operator="equal">
      <formula>"수정-신규"</formula>
    </cfRule>
    <cfRule type="cellIs" dxfId="2391" priority="328" operator="equal">
      <formula>"수정"</formula>
    </cfRule>
    <cfRule type="cellIs" dxfId="2390" priority="329" operator="equal">
      <formula>"신규"</formula>
    </cfRule>
  </conditionalFormatting>
  <conditionalFormatting sqref="AD30">
    <cfRule type="cellIs" dxfId="2389" priority="321" operator="equal">
      <formula>"수정-신규"</formula>
    </cfRule>
    <cfRule type="cellIs" dxfId="2388" priority="322" operator="equal">
      <formula>"수정"</formula>
    </cfRule>
    <cfRule type="cellIs" dxfId="2387" priority="323" operator="equal">
      <formula>"신규"</formula>
    </cfRule>
  </conditionalFormatting>
  <conditionalFormatting sqref="Z30">
    <cfRule type="cellIs" dxfId="2386" priority="325" operator="equal">
      <formula>"화면"</formula>
    </cfRule>
  </conditionalFormatting>
  <conditionalFormatting sqref="AC30 AE30:AF30">
    <cfRule type="cellIs" dxfId="2385" priority="324" operator="equal">
      <formula>"수정-신규"</formula>
    </cfRule>
  </conditionalFormatting>
  <conditionalFormatting sqref="AD30">
    <cfRule type="cellIs" dxfId="2384" priority="320" operator="equal">
      <formula>"수정-신규"</formula>
    </cfRule>
  </conditionalFormatting>
  <conditionalFormatting sqref="V30">
    <cfRule type="cellIs" dxfId="2383" priority="316" operator="equal">
      <formula>"수정-신규"</formula>
    </cfRule>
  </conditionalFormatting>
  <conditionalFormatting sqref="V30">
    <cfRule type="cellIs" dxfId="2382" priority="317" operator="equal">
      <formula>"수정-신규"</formula>
    </cfRule>
    <cfRule type="cellIs" dxfId="2381" priority="318" operator="equal">
      <formula>"수정"</formula>
    </cfRule>
    <cfRule type="cellIs" dxfId="2380" priority="319" operator="equal">
      <formula>"신규"</formula>
    </cfRule>
  </conditionalFormatting>
  <conditionalFormatting sqref="V30">
    <cfRule type="cellIs" dxfId="2379" priority="315" operator="equal">
      <formula>"REST"</formula>
    </cfRule>
  </conditionalFormatting>
  <conditionalFormatting sqref="X30">
    <cfRule type="cellIs" dxfId="2378" priority="314" operator="equal">
      <formula>"화면"</formula>
    </cfRule>
  </conditionalFormatting>
  <conditionalFormatting sqref="V30">
    <cfRule type="cellIs" dxfId="2377" priority="313" operator="equal">
      <formula>"REST"</formula>
    </cfRule>
  </conditionalFormatting>
  <conditionalFormatting sqref="V30">
    <cfRule type="cellIs" dxfId="2376" priority="312" operator="equal">
      <formula>"REST"</formula>
    </cfRule>
  </conditionalFormatting>
  <conditionalFormatting sqref="AC29 AE29:AF29">
    <cfRule type="cellIs" dxfId="2375" priority="309" operator="equal">
      <formula>"수정-신규"</formula>
    </cfRule>
    <cfRule type="cellIs" dxfId="2374" priority="310" operator="equal">
      <formula>"수정"</formula>
    </cfRule>
    <cfRule type="cellIs" dxfId="2373" priority="311" operator="equal">
      <formula>"신규"</formula>
    </cfRule>
  </conditionalFormatting>
  <conditionalFormatting sqref="AD29">
    <cfRule type="cellIs" dxfId="2372" priority="303" operator="equal">
      <formula>"수정-신규"</formula>
    </cfRule>
    <cfRule type="cellIs" dxfId="2371" priority="304" operator="equal">
      <formula>"수정"</formula>
    </cfRule>
    <cfRule type="cellIs" dxfId="2370" priority="305" operator="equal">
      <formula>"신규"</formula>
    </cfRule>
  </conditionalFormatting>
  <conditionalFormatting sqref="Z29">
    <cfRule type="cellIs" dxfId="2369" priority="307" operator="equal">
      <formula>"화면"</formula>
    </cfRule>
  </conditionalFormatting>
  <conditionalFormatting sqref="AC29 AE29:AF29">
    <cfRule type="cellIs" dxfId="2368" priority="306" operator="equal">
      <formula>"수정-신규"</formula>
    </cfRule>
  </conditionalFormatting>
  <conditionalFormatting sqref="AD29">
    <cfRule type="cellIs" dxfId="2367" priority="302" operator="equal">
      <formula>"수정-신규"</formula>
    </cfRule>
  </conditionalFormatting>
  <conditionalFormatting sqref="V29">
    <cfRule type="cellIs" dxfId="2366" priority="298" operator="equal">
      <formula>"수정-신규"</formula>
    </cfRule>
  </conditionalFormatting>
  <conditionalFormatting sqref="V29">
    <cfRule type="cellIs" dxfId="2365" priority="299" operator="equal">
      <formula>"수정-신규"</formula>
    </cfRule>
    <cfRule type="cellIs" dxfId="2364" priority="300" operator="equal">
      <formula>"수정"</formula>
    </cfRule>
    <cfRule type="cellIs" dxfId="2363" priority="301" operator="equal">
      <formula>"신규"</formula>
    </cfRule>
  </conditionalFormatting>
  <conditionalFormatting sqref="V29">
    <cfRule type="cellIs" dxfId="2362" priority="297" operator="equal">
      <formula>"REST"</formula>
    </cfRule>
  </conditionalFormatting>
  <conditionalFormatting sqref="X29">
    <cfRule type="cellIs" dxfId="2361" priority="296" operator="equal">
      <formula>"화면"</formula>
    </cfRule>
  </conditionalFormatting>
  <conditionalFormatting sqref="V29">
    <cfRule type="cellIs" dxfId="2360" priority="295" operator="equal">
      <formula>"REST"</formula>
    </cfRule>
  </conditionalFormatting>
  <conditionalFormatting sqref="V29">
    <cfRule type="cellIs" dxfId="2359" priority="294" operator="equal">
      <formula>"REST"</formula>
    </cfRule>
  </conditionalFormatting>
  <conditionalFormatting sqref="AC28 AE28:AF28">
    <cfRule type="cellIs" dxfId="2358" priority="291" operator="equal">
      <formula>"수정-신규"</formula>
    </cfRule>
    <cfRule type="cellIs" dxfId="2357" priority="292" operator="equal">
      <formula>"수정"</formula>
    </cfRule>
    <cfRule type="cellIs" dxfId="2356" priority="293" operator="equal">
      <formula>"신규"</formula>
    </cfRule>
  </conditionalFormatting>
  <conditionalFormatting sqref="AD28">
    <cfRule type="cellIs" dxfId="2355" priority="285" operator="equal">
      <formula>"수정-신규"</formula>
    </cfRule>
    <cfRule type="cellIs" dxfId="2354" priority="286" operator="equal">
      <formula>"수정"</formula>
    </cfRule>
    <cfRule type="cellIs" dxfId="2353" priority="287" operator="equal">
      <formula>"신규"</formula>
    </cfRule>
  </conditionalFormatting>
  <conditionalFormatting sqref="Z28">
    <cfRule type="cellIs" dxfId="2352" priority="289" operator="equal">
      <formula>"화면"</formula>
    </cfRule>
  </conditionalFormatting>
  <conditionalFormatting sqref="AC28 AE28:AF28">
    <cfRule type="cellIs" dxfId="2351" priority="288" operator="equal">
      <formula>"수정-신규"</formula>
    </cfRule>
  </conditionalFormatting>
  <conditionalFormatting sqref="AD28">
    <cfRule type="cellIs" dxfId="2350" priority="284" operator="equal">
      <formula>"수정-신규"</formula>
    </cfRule>
  </conditionalFormatting>
  <conditionalFormatting sqref="V28">
    <cfRule type="cellIs" dxfId="2349" priority="280" operator="equal">
      <formula>"수정-신규"</formula>
    </cfRule>
  </conditionalFormatting>
  <conditionalFormatting sqref="V28">
    <cfRule type="cellIs" dxfId="2348" priority="281" operator="equal">
      <formula>"수정-신규"</formula>
    </cfRule>
    <cfRule type="cellIs" dxfId="2347" priority="282" operator="equal">
      <formula>"수정"</formula>
    </cfRule>
    <cfRule type="cellIs" dxfId="2346" priority="283" operator="equal">
      <formula>"신규"</formula>
    </cfRule>
  </conditionalFormatting>
  <conditionalFormatting sqref="V28">
    <cfRule type="cellIs" dxfId="2345" priority="279" operator="equal">
      <formula>"REST"</formula>
    </cfRule>
  </conditionalFormatting>
  <conditionalFormatting sqref="X28">
    <cfRule type="cellIs" dxfId="2344" priority="278" operator="equal">
      <formula>"화면"</formula>
    </cfRule>
  </conditionalFormatting>
  <conditionalFormatting sqref="V28">
    <cfRule type="cellIs" dxfId="2343" priority="277" operator="equal">
      <formula>"REST"</formula>
    </cfRule>
  </conditionalFormatting>
  <conditionalFormatting sqref="V28">
    <cfRule type="cellIs" dxfId="2342" priority="276" operator="equal">
      <formula>"REST"</formula>
    </cfRule>
  </conditionalFormatting>
  <conditionalFormatting sqref="AC27 AE27:AF27">
    <cfRule type="cellIs" dxfId="2341" priority="273" operator="equal">
      <formula>"수정-신규"</formula>
    </cfRule>
    <cfRule type="cellIs" dxfId="2340" priority="274" operator="equal">
      <formula>"수정"</formula>
    </cfRule>
    <cfRule type="cellIs" dxfId="2339" priority="275" operator="equal">
      <formula>"신규"</formula>
    </cfRule>
  </conditionalFormatting>
  <conditionalFormatting sqref="AD27">
    <cfRule type="cellIs" dxfId="2338" priority="267" operator="equal">
      <formula>"수정-신규"</formula>
    </cfRule>
    <cfRule type="cellIs" dxfId="2337" priority="268" operator="equal">
      <formula>"수정"</formula>
    </cfRule>
    <cfRule type="cellIs" dxfId="2336" priority="269" operator="equal">
      <formula>"신규"</formula>
    </cfRule>
  </conditionalFormatting>
  <conditionalFormatting sqref="Z27">
    <cfRule type="cellIs" dxfId="2335" priority="271" operator="equal">
      <formula>"화면"</formula>
    </cfRule>
  </conditionalFormatting>
  <conditionalFormatting sqref="AC27 AE27:AF27">
    <cfRule type="cellIs" dxfId="2334" priority="270" operator="equal">
      <formula>"수정-신규"</formula>
    </cfRule>
  </conditionalFormatting>
  <conditionalFormatting sqref="AD27">
    <cfRule type="cellIs" dxfId="2333" priority="266" operator="equal">
      <formula>"수정-신규"</formula>
    </cfRule>
  </conditionalFormatting>
  <conditionalFormatting sqref="V27">
    <cfRule type="cellIs" dxfId="2332" priority="262" operator="equal">
      <formula>"수정-신규"</formula>
    </cfRule>
  </conditionalFormatting>
  <conditionalFormatting sqref="V27">
    <cfRule type="cellIs" dxfId="2331" priority="263" operator="equal">
      <formula>"수정-신규"</formula>
    </cfRule>
    <cfRule type="cellIs" dxfId="2330" priority="264" operator="equal">
      <formula>"수정"</formula>
    </cfRule>
    <cfRule type="cellIs" dxfId="2329" priority="265" operator="equal">
      <formula>"신규"</formula>
    </cfRule>
  </conditionalFormatting>
  <conditionalFormatting sqref="V27">
    <cfRule type="cellIs" dxfId="2328" priority="261" operator="equal">
      <formula>"REST"</formula>
    </cfRule>
  </conditionalFormatting>
  <conditionalFormatting sqref="X27">
    <cfRule type="cellIs" dxfId="2327" priority="260" operator="equal">
      <formula>"화면"</formula>
    </cfRule>
  </conditionalFormatting>
  <conditionalFormatting sqref="V27">
    <cfRule type="cellIs" dxfId="2326" priority="259" operator="equal">
      <formula>"REST"</formula>
    </cfRule>
  </conditionalFormatting>
  <conditionalFormatting sqref="V27">
    <cfRule type="cellIs" dxfId="2325" priority="258" operator="equal">
      <formula>"REST"</formula>
    </cfRule>
  </conditionalFormatting>
  <conditionalFormatting sqref="AC26 AE26:AF26">
    <cfRule type="cellIs" dxfId="2324" priority="255" operator="equal">
      <formula>"수정-신규"</formula>
    </cfRule>
    <cfRule type="cellIs" dxfId="2323" priority="256" operator="equal">
      <formula>"수정"</formula>
    </cfRule>
    <cfRule type="cellIs" dxfId="2322" priority="257" operator="equal">
      <formula>"신규"</formula>
    </cfRule>
  </conditionalFormatting>
  <conditionalFormatting sqref="AD26">
    <cfRule type="cellIs" dxfId="2321" priority="249" operator="equal">
      <formula>"수정-신규"</formula>
    </cfRule>
    <cfRule type="cellIs" dxfId="2320" priority="250" operator="equal">
      <formula>"수정"</formula>
    </cfRule>
    <cfRule type="cellIs" dxfId="2319" priority="251" operator="equal">
      <formula>"신규"</formula>
    </cfRule>
  </conditionalFormatting>
  <conditionalFormatting sqref="Z26">
    <cfRule type="cellIs" dxfId="2318" priority="253" operator="equal">
      <formula>"화면"</formula>
    </cfRule>
  </conditionalFormatting>
  <conditionalFormatting sqref="AC26 AE26:AF26">
    <cfRule type="cellIs" dxfId="2317" priority="252" operator="equal">
      <formula>"수정-신규"</formula>
    </cfRule>
  </conditionalFormatting>
  <conditionalFormatting sqref="AD26">
    <cfRule type="cellIs" dxfId="2316" priority="248" operator="equal">
      <formula>"수정-신규"</formula>
    </cfRule>
  </conditionalFormatting>
  <conditionalFormatting sqref="V26">
    <cfRule type="cellIs" dxfId="2315" priority="244" operator="equal">
      <formula>"수정-신규"</formula>
    </cfRule>
  </conditionalFormatting>
  <conditionalFormatting sqref="V26">
    <cfRule type="cellIs" dxfId="2314" priority="245" operator="equal">
      <formula>"수정-신규"</formula>
    </cfRule>
    <cfRule type="cellIs" dxfId="2313" priority="246" operator="equal">
      <formula>"수정"</formula>
    </cfRule>
    <cfRule type="cellIs" dxfId="2312" priority="247" operator="equal">
      <formula>"신규"</formula>
    </cfRule>
  </conditionalFormatting>
  <conditionalFormatting sqref="V26">
    <cfRule type="cellIs" dxfId="2311" priority="243" operator="equal">
      <formula>"REST"</formula>
    </cfRule>
  </conditionalFormatting>
  <conditionalFormatting sqref="X26">
    <cfRule type="cellIs" dxfId="2310" priority="242" operator="equal">
      <formula>"화면"</formula>
    </cfRule>
  </conditionalFormatting>
  <conditionalFormatting sqref="V26">
    <cfRule type="cellIs" dxfId="2309" priority="241" operator="equal">
      <formula>"REST"</formula>
    </cfRule>
  </conditionalFormatting>
  <conditionalFormatting sqref="V26">
    <cfRule type="cellIs" dxfId="2308" priority="240" operator="equal">
      <formula>"REST"</formula>
    </cfRule>
  </conditionalFormatting>
  <conditionalFormatting sqref="AC25 AE25:AF25">
    <cfRule type="cellIs" dxfId="2307" priority="237" operator="equal">
      <formula>"수정-신규"</formula>
    </cfRule>
    <cfRule type="cellIs" dxfId="2306" priority="238" operator="equal">
      <formula>"수정"</formula>
    </cfRule>
    <cfRule type="cellIs" dxfId="2305" priority="239" operator="equal">
      <formula>"신규"</formula>
    </cfRule>
  </conditionalFormatting>
  <conditionalFormatting sqref="AD25">
    <cfRule type="cellIs" dxfId="2304" priority="231" operator="equal">
      <formula>"수정-신규"</formula>
    </cfRule>
    <cfRule type="cellIs" dxfId="2303" priority="232" operator="equal">
      <formula>"수정"</formula>
    </cfRule>
    <cfRule type="cellIs" dxfId="2302" priority="233" operator="equal">
      <formula>"신규"</formula>
    </cfRule>
  </conditionalFormatting>
  <conditionalFormatting sqref="Z25">
    <cfRule type="cellIs" dxfId="2301" priority="235" operator="equal">
      <formula>"화면"</formula>
    </cfRule>
  </conditionalFormatting>
  <conditionalFormatting sqref="AC25 AE25:AF25">
    <cfRule type="cellIs" dxfId="2300" priority="234" operator="equal">
      <formula>"수정-신규"</formula>
    </cfRule>
  </conditionalFormatting>
  <conditionalFormatting sqref="AD25">
    <cfRule type="cellIs" dxfId="2299" priority="230" operator="equal">
      <formula>"수정-신규"</formula>
    </cfRule>
  </conditionalFormatting>
  <conditionalFormatting sqref="V25">
    <cfRule type="cellIs" dxfId="2298" priority="226" operator="equal">
      <formula>"수정-신규"</formula>
    </cfRule>
  </conditionalFormatting>
  <conditionalFormatting sqref="V25">
    <cfRule type="cellIs" dxfId="2297" priority="227" operator="equal">
      <formula>"수정-신규"</formula>
    </cfRule>
    <cfRule type="cellIs" dxfId="2296" priority="228" operator="equal">
      <formula>"수정"</formula>
    </cfRule>
    <cfRule type="cellIs" dxfId="2295" priority="229" operator="equal">
      <formula>"신규"</formula>
    </cfRule>
  </conditionalFormatting>
  <conditionalFormatting sqref="V25">
    <cfRule type="cellIs" dxfId="2294" priority="225" operator="equal">
      <formula>"REST"</formula>
    </cfRule>
  </conditionalFormatting>
  <conditionalFormatting sqref="X25">
    <cfRule type="cellIs" dxfId="2293" priority="224" operator="equal">
      <formula>"화면"</formula>
    </cfRule>
  </conditionalFormatting>
  <conditionalFormatting sqref="V25">
    <cfRule type="cellIs" dxfId="2292" priority="223" operator="equal">
      <formula>"REST"</formula>
    </cfRule>
  </conditionalFormatting>
  <conditionalFormatting sqref="V25">
    <cfRule type="cellIs" dxfId="2291" priority="222" operator="equal">
      <formula>"REST"</formula>
    </cfRule>
  </conditionalFormatting>
  <conditionalFormatting sqref="AC24 AE24:AF24">
    <cfRule type="cellIs" dxfId="2290" priority="219" operator="equal">
      <formula>"수정-신규"</formula>
    </cfRule>
    <cfRule type="cellIs" dxfId="2289" priority="220" operator="equal">
      <formula>"수정"</formula>
    </cfRule>
    <cfRule type="cellIs" dxfId="2288" priority="221" operator="equal">
      <formula>"신규"</formula>
    </cfRule>
  </conditionalFormatting>
  <conditionalFormatting sqref="AD24">
    <cfRule type="cellIs" dxfId="2287" priority="213" operator="equal">
      <formula>"수정-신규"</formula>
    </cfRule>
    <cfRule type="cellIs" dxfId="2286" priority="214" operator="equal">
      <formula>"수정"</formula>
    </cfRule>
    <cfRule type="cellIs" dxfId="2285" priority="215" operator="equal">
      <formula>"신규"</formula>
    </cfRule>
  </conditionalFormatting>
  <conditionalFormatting sqref="Z24">
    <cfRule type="cellIs" dxfId="2284" priority="217" operator="equal">
      <formula>"화면"</formula>
    </cfRule>
  </conditionalFormatting>
  <conditionalFormatting sqref="AC24 AE24:AF24">
    <cfRule type="cellIs" dxfId="2283" priority="216" operator="equal">
      <formula>"수정-신규"</formula>
    </cfRule>
  </conditionalFormatting>
  <conditionalFormatting sqref="AD24">
    <cfRule type="cellIs" dxfId="2282" priority="212" operator="equal">
      <formula>"수정-신규"</formula>
    </cfRule>
  </conditionalFormatting>
  <conditionalFormatting sqref="V24">
    <cfRule type="cellIs" dxfId="2281" priority="208" operator="equal">
      <formula>"수정-신규"</formula>
    </cfRule>
  </conditionalFormatting>
  <conditionalFormatting sqref="V24">
    <cfRule type="cellIs" dxfId="2280" priority="209" operator="equal">
      <formula>"수정-신규"</formula>
    </cfRule>
    <cfRule type="cellIs" dxfId="2279" priority="210" operator="equal">
      <formula>"수정"</formula>
    </cfRule>
    <cfRule type="cellIs" dxfId="2278" priority="211" operator="equal">
      <formula>"신규"</formula>
    </cfRule>
  </conditionalFormatting>
  <conditionalFormatting sqref="V24">
    <cfRule type="cellIs" dxfId="2277" priority="207" operator="equal">
      <formula>"REST"</formula>
    </cfRule>
  </conditionalFormatting>
  <conditionalFormatting sqref="X24">
    <cfRule type="cellIs" dxfId="2276" priority="206" operator="equal">
      <formula>"화면"</formula>
    </cfRule>
  </conditionalFormatting>
  <conditionalFormatting sqref="V24">
    <cfRule type="cellIs" dxfId="2275" priority="205" operator="equal">
      <formula>"REST"</formula>
    </cfRule>
  </conditionalFormatting>
  <conditionalFormatting sqref="V24">
    <cfRule type="cellIs" dxfId="2274" priority="204" operator="equal">
      <formula>"REST"</formula>
    </cfRule>
  </conditionalFormatting>
  <conditionalFormatting sqref="AC23 AE23:AF23">
    <cfRule type="cellIs" dxfId="2273" priority="201" operator="equal">
      <formula>"수정-신규"</formula>
    </cfRule>
    <cfRule type="cellIs" dxfId="2272" priority="202" operator="equal">
      <formula>"수정"</formula>
    </cfRule>
    <cfRule type="cellIs" dxfId="2271" priority="203" operator="equal">
      <formula>"신규"</formula>
    </cfRule>
  </conditionalFormatting>
  <conditionalFormatting sqref="AD23">
    <cfRule type="cellIs" dxfId="2270" priority="195" operator="equal">
      <formula>"수정-신규"</formula>
    </cfRule>
    <cfRule type="cellIs" dxfId="2269" priority="196" operator="equal">
      <formula>"수정"</formula>
    </cfRule>
    <cfRule type="cellIs" dxfId="2268" priority="197" operator="equal">
      <formula>"신규"</formula>
    </cfRule>
  </conditionalFormatting>
  <conditionalFormatting sqref="Z23">
    <cfRule type="cellIs" dxfId="2267" priority="199" operator="equal">
      <formula>"화면"</formula>
    </cfRule>
  </conditionalFormatting>
  <conditionalFormatting sqref="AC23 AE23:AF23">
    <cfRule type="cellIs" dxfId="2266" priority="198" operator="equal">
      <formula>"수정-신규"</formula>
    </cfRule>
  </conditionalFormatting>
  <conditionalFormatting sqref="AD23">
    <cfRule type="cellIs" dxfId="2265" priority="194" operator="equal">
      <formula>"수정-신규"</formula>
    </cfRule>
  </conditionalFormatting>
  <conditionalFormatting sqref="V23">
    <cfRule type="cellIs" dxfId="2264" priority="190" operator="equal">
      <formula>"수정-신규"</formula>
    </cfRule>
  </conditionalFormatting>
  <conditionalFormatting sqref="V23">
    <cfRule type="cellIs" dxfId="2263" priority="191" operator="equal">
      <formula>"수정-신규"</formula>
    </cfRule>
    <cfRule type="cellIs" dxfId="2262" priority="192" operator="equal">
      <formula>"수정"</formula>
    </cfRule>
    <cfRule type="cellIs" dxfId="2261" priority="193" operator="equal">
      <formula>"신규"</formula>
    </cfRule>
  </conditionalFormatting>
  <conditionalFormatting sqref="V23">
    <cfRule type="cellIs" dxfId="2260" priority="189" operator="equal">
      <formula>"REST"</formula>
    </cfRule>
  </conditionalFormatting>
  <conditionalFormatting sqref="X23">
    <cfRule type="cellIs" dxfId="2259" priority="188" operator="equal">
      <formula>"화면"</formula>
    </cfRule>
  </conditionalFormatting>
  <conditionalFormatting sqref="V23">
    <cfRule type="cellIs" dxfId="2258" priority="187" operator="equal">
      <formula>"REST"</formula>
    </cfRule>
  </conditionalFormatting>
  <conditionalFormatting sqref="V23">
    <cfRule type="cellIs" dxfId="2257" priority="186" operator="equal">
      <formula>"REST"</formula>
    </cfRule>
  </conditionalFormatting>
  <conditionalFormatting sqref="Y11:Y30">
    <cfRule type="cellIs" dxfId="2256" priority="185" operator="equal">
      <formula>"화면"</formula>
    </cfRule>
  </conditionalFormatting>
  <conditionalFormatting sqref="V68">
    <cfRule type="cellIs" dxfId="2255" priority="184" operator="equal">
      <formula>"REST"</formula>
    </cfRule>
  </conditionalFormatting>
  <conditionalFormatting sqref="V91">
    <cfRule type="cellIs" dxfId="2254" priority="183" operator="equal">
      <formula>"REST"</formula>
    </cfRule>
  </conditionalFormatting>
  <conditionalFormatting sqref="V100">
    <cfRule type="cellIs" dxfId="2253" priority="182" operator="equal">
      <formula>"REST"</formula>
    </cfRule>
  </conditionalFormatting>
  <conditionalFormatting sqref="V57">
    <cfRule type="cellIs" dxfId="2252" priority="181" operator="equal">
      <formula>"REST"</formula>
    </cfRule>
  </conditionalFormatting>
  <conditionalFormatting sqref="V76">
    <cfRule type="cellIs" dxfId="2251" priority="180" operator="equal">
      <formula>"REST"</formula>
    </cfRule>
  </conditionalFormatting>
  <conditionalFormatting sqref="V60">
    <cfRule type="cellIs" dxfId="2250" priority="179" operator="equal">
      <formula>"REST"</formula>
    </cfRule>
  </conditionalFormatting>
  <conditionalFormatting sqref="V72">
    <cfRule type="cellIs" dxfId="2249" priority="178" operator="equal">
      <formula>"REST"</formula>
    </cfRule>
  </conditionalFormatting>
  <conditionalFormatting sqref="V80">
    <cfRule type="cellIs" dxfId="2248" priority="177" operator="equal">
      <formula>"REST"</formula>
    </cfRule>
  </conditionalFormatting>
  <conditionalFormatting sqref="V62">
    <cfRule type="cellIs" dxfId="2247" priority="176" operator="equal">
      <formula>"REST"</formula>
    </cfRule>
  </conditionalFormatting>
  <conditionalFormatting sqref="V82">
    <cfRule type="cellIs" dxfId="2246" priority="175" operator="equal">
      <formula>"REST"</formula>
    </cfRule>
  </conditionalFormatting>
  <conditionalFormatting sqref="V88">
    <cfRule type="cellIs" dxfId="2245" priority="174" operator="equal">
      <formula>"REST"</formula>
    </cfRule>
  </conditionalFormatting>
  <conditionalFormatting sqref="V97">
    <cfRule type="cellIs" dxfId="2244" priority="173" operator="equal">
      <formula>"REST"</formula>
    </cfRule>
  </conditionalFormatting>
  <conditionalFormatting sqref="AC31 AE31:AF31">
    <cfRule type="cellIs" dxfId="2243" priority="170" operator="equal">
      <formula>"수정-신규"</formula>
    </cfRule>
    <cfRule type="cellIs" dxfId="2242" priority="171" operator="equal">
      <formula>"수정"</formula>
    </cfRule>
    <cfRule type="cellIs" dxfId="2241" priority="172" operator="equal">
      <formula>"신규"</formula>
    </cfRule>
  </conditionalFormatting>
  <conditionalFormatting sqref="AD31">
    <cfRule type="cellIs" dxfId="2240" priority="165" operator="equal">
      <formula>"수정-신규"</formula>
    </cfRule>
    <cfRule type="cellIs" dxfId="2239" priority="166" operator="equal">
      <formula>"수정"</formula>
    </cfRule>
    <cfRule type="cellIs" dxfId="2238" priority="167" operator="equal">
      <formula>"신규"</formula>
    </cfRule>
  </conditionalFormatting>
  <conditionalFormatting sqref="Z31">
    <cfRule type="cellIs" dxfId="2237" priority="169" operator="equal">
      <formula>"화면"</formula>
    </cfRule>
  </conditionalFormatting>
  <conditionalFormatting sqref="AC31 AE31:AF31">
    <cfRule type="cellIs" dxfId="2236" priority="168" operator="equal">
      <formula>"수정-신규"</formula>
    </cfRule>
  </conditionalFormatting>
  <conditionalFormatting sqref="AD31">
    <cfRule type="cellIs" dxfId="2235" priority="164" operator="equal">
      <formula>"수정-신규"</formula>
    </cfRule>
  </conditionalFormatting>
  <conditionalFormatting sqref="V31">
    <cfRule type="cellIs" dxfId="2234" priority="160" operator="equal">
      <formula>"수정-신규"</formula>
    </cfRule>
  </conditionalFormatting>
  <conditionalFormatting sqref="V31">
    <cfRule type="cellIs" dxfId="2233" priority="161" operator="equal">
      <formula>"수정-신규"</formula>
    </cfRule>
    <cfRule type="cellIs" dxfId="2232" priority="162" operator="equal">
      <formula>"수정"</formula>
    </cfRule>
    <cfRule type="cellIs" dxfId="2231" priority="163" operator="equal">
      <formula>"신규"</formula>
    </cfRule>
  </conditionalFormatting>
  <conditionalFormatting sqref="V31">
    <cfRule type="cellIs" dxfId="2230" priority="159" operator="equal">
      <formula>"REST"</formula>
    </cfRule>
  </conditionalFormatting>
  <conditionalFormatting sqref="X31">
    <cfRule type="cellIs" dxfId="2229" priority="158" operator="equal">
      <formula>"화면"</formula>
    </cfRule>
  </conditionalFormatting>
  <conditionalFormatting sqref="V31">
    <cfRule type="cellIs" dxfId="2228" priority="157" operator="equal">
      <formula>"REST"</formula>
    </cfRule>
  </conditionalFormatting>
  <conditionalFormatting sqref="V31">
    <cfRule type="cellIs" dxfId="2227" priority="156" operator="equal">
      <formula>"REST"</formula>
    </cfRule>
  </conditionalFormatting>
  <conditionalFormatting sqref="Y31">
    <cfRule type="cellIs" dxfId="2226" priority="155" operator="equal">
      <formula>"화면"</formula>
    </cfRule>
  </conditionalFormatting>
  <conditionalFormatting sqref="V110">
    <cfRule type="cellIs" dxfId="2225" priority="154" operator="equal">
      <formula>"REST"</formula>
    </cfRule>
  </conditionalFormatting>
  <conditionalFormatting sqref="AC2 AE2:AF2 AE6:AF6 AC6">
    <cfRule type="cellIs" dxfId="2224" priority="151" operator="equal">
      <formula>"수정-신규"</formula>
    </cfRule>
    <cfRule type="cellIs" dxfId="2223" priority="152" operator="equal">
      <formula>"수정"</formula>
    </cfRule>
    <cfRule type="cellIs" dxfId="2222" priority="153" operator="equal">
      <formula>"신규"</formula>
    </cfRule>
  </conditionalFormatting>
  <conditionalFormatting sqref="Y2 Y6">
    <cfRule type="cellIs" dxfId="2221" priority="150" operator="equal">
      <formula>"화면"</formula>
    </cfRule>
  </conditionalFormatting>
  <conditionalFormatting sqref="AD2 AD6">
    <cfRule type="cellIs" dxfId="2220" priority="145" operator="equal">
      <formula>"수정-신규"</formula>
    </cfRule>
    <cfRule type="cellIs" dxfId="2219" priority="146" operator="equal">
      <formula>"수정"</formula>
    </cfRule>
    <cfRule type="cellIs" dxfId="2218" priority="147" operator="equal">
      <formula>"신규"</formula>
    </cfRule>
  </conditionalFormatting>
  <conditionalFormatting sqref="Z2 Z6">
    <cfRule type="cellIs" dxfId="2217" priority="149" operator="equal">
      <formula>"화면"</formula>
    </cfRule>
  </conditionalFormatting>
  <conditionalFormatting sqref="AC2 AE2:AF2 AE6:AF6 AC6">
    <cfRule type="cellIs" dxfId="2216" priority="148" operator="equal">
      <formula>"수정-신규"</formula>
    </cfRule>
  </conditionalFormatting>
  <conditionalFormatting sqref="AD2 AD6">
    <cfRule type="cellIs" dxfId="2215" priority="144" operator="equal">
      <formula>"수정-신규"</formula>
    </cfRule>
  </conditionalFormatting>
  <conditionalFormatting sqref="V2">
    <cfRule type="cellIs" dxfId="2214" priority="140" operator="equal">
      <formula>"수정-신규"</formula>
    </cfRule>
  </conditionalFormatting>
  <conditionalFormatting sqref="V2">
    <cfRule type="cellIs" dxfId="2213" priority="141" operator="equal">
      <formula>"수정-신규"</formula>
    </cfRule>
    <cfRule type="cellIs" dxfId="2212" priority="142" operator="equal">
      <formula>"수정"</formula>
    </cfRule>
    <cfRule type="cellIs" dxfId="2211" priority="143" operator="equal">
      <formula>"신규"</formula>
    </cfRule>
  </conditionalFormatting>
  <conditionalFormatting sqref="V2">
    <cfRule type="cellIs" dxfId="2210" priority="139" operator="equal">
      <formula>"REST"</formula>
    </cfRule>
  </conditionalFormatting>
  <conditionalFormatting sqref="X2 X6">
    <cfRule type="cellIs" dxfId="2209" priority="138" operator="equal">
      <formula>"화면"</formula>
    </cfRule>
  </conditionalFormatting>
  <conditionalFormatting sqref="V2">
    <cfRule type="cellIs" dxfId="2208" priority="137" operator="equal">
      <formula>"REST"</formula>
    </cfRule>
  </conditionalFormatting>
  <conditionalFormatting sqref="V2">
    <cfRule type="cellIs" dxfId="2207" priority="136" operator="equal">
      <formula>"REST"</formula>
    </cfRule>
  </conditionalFormatting>
  <conditionalFormatting sqref="AC3 AE3:AF3">
    <cfRule type="cellIs" dxfId="2206" priority="133" operator="equal">
      <formula>"수정-신규"</formula>
    </cfRule>
    <cfRule type="cellIs" dxfId="2205" priority="134" operator="equal">
      <formula>"수정"</formula>
    </cfRule>
    <cfRule type="cellIs" dxfId="2204" priority="135" operator="equal">
      <formula>"신규"</formula>
    </cfRule>
  </conditionalFormatting>
  <conditionalFormatting sqref="Y3">
    <cfRule type="cellIs" dxfId="2203" priority="132" operator="equal">
      <formula>"화면"</formula>
    </cfRule>
  </conditionalFormatting>
  <conditionalFormatting sqref="AD3">
    <cfRule type="cellIs" dxfId="2202" priority="127" operator="equal">
      <formula>"수정-신규"</formula>
    </cfRule>
    <cfRule type="cellIs" dxfId="2201" priority="128" operator="equal">
      <formula>"수정"</formula>
    </cfRule>
    <cfRule type="cellIs" dxfId="2200" priority="129" operator="equal">
      <formula>"신규"</formula>
    </cfRule>
  </conditionalFormatting>
  <conditionalFormatting sqref="Z3">
    <cfRule type="cellIs" dxfId="2199" priority="131" operator="equal">
      <formula>"화면"</formula>
    </cfRule>
  </conditionalFormatting>
  <conditionalFormatting sqref="AC3 AE3:AF3">
    <cfRule type="cellIs" dxfId="2198" priority="130" operator="equal">
      <formula>"수정-신규"</formula>
    </cfRule>
  </conditionalFormatting>
  <conditionalFormatting sqref="AD3">
    <cfRule type="cellIs" dxfId="2197" priority="126" operator="equal">
      <formula>"수정-신규"</formula>
    </cfRule>
  </conditionalFormatting>
  <conditionalFormatting sqref="V3">
    <cfRule type="cellIs" dxfId="2196" priority="122" operator="equal">
      <formula>"수정-신규"</formula>
    </cfRule>
  </conditionalFormatting>
  <conditionalFormatting sqref="V3">
    <cfRule type="cellIs" dxfId="2195" priority="123" operator="equal">
      <formula>"수정-신규"</formula>
    </cfRule>
    <cfRule type="cellIs" dxfId="2194" priority="124" operator="equal">
      <formula>"수정"</formula>
    </cfRule>
    <cfRule type="cellIs" dxfId="2193" priority="125" operator="equal">
      <formula>"신규"</formula>
    </cfRule>
  </conditionalFormatting>
  <conditionalFormatting sqref="V3">
    <cfRule type="cellIs" dxfId="2192" priority="121" operator="equal">
      <formula>"REST"</formula>
    </cfRule>
  </conditionalFormatting>
  <conditionalFormatting sqref="X3">
    <cfRule type="cellIs" dxfId="2191" priority="120" operator="equal">
      <formula>"화면"</formula>
    </cfRule>
  </conditionalFormatting>
  <conditionalFormatting sqref="V3">
    <cfRule type="cellIs" dxfId="2190" priority="119" operator="equal">
      <formula>"REST"</formula>
    </cfRule>
  </conditionalFormatting>
  <conditionalFormatting sqref="V3">
    <cfRule type="cellIs" dxfId="2189" priority="118" operator="equal">
      <formula>"REST"</formula>
    </cfRule>
  </conditionalFormatting>
  <conditionalFormatting sqref="AE4:AF4 AC4">
    <cfRule type="cellIs" dxfId="2188" priority="115" operator="equal">
      <formula>"수정-신규"</formula>
    </cfRule>
    <cfRule type="cellIs" dxfId="2187" priority="116" operator="equal">
      <formula>"수정"</formula>
    </cfRule>
    <cfRule type="cellIs" dxfId="2186" priority="117" operator="equal">
      <formula>"신규"</formula>
    </cfRule>
  </conditionalFormatting>
  <conditionalFormatting sqref="Y4">
    <cfRule type="cellIs" dxfId="2185" priority="114" operator="equal">
      <formula>"화면"</formula>
    </cfRule>
  </conditionalFormatting>
  <conditionalFormatting sqref="AD4">
    <cfRule type="cellIs" dxfId="2184" priority="109" operator="equal">
      <formula>"수정-신규"</formula>
    </cfRule>
    <cfRule type="cellIs" dxfId="2183" priority="110" operator="equal">
      <formula>"수정"</formula>
    </cfRule>
    <cfRule type="cellIs" dxfId="2182" priority="111" operator="equal">
      <formula>"신규"</formula>
    </cfRule>
  </conditionalFormatting>
  <conditionalFormatting sqref="Z4">
    <cfRule type="cellIs" dxfId="2181" priority="113" operator="equal">
      <formula>"화면"</formula>
    </cfRule>
  </conditionalFormatting>
  <conditionalFormatting sqref="AE4:AF4 AC4">
    <cfRule type="cellIs" dxfId="2180" priority="112" operator="equal">
      <formula>"수정-신규"</formula>
    </cfRule>
  </conditionalFormatting>
  <conditionalFormatting sqref="AD4">
    <cfRule type="cellIs" dxfId="2179" priority="108" operator="equal">
      <formula>"수정-신규"</formula>
    </cfRule>
  </conditionalFormatting>
  <conditionalFormatting sqref="V4">
    <cfRule type="cellIs" dxfId="2178" priority="104" operator="equal">
      <formula>"수정-신규"</formula>
    </cfRule>
  </conditionalFormatting>
  <conditionalFormatting sqref="V4">
    <cfRule type="cellIs" dxfId="2177" priority="105" operator="equal">
      <formula>"수정-신규"</formula>
    </cfRule>
    <cfRule type="cellIs" dxfId="2176" priority="106" operator="equal">
      <formula>"수정"</formula>
    </cfRule>
    <cfRule type="cellIs" dxfId="2175" priority="107" operator="equal">
      <formula>"신규"</formula>
    </cfRule>
  </conditionalFormatting>
  <conditionalFormatting sqref="V4">
    <cfRule type="cellIs" dxfId="2174" priority="103" operator="equal">
      <formula>"REST"</formula>
    </cfRule>
  </conditionalFormatting>
  <conditionalFormatting sqref="X4">
    <cfRule type="cellIs" dxfId="2173" priority="102" operator="equal">
      <formula>"화면"</formula>
    </cfRule>
  </conditionalFormatting>
  <conditionalFormatting sqref="V4">
    <cfRule type="cellIs" dxfId="2172" priority="101" operator="equal">
      <formula>"REST"</formula>
    </cfRule>
  </conditionalFormatting>
  <conditionalFormatting sqref="V4">
    <cfRule type="cellIs" dxfId="2171" priority="100" operator="equal">
      <formula>"REST"</formula>
    </cfRule>
  </conditionalFormatting>
  <conditionalFormatting sqref="AE5:AF5 AC5">
    <cfRule type="cellIs" dxfId="2170" priority="97" operator="equal">
      <formula>"수정-신규"</formula>
    </cfRule>
    <cfRule type="cellIs" dxfId="2169" priority="98" operator="equal">
      <formula>"수정"</formula>
    </cfRule>
    <cfRule type="cellIs" dxfId="2168" priority="99" operator="equal">
      <formula>"신규"</formula>
    </cfRule>
  </conditionalFormatting>
  <conditionalFormatting sqref="Y5">
    <cfRule type="cellIs" dxfId="2167" priority="96" operator="equal">
      <formula>"화면"</formula>
    </cfRule>
  </conditionalFormatting>
  <conditionalFormatting sqref="AD5">
    <cfRule type="cellIs" dxfId="2166" priority="91" operator="equal">
      <formula>"수정-신규"</formula>
    </cfRule>
    <cfRule type="cellIs" dxfId="2165" priority="92" operator="equal">
      <formula>"수정"</formula>
    </cfRule>
    <cfRule type="cellIs" dxfId="2164" priority="93" operator="equal">
      <formula>"신규"</formula>
    </cfRule>
  </conditionalFormatting>
  <conditionalFormatting sqref="Z5">
    <cfRule type="cellIs" dxfId="2163" priority="95" operator="equal">
      <formula>"화면"</formula>
    </cfRule>
  </conditionalFormatting>
  <conditionalFormatting sqref="AE5:AF5 AC5">
    <cfRule type="cellIs" dxfId="2162" priority="94" operator="equal">
      <formula>"수정-신규"</formula>
    </cfRule>
  </conditionalFormatting>
  <conditionalFormatting sqref="AD5">
    <cfRule type="cellIs" dxfId="2161" priority="90" operator="equal">
      <formula>"수정-신규"</formula>
    </cfRule>
  </conditionalFormatting>
  <conditionalFormatting sqref="V5">
    <cfRule type="cellIs" dxfId="2160" priority="86" operator="equal">
      <formula>"수정-신규"</formula>
    </cfRule>
  </conditionalFormatting>
  <conditionalFormatting sqref="V5">
    <cfRule type="cellIs" dxfId="2159" priority="87" operator="equal">
      <formula>"수정-신규"</formula>
    </cfRule>
    <cfRule type="cellIs" dxfId="2158" priority="88" operator="equal">
      <formula>"수정"</formula>
    </cfRule>
    <cfRule type="cellIs" dxfId="2157" priority="89" operator="equal">
      <formula>"신규"</formula>
    </cfRule>
  </conditionalFormatting>
  <conditionalFormatting sqref="V5">
    <cfRule type="cellIs" dxfId="2156" priority="85" operator="equal">
      <formula>"REST"</formula>
    </cfRule>
  </conditionalFormatting>
  <conditionalFormatting sqref="X5">
    <cfRule type="cellIs" dxfId="2155" priority="84" operator="equal">
      <formula>"화면"</formula>
    </cfRule>
  </conditionalFormatting>
  <conditionalFormatting sqref="V5">
    <cfRule type="cellIs" dxfId="2154" priority="83" operator="equal">
      <formula>"REST"</formula>
    </cfRule>
  </conditionalFormatting>
  <conditionalFormatting sqref="V5">
    <cfRule type="cellIs" dxfId="2153" priority="82" operator="equal">
      <formula>"REST"</formula>
    </cfRule>
  </conditionalFormatting>
  <conditionalFormatting sqref="V6">
    <cfRule type="cellIs" dxfId="2152" priority="78" operator="equal">
      <formula>"수정-신규"</formula>
    </cfRule>
  </conditionalFormatting>
  <conditionalFormatting sqref="V6">
    <cfRule type="cellIs" dxfId="2151" priority="79" operator="equal">
      <formula>"수정-신규"</formula>
    </cfRule>
    <cfRule type="cellIs" dxfId="2150" priority="80" operator="equal">
      <formula>"수정"</formula>
    </cfRule>
    <cfRule type="cellIs" dxfId="2149" priority="81" operator="equal">
      <formula>"신규"</formula>
    </cfRule>
  </conditionalFormatting>
  <conditionalFormatting sqref="V6">
    <cfRule type="cellIs" dxfId="2148" priority="77" operator="equal">
      <formula>"REST"</formula>
    </cfRule>
  </conditionalFormatting>
  <conditionalFormatting sqref="V6">
    <cfRule type="cellIs" dxfId="2147" priority="76" operator="equal">
      <formula>"REST"</formula>
    </cfRule>
  </conditionalFormatting>
  <conditionalFormatting sqref="V6">
    <cfRule type="cellIs" dxfId="2146" priority="75" operator="equal">
      <formula>"REST"</formula>
    </cfRule>
  </conditionalFormatting>
  <conditionalFormatting sqref="AE9:AF9 AC9">
    <cfRule type="cellIs" dxfId="2145" priority="72" operator="equal">
      <formula>"수정-신규"</formula>
    </cfRule>
    <cfRule type="cellIs" dxfId="2144" priority="73" operator="equal">
      <formula>"수정"</formula>
    </cfRule>
    <cfRule type="cellIs" dxfId="2143" priority="74" operator="equal">
      <formula>"신규"</formula>
    </cfRule>
  </conditionalFormatting>
  <conditionalFormatting sqref="Y9">
    <cfRule type="cellIs" dxfId="2142" priority="71" operator="equal">
      <formula>"화면"</formula>
    </cfRule>
  </conditionalFormatting>
  <conditionalFormatting sqref="AD9">
    <cfRule type="cellIs" dxfId="2141" priority="66" operator="equal">
      <formula>"수정-신규"</formula>
    </cfRule>
    <cfRule type="cellIs" dxfId="2140" priority="67" operator="equal">
      <formula>"수정"</formula>
    </cfRule>
    <cfRule type="cellIs" dxfId="2139" priority="68" operator="equal">
      <formula>"신규"</formula>
    </cfRule>
  </conditionalFormatting>
  <conditionalFormatting sqref="Z9">
    <cfRule type="cellIs" dxfId="2138" priority="70" operator="equal">
      <formula>"화면"</formula>
    </cfRule>
  </conditionalFormatting>
  <conditionalFormatting sqref="AE9:AF9 AC9">
    <cfRule type="cellIs" dxfId="2137" priority="69" operator="equal">
      <formula>"수정-신규"</formula>
    </cfRule>
  </conditionalFormatting>
  <conditionalFormatting sqref="AD9">
    <cfRule type="cellIs" dxfId="2136" priority="65" operator="equal">
      <formula>"수정-신규"</formula>
    </cfRule>
  </conditionalFormatting>
  <conditionalFormatting sqref="V9">
    <cfRule type="cellIs" dxfId="2135" priority="61" operator="equal">
      <formula>"수정-신규"</formula>
    </cfRule>
  </conditionalFormatting>
  <conditionalFormatting sqref="V9">
    <cfRule type="cellIs" dxfId="2134" priority="62" operator="equal">
      <formula>"수정-신규"</formula>
    </cfRule>
    <cfRule type="cellIs" dxfId="2133" priority="63" operator="equal">
      <formula>"수정"</formula>
    </cfRule>
    <cfRule type="cellIs" dxfId="2132" priority="64" operator="equal">
      <formula>"신규"</formula>
    </cfRule>
  </conditionalFormatting>
  <conditionalFormatting sqref="V9">
    <cfRule type="cellIs" dxfId="2131" priority="60" operator="equal">
      <formula>"REST"</formula>
    </cfRule>
  </conditionalFormatting>
  <conditionalFormatting sqref="X9">
    <cfRule type="cellIs" dxfId="2130" priority="59" operator="equal">
      <formula>"화면"</formula>
    </cfRule>
  </conditionalFormatting>
  <conditionalFormatting sqref="V9">
    <cfRule type="cellIs" dxfId="2129" priority="58" operator="equal">
      <formula>"REST"</formula>
    </cfRule>
  </conditionalFormatting>
  <conditionalFormatting sqref="V9">
    <cfRule type="cellIs" dxfId="2128" priority="57" operator="equal">
      <formula>"REST"</formula>
    </cfRule>
  </conditionalFormatting>
  <conditionalFormatting sqref="AE8:AF8 AC8">
    <cfRule type="cellIs" dxfId="2127" priority="54" operator="equal">
      <formula>"수정-신규"</formula>
    </cfRule>
    <cfRule type="cellIs" dxfId="2126" priority="55" operator="equal">
      <formula>"수정"</formula>
    </cfRule>
    <cfRule type="cellIs" dxfId="2125" priority="56" operator="equal">
      <formula>"신규"</formula>
    </cfRule>
  </conditionalFormatting>
  <conditionalFormatting sqref="Y8">
    <cfRule type="cellIs" dxfId="2124" priority="53" operator="equal">
      <formula>"화면"</formula>
    </cfRule>
  </conditionalFormatting>
  <conditionalFormatting sqref="AD8">
    <cfRule type="cellIs" dxfId="2123" priority="48" operator="equal">
      <formula>"수정-신규"</formula>
    </cfRule>
    <cfRule type="cellIs" dxfId="2122" priority="49" operator="equal">
      <formula>"수정"</formula>
    </cfRule>
    <cfRule type="cellIs" dxfId="2121" priority="50" operator="equal">
      <formula>"신규"</formula>
    </cfRule>
  </conditionalFormatting>
  <conditionalFormatting sqref="Z8">
    <cfRule type="cellIs" dxfId="2120" priority="52" operator="equal">
      <formula>"화면"</formula>
    </cfRule>
  </conditionalFormatting>
  <conditionalFormatting sqref="AE8:AF8 AC8">
    <cfRule type="cellIs" dxfId="2119" priority="51" operator="equal">
      <formula>"수정-신규"</formula>
    </cfRule>
  </conditionalFormatting>
  <conditionalFormatting sqref="AD8">
    <cfRule type="cellIs" dxfId="2118" priority="47" operator="equal">
      <formula>"수정-신규"</formula>
    </cfRule>
  </conditionalFormatting>
  <conditionalFormatting sqref="V8">
    <cfRule type="cellIs" dxfId="2117" priority="43" operator="equal">
      <formula>"수정-신규"</formula>
    </cfRule>
  </conditionalFormatting>
  <conditionalFormatting sqref="V8">
    <cfRule type="cellIs" dxfId="2116" priority="44" operator="equal">
      <formula>"수정-신규"</formula>
    </cfRule>
    <cfRule type="cellIs" dxfId="2115" priority="45" operator="equal">
      <formula>"수정"</formula>
    </cfRule>
    <cfRule type="cellIs" dxfId="2114" priority="46" operator="equal">
      <formula>"신규"</formula>
    </cfRule>
  </conditionalFormatting>
  <conditionalFormatting sqref="V8">
    <cfRule type="cellIs" dxfId="2113" priority="42" operator="equal">
      <formula>"REST"</formula>
    </cfRule>
  </conditionalFormatting>
  <conditionalFormatting sqref="X8">
    <cfRule type="cellIs" dxfId="2112" priority="41" operator="equal">
      <formula>"화면"</formula>
    </cfRule>
  </conditionalFormatting>
  <conditionalFormatting sqref="V8">
    <cfRule type="cellIs" dxfId="2111" priority="40" operator="equal">
      <formula>"REST"</formula>
    </cfRule>
  </conditionalFormatting>
  <conditionalFormatting sqref="V8">
    <cfRule type="cellIs" dxfId="2110" priority="39" operator="equal">
      <formula>"REST"</formula>
    </cfRule>
  </conditionalFormatting>
  <conditionalFormatting sqref="AE7:AF7 AC7">
    <cfRule type="cellIs" dxfId="2109" priority="36" operator="equal">
      <formula>"수정-신규"</formula>
    </cfRule>
    <cfRule type="cellIs" dxfId="2108" priority="37" operator="equal">
      <formula>"수정"</formula>
    </cfRule>
    <cfRule type="cellIs" dxfId="2107" priority="38" operator="equal">
      <formula>"신규"</formula>
    </cfRule>
  </conditionalFormatting>
  <conditionalFormatting sqref="Y7">
    <cfRule type="cellIs" dxfId="2106" priority="35" operator="equal">
      <formula>"화면"</formula>
    </cfRule>
  </conditionalFormatting>
  <conditionalFormatting sqref="AD7">
    <cfRule type="cellIs" dxfId="2105" priority="30" operator="equal">
      <formula>"수정-신규"</formula>
    </cfRule>
    <cfRule type="cellIs" dxfId="2104" priority="31" operator="equal">
      <formula>"수정"</formula>
    </cfRule>
    <cfRule type="cellIs" dxfId="2103" priority="32" operator="equal">
      <formula>"신규"</formula>
    </cfRule>
  </conditionalFormatting>
  <conditionalFormatting sqref="Z7">
    <cfRule type="cellIs" dxfId="2102" priority="34" operator="equal">
      <formula>"화면"</formula>
    </cfRule>
  </conditionalFormatting>
  <conditionalFormatting sqref="AE7:AF7 AC7">
    <cfRule type="cellIs" dxfId="2101" priority="33" operator="equal">
      <formula>"수정-신규"</formula>
    </cfRule>
  </conditionalFormatting>
  <conditionalFormatting sqref="AD7">
    <cfRule type="cellIs" dxfId="2100" priority="29" operator="equal">
      <formula>"수정-신규"</formula>
    </cfRule>
  </conditionalFormatting>
  <conditionalFormatting sqref="V7">
    <cfRule type="cellIs" dxfId="2099" priority="25" operator="equal">
      <formula>"수정-신규"</formula>
    </cfRule>
  </conditionalFormatting>
  <conditionalFormatting sqref="V7">
    <cfRule type="cellIs" dxfId="2098" priority="26" operator="equal">
      <formula>"수정-신규"</formula>
    </cfRule>
    <cfRule type="cellIs" dxfId="2097" priority="27" operator="equal">
      <formula>"수정"</formula>
    </cfRule>
    <cfRule type="cellIs" dxfId="2096" priority="28" operator="equal">
      <formula>"신규"</formula>
    </cfRule>
  </conditionalFormatting>
  <conditionalFormatting sqref="V7">
    <cfRule type="cellIs" dxfId="2095" priority="24" operator="equal">
      <formula>"REST"</formula>
    </cfRule>
  </conditionalFormatting>
  <conditionalFormatting sqref="X7">
    <cfRule type="cellIs" dxfId="2094" priority="23" operator="equal">
      <formula>"화면"</formula>
    </cfRule>
  </conditionalFormatting>
  <conditionalFormatting sqref="V7">
    <cfRule type="cellIs" dxfId="2093" priority="22" operator="equal">
      <formula>"REST"</formula>
    </cfRule>
  </conditionalFormatting>
  <conditionalFormatting sqref="V7">
    <cfRule type="cellIs" dxfId="2092" priority="21" operator="equal">
      <formula>"REST"</formula>
    </cfRule>
  </conditionalFormatting>
  <conditionalFormatting sqref="V149">
    <cfRule type="cellIs" dxfId="2091" priority="20" operator="equal">
      <formula>"REST"</formula>
    </cfRule>
  </conditionalFormatting>
  <conditionalFormatting sqref="V145">
    <cfRule type="cellIs" dxfId="2090" priority="19" operator="equal">
      <formula>"REST"</formula>
    </cfRule>
  </conditionalFormatting>
  <conditionalFormatting sqref="V130">
    <cfRule type="cellIs" dxfId="2089" priority="18" operator="equal">
      <formula>"REST"</formula>
    </cfRule>
  </conditionalFormatting>
  <conditionalFormatting sqref="V131">
    <cfRule type="cellIs" dxfId="2088" priority="16" operator="equal">
      <formula>"REST"</formula>
    </cfRule>
  </conditionalFormatting>
  <conditionalFormatting sqref="V146">
    <cfRule type="cellIs" dxfId="2087" priority="14" operator="equal">
      <formula>"REST"</formula>
    </cfRule>
  </conditionalFormatting>
  <conditionalFormatting sqref="V157">
    <cfRule type="cellIs" dxfId="2086" priority="13" operator="equal">
      <formula>"REST"</formula>
    </cfRule>
  </conditionalFormatting>
  <conditionalFormatting sqref="V147">
    <cfRule type="cellIs" dxfId="2085" priority="11" operator="equal">
      <formula>"REST"</formula>
    </cfRule>
  </conditionalFormatting>
  <conditionalFormatting sqref="V158">
    <cfRule type="cellIs" dxfId="2084" priority="10" operator="equal">
      <formula>"REST"</formula>
    </cfRule>
  </conditionalFormatting>
  <conditionalFormatting sqref="V159:V160">
    <cfRule type="cellIs" dxfId="2083" priority="7" operator="equal">
      <formula>"REST"</formula>
    </cfRule>
  </conditionalFormatting>
  <conditionalFormatting sqref="V148">
    <cfRule type="cellIs" dxfId="2082" priority="6" operator="equal">
      <formula>"REST"</formula>
    </cfRule>
  </conditionalFormatting>
  <conditionalFormatting sqref="V161">
    <cfRule type="cellIs" dxfId="2081" priority="4" operator="equal">
      <formula>"REST"</formula>
    </cfRule>
  </conditionalFormatting>
  <conditionalFormatting sqref="V136">
    <cfRule type="cellIs" dxfId="2080" priority="3" operator="equal">
      <formula>"REST"</formula>
    </cfRule>
  </conditionalFormatting>
  <conditionalFormatting sqref="V154">
    <cfRule type="cellIs" dxfId="2079" priority="2" operator="equal">
      <formula>"REST"</formula>
    </cfRule>
  </conditionalFormatting>
  <conditionalFormatting sqref="V164">
    <cfRule type="cellIs" dxfId="2078" priority="1" operator="equal">
      <formula>"REST"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M2160"/>
  <sheetViews>
    <sheetView topLeftCell="A28" zoomScale="55" zoomScaleNormal="55" workbookViewId="0">
      <selection activeCell="C3" sqref="C3:E67"/>
    </sheetView>
  </sheetViews>
  <sheetFormatPr defaultRowHeight="13.2"/>
  <cols>
    <col min="1" max="3" width="8.796875" style="2"/>
    <col min="4" max="4" width="60.19921875" style="2" bestFit="1" customWidth="1"/>
    <col min="5" max="5" width="28.69921875" style="2" bestFit="1" customWidth="1"/>
    <col min="6" max="258" width="8.796875" style="2"/>
    <col min="259" max="259" width="60.19921875" style="2" bestFit="1" customWidth="1"/>
    <col min="260" max="260" width="28.69921875" style="2" bestFit="1" customWidth="1"/>
    <col min="261" max="514" width="8.796875" style="2"/>
    <col min="515" max="515" width="60.19921875" style="2" bestFit="1" customWidth="1"/>
    <col min="516" max="516" width="28.69921875" style="2" bestFit="1" customWidth="1"/>
    <col min="517" max="770" width="8.796875" style="2"/>
    <col min="771" max="771" width="60.19921875" style="2" bestFit="1" customWidth="1"/>
    <col min="772" max="772" width="28.69921875" style="2" bestFit="1" customWidth="1"/>
    <col min="773" max="1026" width="8.796875" style="2"/>
    <col min="1027" max="1027" width="60.19921875" style="2" bestFit="1" customWidth="1"/>
    <col min="1028" max="1028" width="28.69921875" style="2" bestFit="1" customWidth="1"/>
    <col min="1029" max="1282" width="8.796875" style="2"/>
    <col min="1283" max="1283" width="60.19921875" style="2" bestFit="1" customWidth="1"/>
    <col min="1284" max="1284" width="28.69921875" style="2" bestFit="1" customWidth="1"/>
    <col min="1285" max="1538" width="8.796875" style="2"/>
    <col min="1539" max="1539" width="60.19921875" style="2" bestFit="1" customWidth="1"/>
    <col min="1540" max="1540" width="28.69921875" style="2" bestFit="1" customWidth="1"/>
    <col min="1541" max="1794" width="8.796875" style="2"/>
    <col min="1795" max="1795" width="60.19921875" style="2" bestFit="1" customWidth="1"/>
    <col min="1796" max="1796" width="28.69921875" style="2" bestFit="1" customWidth="1"/>
    <col min="1797" max="2050" width="8.796875" style="2"/>
    <col min="2051" max="2051" width="60.19921875" style="2" bestFit="1" customWidth="1"/>
    <col min="2052" max="2052" width="28.69921875" style="2" bestFit="1" customWidth="1"/>
    <col min="2053" max="2306" width="8.796875" style="2"/>
    <col min="2307" max="2307" width="60.19921875" style="2" bestFit="1" customWidth="1"/>
    <col min="2308" max="2308" width="28.69921875" style="2" bestFit="1" customWidth="1"/>
    <col min="2309" max="2562" width="8.796875" style="2"/>
    <col min="2563" max="2563" width="60.19921875" style="2" bestFit="1" customWidth="1"/>
    <col min="2564" max="2564" width="28.69921875" style="2" bestFit="1" customWidth="1"/>
    <col min="2565" max="2818" width="8.796875" style="2"/>
    <col min="2819" max="2819" width="60.19921875" style="2" bestFit="1" customWidth="1"/>
    <col min="2820" max="2820" width="28.69921875" style="2" bestFit="1" customWidth="1"/>
    <col min="2821" max="3074" width="8.796875" style="2"/>
    <col min="3075" max="3075" width="60.19921875" style="2" bestFit="1" customWidth="1"/>
    <col min="3076" max="3076" width="28.69921875" style="2" bestFit="1" customWidth="1"/>
    <col min="3077" max="3330" width="8.796875" style="2"/>
    <col min="3331" max="3331" width="60.19921875" style="2" bestFit="1" customWidth="1"/>
    <col min="3332" max="3332" width="28.69921875" style="2" bestFit="1" customWidth="1"/>
    <col min="3333" max="3586" width="8.796875" style="2"/>
    <col min="3587" max="3587" width="60.19921875" style="2" bestFit="1" customWidth="1"/>
    <col min="3588" max="3588" width="28.69921875" style="2" bestFit="1" customWidth="1"/>
    <col min="3589" max="3842" width="8.796875" style="2"/>
    <col min="3843" max="3843" width="60.19921875" style="2" bestFit="1" customWidth="1"/>
    <col min="3844" max="3844" width="28.69921875" style="2" bestFit="1" customWidth="1"/>
    <col min="3845" max="4098" width="8.796875" style="2"/>
    <col min="4099" max="4099" width="60.19921875" style="2" bestFit="1" customWidth="1"/>
    <col min="4100" max="4100" width="28.69921875" style="2" bestFit="1" customWidth="1"/>
    <col min="4101" max="4354" width="8.796875" style="2"/>
    <col min="4355" max="4355" width="60.19921875" style="2" bestFit="1" customWidth="1"/>
    <col min="4356" max="4356" width="28.69921875" style="2" bestFit="1" customWidth="1"/>
    <col min="4357" max="4610" width="8.796875" style="2"/>
    <col min="4611" max="4611" width="60.19921875" style="2" bestFit="1" customWidth="1"/>
    <col min="4612" max="4612" width="28.69921875" style="2" bestFit="1" customWidth="1"/>
    <col min="4613" max="4866" width="8.796875" style="2"/>
    <col min="4867" max="4867" width="60.19921875" style="2" bestFit="1" customWidth="1"/>
    <col min="4868" max="4868" width="28.69921875" style="2" bestFit="1" customWidth="1"/>
    <col min="4869" max="5122" width="8.796875" style="2"/>
    <col min="5123" max="5123" width="60.19921875" style="2" bestFit="1" customWidth="1"/>
    <col min="5124" max="5124" width="28.69921875" style="2" bestFit="1" customWidth="1"/>
    <col min="5125" max="5378" width="8.796875" style="2"/>
    <col min="5379" max="5379" width="60.19921875" style="2" bestFit="1" customWidth="1"/>
    <col min="5380" max="5380" width="28.69921875" style="2" bestFit="1" customWidth="1"/>
    <col min="5381" max="5634" width="8.796875" style="2"/>
    <col min="5635" max="5635" width="60.19921875" style="2" bestFit="1" customWidth="1"/>
    <col min="5636" max="5636" width="28.69921875" style="2" bestFit="1" customWidth="1"/>
    <col min="5637" max="5890" width="8.796875" style="2"/>
    <col min="5891" max="5891" width="60.19921875" style="2" bestFit="1" customWidth="1"/>
    <col min="5892" max="5892" width="28.69921875" style="2" bestFit="1" customWidth="1"/>
    <col min="5893" max="6146" width="8.796875" style="2"/>
    <col min="6147" max="6147" width="60.19921875" style="2" bestFit="1" customWidth="1"/>
    <col min="6148" max="6148" width="28.69921875" style="2" bestFit="1" customWidth="1"/>
    <col min="6149" max="6402" width="8.796875" style="2"/>
    <col min="6403" max="6403" width="60.19921875" style="2" bestFit="1" customWidth="1"/>
    <col min="6404" max="6404" width="28.69921875" style="2" bestFit="1" customWidth="1"/>
    <col min="6405" max="6658" width="8.796875" style="2"/>
    <col min="6659" max="6659" width="60.19921875" style="2" bestFit="1" customWidth="1"/>
    <col min="6660" max="6660" width="28.69921875" style="2" bestFit="1" customWidth="1"/>
    <col min="6661" max="6914" width="8.796875" style="2"/>
    <col min="6915" max="6915" width="60.19921875" style="2" bestFit="1" customWidth="1"/>
    <col min="6916" max="6916" width="28.69921875" style="2" bestFit="1" customWidth="1"/>
    <col min="6917" max="7170" width="8.796875" style="2"/>
    <col min="7171" max="7171" width="60.19921875" style="2" bestFit="1" customWidth="1"/>
    <col min="7172" max="7172" width="28.69921875" style="2" bestFit="1" customWidth="1"/>
    <col min="7173" max="7426" width="8.796875" style="2"/>
    <col min="7427" max="7427" width="60.19921875" style="2" bestFit="1" customWidth="1"/>
    <col min="7428" max="7428" width="28.69921875" style="2" bestFit="1" customWidth="1"/>
    <col min="7429" max="7682" width="8.796875" style="2"/>
    <col min="7683" max="7683" width="60.19921875" style="2" bestFit="1" customWidth="1"/>
    <col min="7684" max="7684" width="28.69921875" style="2" bestFit="1" customWidth="1"/>
    <col min="7685" max="7938" width="8.796875" style="2"/>
    <col min="7939" max="7939" width="60.19921875" style="2" bestFit="1" customWidth="1"/>
    <col min="7940" max="7940" width="28.69921875" style="2" bestFit="1" customWidth="1"/>
    <col min="7941" max="8194" width="8.796875" style="2"/>
    <col min="8195" max="8195" width="60.19921875" style="2" bestFit="1" customWidth="1"/>
    <col min="8196" max="8196" width="28.69921875" style="2" bestFit="1" customWidth="1"/>
    <col min="8197" max="8450" width="8.796875" style="2"/>
    <col min="8451" max="8451" width="60.19921875" style="2" bestFit="1" customWidth="1"/>
    <col min="8452" max="8452" width="28.69921875" style="2" bestFit="1" customWidth="1"/>
    <col min="8453" max="8706" width="8.796875" style="2"/>
    <col min="8707" max="8707" width="60.19921875" style="2" bestFit="1" customWidth="1"/>
    <col min="8708" max="8708" width="28.69921875" style="2" bestFit="1" customWidth="1"/>
    <col min="8709" max="8962" width="8.796875" style="2"/>
    <col min="8963" max="8963" width="60.19921875" style="2" bestFit="1" customWidth="1"/>
    <col min="8964" max="8964" width="28.69921875" style="2" bestFit="1" customWidth="1"/>
    <col min="8965" max="9218" width="8.796875" style="2"/>
    <col min="9219" max="9219" width="60.19921875" style="2" bestFit="1" customWidth="1"/>
    <col min="9220" max="9220" width="28.69921875" style="2" bestFit="1" customWidth="1"/>
    <col min="9221" max="9474" width="8.796875" style="2"/>
    <col min="9475" max="9475" width="60.19921875" style="2" bestFit="1" customWidth="1"/>
    <col min="9476" max="9476" width="28.69921875" style="2" bestFit="1" customWidth="1"/>
    <col min="9477" max="9730" width="8.796875" style="2"/>
    <col min="9731" max="9731" width="60.19921875" style="2" bestFit="1" customWidth="1"/>
    <col min="9732" max="9732" width="28.69921875" style="2" bestFit="1" customWidth="1"/>
    <col min="9733" max="9986" width="8.796875" style="2"/>
    <col min="9987" max="9987" width="60.19921875" style="2" bestFit="1" customWidth="1"/>
    <col min="9988" max="9988" width="28.69921875" style="2" bestFit="1" customWidth="1"/>
    <col min="9989" max="10242" width="8.796875" style="2"/>
    <col min="10243" max="10243" width="60.19921875" style="2" bestFit="1" customWidth="1"/>
    <col min="10244" max="10244" width="28.69921875" style="2" bestFit="1" customWidth="1"/>
    <col min="10245" max="10498" width="8.796875" style="2"/>
    <col min="10499" max="10499" width="60.19921875" style="2" bestFit="1" customWidth="1"/>
    <col min="10500" max="10500" width="28.69921875" style="2" bestFit="1" customWidth="1"/>
    <col min="10501" max="10754" width="8.796875" style="2"/>
    <col min="10755" max="10755" width="60.19921875" style="2" bestFit="1" customWidth="1"/>
    <col min="10756" max="10756" width="28.69921875" style="2" bestFit="1" customWidth="1"/>
    <col min="10757" max="11010" width="8.796875" style="2"/>
    <col min="11011" max="11011" width="60.19921875" style="2" bestFit="1" customWidth="1"/>
    <col min="11012" max="11012" width="28.69921875" style="2" bestFit="1" customWidth="1"/>
    <col min="11013" max="11266" width="8.796875" style="2"/>
    <col min="11267" max="11267" width="60.19921875" style="2" bestFit="1" customWidth="1"/>
    <col min="11268" max="11268" width="28.69921875" style="2" bestFit="1" customWidth="1"/>
    <col min="11269" max="11522" width="8.796875" style="2"/>
    <col min="11523" max="11523" width="60.19921875" style="2" bestFit="1" customWidth="1"/>
    <col min="11524" max="11524" width="28.69921875" style="2" bestFit="1" customWidth="1"/>
    <col min="11525" max="11778" width="8.796875" style="2"/>
    <col min="11779" max="11779" width="60.19921875" style="2" bestFit="1" customWidth="1"/>
    <col min="11780" max="11780" width="28.69921875" style="2" bestFit="1" customWidth="1"/>
    <col min="11781" max="12034" width="8.796875" style="2"/>
    <col min="12035" max="12035" width="60.19921875" style="2" bestFit="1" customWidth="1"/>
    <col min="12036" max="12036" width="28.69921875" style="2" bestFit="1" customWidth="1"/>
    <col min="12037" max="12290" width="8.796875" style="2"/>
    <col min="12291" max="12291" width="60.19921875" style="2" bestFit="1" customWidth="1"/>
    <col min="12292" max="12292" width="28.69921875" style="2" bestFit="1" customWidth="1"/>
    <col min="12293" max="12546" width="8.796875" style="2"/>
    <col min="12547" max="12547" width="60.19921875" style="2" bestFit="1" customWidth="1"/>
    <col min="12548" max="12548" width="28.69921875" style="2" bestFit="1" customWidth="1"/>
    <col min="12549" max="12802" width="8.796875" style="2"/>
    <col min="12803" max="12803" width="60.19921875" style="2" bestFit="1" customWidth="1"/>
    <col min="12804" max="12804" width="28.69921875" style="2" bestFit="1" customWidth="1"/>
    <col min="12805" max="13058" width="8.796875" style="2"/>
    <col min="13059" max="13059" width="60.19921875" style="2" bestFit="1" customWidth="1"/>
    <col min="13060" max="13060" width="28.69921875" style="2" bestFit="1" customWidth="1"/>
    <col min="13061" max="13314" width="8.796875" style="2"/>
    <col min="13315" max="13315" width="60.19921875" style="2" bestFit="1" customWidth="1"/>
    <col min="13316" max="13316" width="28.69921875" style="2" bestFit="1" customWidth="1"/>
    <col min="13317" max="13570" width="8.796875" style="2"/>
    <col min="13571" max="13571" width="60.19921875" style="2" bestFit="1" customWidth="1"/>
    <col min="13572" max="13572" width="28.69921875" style="2" bestFit="1" customWidth="1"/>
    <col min="13573" max="13826" width="8.796875" style="2"/>
    <col min="13827" max="13827" width="60.19921875" style="2" bestFit="1" customWidth="1"/>
    <col min="13828" max="13828" width="28.69921875" style="2" bestFit="1" customWidth="1"/>
    <col min="13829" max="14082" width="8.796875" style="2"/>
    <col min="14083" max="14083" width="60.19921875" style="2" bestFit="1" customWidth="1"/>
    <col min="14084" max="14084" width="28.69921875" style="2" bestFit="1" customWidth="1"/>
    <col min="14085" max="14338" width="8.796875" style="2"/>
    <col min="14339" max="14339" width="60.19921875" style="2" bestFit="1" customWidth="1"/>
    <col min="14340" max="14340" width="28.69921875" style="2" bestFit="1" customWidth="1"/>
    <col min="14341" max="14594" width="8.796875" style="2"/>
    <col min="14595" max="14595" width="60.19921875" style="2" bestFit="1" customWidth="1"/>
    <col min="14596" max="14596" width="28.69921875" style="2" bestFit="1" customWidth="1"/>
    <col min="14597" max="14850" width="8.796875" style="2"/>
    <col min="14851" max="14851" width="60.19921875" style="2" bestFit="1" customWidth="1"/>
    <col min="14852" max="14852" width="28.69921875" style="2" bestFit="1" customWidth="1"/>
    <col min="14853" max="15106" width="8.796875" style="2"/>
    <col min="15107" max="15107" width="60.19921875" style="2" bestFit="1" customWidth="1"/>
    <col min="15108" max="15108" width="28.69921875" style="2" bestFit="1" customWidth="1"/>
    <col min="15109" max="15362" width="8.796875" style="2"/>
    <col min="15363" max="15363" width="60.19921875" style="2" bestFit="1" customWidth="1"/>
    <col min="15364" max="15364" width="28.69921875" style="2" bestFit="1" customWidth="1"/>
    <col min="15365" max="15618" width="8.796875" style="2"/>
    <col min="15619" max="15619" width="60.19921875" style="2" bestFit="1" customWidth="1"/>
    <col min="15620" max="15620" width="28.69921875" style="2" bestFit="1" customWidth="1"/>
    <col min="15621" max="15874" width="8.796875" style="2"/>
    <col min="15875" max="15875" width="60.19921875" style="2" bestFit="1" customWidth="1"/>
    <col min="15876" max="15876" width="28.69921875" style="2" bestFit="1" customWidth="1"/>
    <col min="15877" max="16130" width="8.796875" style="2"/>
    <col min="16131" max="16131" width="60.19921875" style="2" bestFit="1" customWidth="1"/>
    <col min="16132" max="16132" width="28.69921875" style="2" bestFit="1" customWidth="1"/>
    <col min="16133" max="16384" width="8.796875" style="2"/>
  </cols>
  <sheetData>
    <row r="1" spans="1:13" ht="37.799999999999997">
      <c r="A1" s="407" t="s">
        <v>50</v>
      </c>
      <c r="B1" s="408"/>
      <c r="C1" s="408"/>
      <c r="D1" s="408"/>
      <c r="E1" s="408"/>
      <c r="F1" s="408"/>
      <c r="G1" s="408"/>
      <c r="H1" s="408"/>
      <c r="J1" s="310" t="s">
        <v>5193</v>
      </c>
      <c r="K1" s="310"/>
    </row>
    <row r="2" spans="1:13">
      <c r="A2" s="3" t="s">
        <v>51</v>
      </c>
      <c r="B2" s="3" t="s">
        <v>52</v>
      </c>
      <c r="C2" s="3" t="s">
        <v>53</v>
      </c>
      <c r="D2" s="3" t="s">
        <v>54</v>
      </c>
      <c r="E2" s="3" t="s">
        <v>55</v>
      </c>
      <c r="F2" s="3" t="s">
        <v>57</v>
      </c>
      <c r="G2" s="3" t="s">
        <v>58</v>
      </c>
      <c r="H2" s="3" t="s">
        <v>59</v>
      </c>
    </row>
    <row r="3" spans="1:13" customFormat="1" ht="17.399999999999999">
      <c r="C3" t="s">
        <v>5393</v>
      </c>
      <c r="D3" t="s">
        <v>5393</v>
      </c>
      <c r="E3" t="s">
        <v>5393</v>
      </c>
    </row>
    <row r="4" spans="1:13" customFormat="1" ht="17.399999999999999">
      <c r="C4" t="s">
        <v>5237</v>
      </c>
      <c r="D4" t="s">
        <v>5237</v>
      </c>
      <c r="E4" t="s">
        <v>5237</v>
      </c>
    </row>
    <row r="5" spans="1:13" customFormat="1" ht="17.399999999999999">
      <c r="C5" t="s">
        <v>5236</v>
      </c>
      <c r="D5" t="s">
        <v>5236</v>
      </c>
      <c r="E5" t="s">
        <v>5236</v>
      </c>
    </row>
    <row r="6" spans="1:13" customFormat="1" ht="16.2" customHeight="1">
      <c r="C6" s="341" t="s">
        <v>5283</v>
      </c>
      <c r="E6" s="310" t="s">
        <v>5200</v>
      </c>
    </row>
    <row r="7" spans="1:13" customFormat="1" ht="16.2" customHeight="1">
      <c r="C7" s="310" t="s">
        <v>5200</v>
      </c>
      <c r="E7" s="310" t="s">
        <v>5200</v>
      </c>
    </row>
    <row r="8" spans="1:13" customFormat="1" ht="16.2" customHeight="1">
      <c r="C8" s="310" t="s">
        <v>5193</v>
      </c>
      <c r="E8" s="310" t="s">
        <v>5193</v>
      </c>
      <c r="M8" s="341" t="s">
        <v>5283</v>
      </c>
    </row>
    <row r="9" spans="1:13" customFormat="1" ht="16.2" customHeight="1">
      <c r="C9" t="s">
        <v>5431</v>
      </c>
      <c r="E9" t="s">
        <v>5432</v>
      </c>
    </row>
    <row r="10" spans="1:13" customFormat="1" ht="16.2" customHeight="1">
      <c r="C10" t="s">
        <v>26</v>
      </c>
      <c r="E10" t="s">
        <v>26</v>
      </c>
    </row>
    <row r="11" spans="1:13" customFormat="1" ht="16.2" customHeight="1">
      <c r="C11" t="s">
        <v>2847</v>
      </c>
      <c r="E11" t="s">
        <v>2847</v>
      </c>
    </row>
    <row r="12" spans="1:13" customFormat="1" ht="16.2" customHeight="1">
      <c r="C12" t="s">
        <v>2846</v>
      </c>
      <c r="E12" t="s">
        <v>2846</v>
      </c>
    </row>
    <row r="13" spans="1:13" customFormat="1" ht="16.2" customHeight="1">
      <c r="C13" t="s">
        <v>34</v>
      </c>
      <c r="E13" t="s">
        <v>34</v>
      </c>
    </row>
    <row r="14" spans="1:13" customFormat="1" ht="16.2" customHeight="1">
      <c r="C14" t="s">
        <v>29</v>
      </c>
      <c r="E14" t="s">
        <v>29</v>
      </c>
    </row>
    <row r="15" spans="1:13" customFormat="1" ht="17.399999999999999">
      <c r="C15" t="s">
        <v>25</v>
      </c>
      <c r="E15" t="s">
        <v>25</v>
      </c>
    </row>
    <row r="16" spans="1:13" customFormat="1" ht="17.399999999999999">
      <c r="C16" t="s">
        <v>2845</v>
      </c>
      <c r="E16" t="s">
        <v>2845</v>
      </c>
    </row>
    <row r="17" spans="3:12" customFormat="1" ht="16.2" customHeight="1">
      <c r="C17" t="s">
        <v>4814</v>
      </c>
      <c r="E17" t="s">
        <v>4814</v>
      </c>
    </row>
    <row r="18" spans="3:12" customFormat="1" ht="16.2" customHeight="1">
      <c r="C18" t="s">
        <v>4789</v>
      </c>
      <c r="E18" t="s">
        <v>4789</v>
      </c>
    </row>
    <row r="19" spans="3:12" customFormat="1" ht="17.399999999999999">
      <c r="C19" t="s">
        <v>4807</v>
      </c>
      <c r="E19" t="s">
        <v>4807</v>
      </c>
    </row>
    <row r="20" spans="3:12" customFormat="1" ht="17.399999999999999">
      <c r="C20" t="s">
        <v>4778</v>
      </c>
      <c r="E20" t="s">
        <v>4778</v>
      </c>
    </row>
    <row r="21" spans="3:12" customFormat="1" ht="17.399999999999999">
      <c r="C21" t="s">
        <v>4776</v>
      </c>
      <c r="E21" t="s">
        <v>4776</v>
      </c>
    </row>
    <row r="22" spans="3:12" customFormat="1" ht="16.2" customHeight="1">
      <c r="C22" s="310" t="s">
        <v>5328</v>
      </c>
      <c r="E22" s="310" t="s">
        <v>5329</v>
      </c>
      <c r="F22" t="s">
        <v>5330</v>
      </c>
    </row>
    <row r="23" spans="3:12" customFormat="1" ht="16.2" customHeight="1">
      <c r="C23" s="310" t="s">
        <v>4595</v>
      </c>
      <c r="E23" s="310" t="s">
        <v>5343</v>
      </c>
    </row>
    <row r="24" spans="3:12" customFormat="1" ht="16.2" customHeight="1">
      <c r="C24" s="310" t="s">
        <v>5344</v>
      </c>
      <c r="E24" s="310" t="s">
        <v>5346</v>
      </c>
    </row>
    <row r="25" spans="3:12" customFormat="1" ht="16.2" customHeight="1">
      <c r="C25" s="310" t="s">
        <v>5345</v>
      </c>
      <c r="E25" s="310" t="s">
        <v>2081</v>
      </c>
    </row>
    <row r="26" spans="3:12" customFormat="1" ht="16.2" customHeight="1">
      <c r="C26" s="310" t="s">
        <v>5318</v>
      </c>
      <c r="E26" s="310" t="s">
        <v>5319</v>
      </c>
    </row>
    <row r="27" spans="3:12" customFormat="1" ht="16.2" customHeight="1">
      <c r="C27" s="310" t="s">
        <v>5165</v>
      </c>
      <c r="E27" s="310" t="s">
        <v>5359</v>
      </c>
      <c r="L27" s="397" t="s">
        <v>5415</v>
      </c>
    </row>
    <row r="28" spans="3:12" customFormat="1" ht="16.2" customHeight="1">
      <c r="C28" s="310" t="s">
        <v>5212</v>
      </c>
      <c r="E28" s="310" t="s">
        <v>5213</v>
      </c>
    </row>
    <row r="29" spans="3:12" customFormat="1" ht="16.2" customHeight="1">
      <c r="C29" s="310" t="s">
        <v>5199</v>
      </c>
      <c r="E29" s="310" t="s">
        <v>5202</v>
      </c>
    </row>
    <row r="30" spans="3:12" customFormat="1" ht="16.2" customHeight="1">
      <c r="C30" s="310" t="s">
        <v>5215</v>
      </c>
      <c r="E30" s="310" t="s">
        <v>5190</v>
      </c>
    </row>
    <row r="31" spans="3:12" customFormat="1" ht="16.2" customHeight="1">
      <c r="C31" s="310" t="s">
        <v>5336</v>
      </c>
      <c r="E31" s="310" t="s">
        <v>5337</v>
      </c>
    </row>
    <row r="32" spans="3:12" customFormat="1" ht="16.2" customHeight="1">
      <c r="C32" s="4" t="s">
        <v>5412</v>
      </c>
      <c r="D32" t="s">
        <v>5416</v>
      </c>
      <c r="E32" t="s">
        <v>5419</v>
      </c>
    </row>
    <row r="33" spans="3:5" customFormat="1" ht="16.2" customHeight="1">
      <c r="C33" s="4" t="s">
        <v>5413</v>
      </c>
      <c r="D33" t="s">
        <v>5417</v>
      </c>
      <c r="E33" t="s">
        <v>5418</v>
      </c>
    </row>
    <row r="34" spans="3:5" customFormat="1" ht="16.2" customHeight="1">
      <c r="C34" s="4" t="s">
        <v>5323</v>
      </c>
      <c r="D34" t="s">
        <v>5325</v>
      </c>
      <c r="E34" s="4" t="s">
        <v>5325</v>
      </c>
    </row>
    <row r="35" spans="3:5" customFormat="1" ht="17.399999999999999">
      <c r="C35" t="s">
        <v>5241</v>
      </c>
      <c r="D35" t="s">
        <v>5243</v>
      </c>
      <c r="E35" t="s">
        <v>5244</v>
      </c>
    </row>
    <row r="36" spans="3:5" customFormat="1" ht="17.399999999999999">
      <c r="C36" t="s">
        <v>5227</v>
      </c>
      <c r="D36" t="s">
        <v>5229</v>
      </c>
      <c r="E36" t="s">
        <v>5229</v>
      </c>
    </row>
    <row r="37" spans="3:5" customFormat="1" ht="17.399999999999999">
      <c r="C37" t="s">
        <v>5230</v>
      </c>
      <c r="D37" t="s">
        <v>5229</v>
      </c>
      <c r="E37" t="s">
        <v>5229</v>
      </c>
    </row>
    <row r="38" spans="3:5" customFormat="1" ht="17.399999999999999">
      <c r="C38" t="s">
        <v>5221</v>
      </c>
      <c r="D38" t="s">
        <v>5222</v>
      </c>
      <c r="E38" t="s">
        <v>5222</v>
      </c>
    </row>
    <row r="39" spans="3:5" customFormat="1" ht="17.399999999999999">
      <c r="C39" t="s">
        <v>5219</v>
      </c>
      <c r="D39" t="s">
        <v>5220</v>
      </c>
      <c r="E39" t="s">
        <v>5220</v>
      </c>
    </row>
    <row r="40" spans="3:5" customFormat="1" ht="17.399999999999999">
      <c r="C40" t="s">
        <v>5233</v>
      </c>
      <c r="D40" t="s">
        <v>5220</v>
      </c>
      <c r="E40" t="s">
        <v>5220</v>
      </c>
    </row>
    <row r="41" spans="3:5" customFormat="1" ht="17.399999999999999">
      <c r="C41" t="s">
        <v>5234</v>
      </c>
      <c r="D41" t="s">
        <v>5220</v>
      </c>
      <c r="E41" t="s">
        <v>5220</v>
      </c>
    </row>
    <row r="42" spans="3:5" customFormat="1" ht="17.399999999999999">
      <c r="C42" t="s">
        <v>5217</v>
      </c>
      <c r="D42" t="s">
        <v>2260</v>
      </c>
      <c r="E42" t="s">
        <v>2756</v>
      </c>
    </row>
    <row r="43" spans="3:5" customFormat="1" ht="17.399999999999999">
      <c r="C43" t="s">
        <v>5216</v>
      </c>
      <c r="E43" t="s">
        <v>1206</v>
      </c>
    </row>
    <row r="44" spans="3:5" customFormat="1" ht="16.2" customHeight="1">
      <c r="C44" t="s">
        <v>5081</v>
      </c>
      <c r="E44" t="s">
        <v>5082</v>
      </c>
    </row>
    <row r="45" spans="3:5" customFormat="1" ht="16.2" customHeight="1">
      <c r="C45" t="s">
        <v>2710</v>
      </c>
      <c r="E45" t="s">
        <v>5077</v>
      </c>
    </row>
    <row r="46" spans="3:5" customFormat="1" ht="16.2" customHeight="1">
      <c r="C46" t="s">
        <v>4773</v>
      </c>
      <c r="E46" t="s">
        <v>4811</v>
      </c>
    </row>
    <row r="47" spans="3:5" customFormat="1" ht="16.2" customHeight="1">
      <c r="C47" t="s">
        <v>2</v>
      </c>
      <c r="E47" t="s">
        <v>4792</v>
      </c>
    </row>
    <row r="48" spans="3:5" customFormat="1" ht="17.399999999999999">
      <c r="C48" t="s">
        <v>4779</v>
      </c>
      <c r="E48" t="s">
        <v>4778</v>
      </c>
    </row>
    <row r="49" spans="3:5" customFormat="1" ht="17.399999999999999">
      <c r="C49" t="s">
        <v>4777</v>
      </c>
      <c r="E49" t="s">
        <v>4778</v>
      </c>
    </row>
    <row r="50" spans="3:5" customFormat="1" ht="17.399999999999999">
      <c r="C50" t="s">
        <v>6</v>
      </c>
      <c r="E50" t="s">
        <v>4776</v>
      </c>
    </row>
    <row r="51" spans="3:5" customFormat="1" ht="17.399999999999999">
      <c r="C51" t="s">
        <v>4</v>
      </c>
      <c r="E51" t="s">
        <v>4775</v>
      </c>
    </row>
    <row r="52" spans="3:5" customFormat="1" ht="17.399999999999999">
      <c r="C52" t="s">
        <v>5</v>
      </c>
      <c r="E52" t="s">
        <v>2849</v>
      </c>
    </row>
    <row r="53" spans="3:5" customFormat="1" ht="17.399999999999999">
      <c r="C53" t="s">
        <v>9</v>
      </c>
      <c r="E53" t="s">
        <v>26</v>
      </c>
    </row>
    <row r="54" spans="3:5" customFormat="1" ht="17.399999999999999">
      <c r="C54" t="s">
        <v>10</v>
      </c>
      <c r="E54" t="s">
        <v>2847</v>
      </c>
    </row>
    <row r="55" spans="3:5" customFormat="1" ht="17.399999999999999">
      <c r="C55" t="s">
        <v>20</v>
      </c>
      <c r="E55" t="s">
        <v>29</v>
      </c>
    </row>
    <row r="56" spans="3:5" customFormat="1" ht="17.399999999999999">
      <c r="C56" t="s">
        <v>11</v>
      </c>
      <c r="E56" t="s">
        <v>25</v>
      </c>
    </row>
    <row r="57" spans="3:5" customFormat="1" ht="17.399999999999999">
      <c r="C57" t="s">
        <v>5246</v>
      </c>
      <c r="E57" t="s">
        <v>5246</v>
      </c>
    </row>
    <row r="58" spans="3:5" customFormat="1" ht="17.399999999999999">
      <c r="C58" t="s">
        <v>5347</v>
      </c>
      <c r="E58" t="s">
        <v>5348</v>
      </c>
    </row>
    <row r="59" spans="3:5" customFormat="1" ht="17.399999999999999">
      <c r="C59" t="s">
        <v>5349</v>
      </c>
      <c r="E59" t="s">
        <v>5356</v>
      </c>
    </row>
    <row r="60" spans="3:5" customFormat="1" ht="16.2" customHeight="1">
      <c r="C60" s="4" t="s">
        <v>5350</v>
      </c>
      <c r="E60" s="4" t="s">
        <v>5362</v>
      </c>
    </row>
    <row r="61" spans="3:5" customFormat="1" ht="16.2" customHeight="1">
      <c r="C61" s="4" t="s">
        <v>5351</v>
      </c>
      <c r="E61" s="4" t="s">
        <v>5363</v>
      </c>
    </row>
    <row r="62" spans="3:5" customFormat="1" ht="16.2" customHeight="1">
      <c r="C62" t="s">
        <v>5357</v>
      </c>
      <c r="E62" t="s">
        <v>2457</v>
      </c>
    </row>
    <row r="63" spans="3:5" customFormat="1" ht="16.2" customHeight="1">
      <c r="C63" t="s">
        <v>5357</v>
      </c>
      <c r="E63" t="s">
        <v>2457</v>
      </c>
    </row>
    <row r="64" spans="3:5" customFormat="1" ht="16.2" customHeight="1">
      <c r="C64" t="s">
        <v>5352</v>
      </c>
      <c r="E64" t="s">
        <v>5353</v>
      </c>
    </row>
    <row r="65" spans="3:5" customFormat="1" ht="16.2" customHeight="1">
      <c r="C65" t="s">
        <v>5354</v>
      </c>
      <c r="E65" t="s">
        <v>5355</v>
      </c>
    </row>
    <row r="66" spans="3:5" customFormat="1" ht="16.2" customHeight="1">
      <c r="C66" t="s">
        <v>5342</v>
      </c>
      <c r="E66" t="s">
        <v>5358</v>
      </c>
    </row>
    <row r="67" spans="3:5" customFormat="1" ht="16.2" customHeight="1">
      <c r="C67" t="s">
        <v>5360</v>
      </c>
      <c r="E67" t="s">
        <v>5361</v>
      </c>
    </row>
    <row r="68" spans="3:5" customFormat="1" ht="17.399999999999999">
      <c r="C68">
        <v>1</v>
      </c>
      <c r="E68">
        <v>1</v>
      </c>
    </row>
    <row r="69" spans="3:5" customFormat="1" ht="17.399999999999999">
      <c r="C69">
        <v>2</v>
      </c>
      <c r="E69">
        <v>2</v>
      </c>
    </row>
    <row r="70" spans="3:5" customFormat="1" ht="17.399999999999999">
      <c r="C70">
        <v>3</v>
      </c>
      <c r="E70">
        <v>3</v>
      </c>
    </row>
    <row r="71" spans="3:5" customFormat="1" ht="17.399999999999999">
      <c r="C71">
        <v>4</v>
      </c>
      <c r="E71">
        <v>4</v>
      </c>
    </row>
    <row r="72" spans="3:5" customFormat="1" ht="17.399999999999999">
      <c r="C72">
        <v>5</v>
      </c>
      <c r="E72">
        <v>5</v>
      </c>
    </row>
    <row r="73" spans="3:5" customFormat="1" ht="17.399999999999999">
      <c r="C73">
        <v>50</v>
      </c>
      <c r="E73">
        <v>50</v>
      </c>
    </row>
    <row r="74" spans="3:5" customFormat="1" ht="17.399999999999999">
      <c r="C74">
        <v>1500</v>
      </c>
      <c r="E74">
        <v>1500</v>
      </c>
    </row>
    <row r="75" spans="3:5" customFormat="1" ht="17.399999999999999">
      <c r="C75">
        <v>1500</v>
      </c>
      <c r="E75">
        <v>1500</v>
      </c>
    </row>
    <row r="76" spans="3:5" customFormat="1" ht="17.399999999999999">
      <c r="C76" t="s">
        <v>4348</v>
      </c>
      <c r="E76" t="s">
        <v>4349</v>
      </c>
    </row>
    <row r="77" spans="3:5" customFormat="1" ht="17.399999999999999">
      <c r="C77" t="s">
        <v>233</v>
      </c>
      <c r="E77" t="s">
        <v>1942</v>
      </c>
    </row>
    <row r="78" spans="3:5" customFormat="1" ht="17.399999999999999">
      <c r="C78" t="s">
        <v>234</v>
      </c>
      <c r="E78" t="s">
        <v>2850</v>
      </c>
    </row>
    <row r="79" spans="3:5" customFormat="1" ht="17.399999999999999">
      <c r="C79" t="s">
        <v>235</v>
      </c>
      <c r="E79" t="s">
        <v>236</v>
      </c>
    </row>
    <row r="80" spans="3:5" customFormat="1" ht="17.399999999999999">
      <c r="C80" t="s">
        <v>237</v>
      </c>
      <c r="E80" t="s">
        <v>1413</v>
      </c>
    </row>
    <row r="81" spans="3:5" customFormat="1" ht="17.399999999999999">
      <c r="C81" t="s">
        <v>1943</v>
      </c>
      <c r="E81" t="s">
        <v>1944</v>
      </c>
    </row>
    <row r="82" spans="3:5" customFormat="1" ht="17.399999999999999">
      <c r="C82" t="s">
        <v>1945</v>
      </c>
      <c r="E82" t="s">
        <v>1946</v>
      </c>
    </row>
    <row r="83" spans="3:5" customFormat="1" ht="17.399999999999999">
      <c r="C83" t="s">
        <v>4350</v>
      </c>
      <c r="E83" t="s">
        <v>4351</v>
      </c>
    </row>
    <row r="84" spans="3:5" customFormat="1" ht="17.399999999999999">
      <c r="C84" t="s">
        <v>4352</v>
      </c>
      <c r="E84" t="s">
        <v>4353</v>
      </c>
    </row>
    <row r="85" spans="3:5" customFormat="1" ht="17.399999999999999">
      <c r="C85" t="s">
        <v>238</v>
      </c>
      <c r="E85" t="s">
        <v>239</v>
      </c>
    </row>
    <row r="86" spans="3:5" customFormat="1" ht="17.399999999999999">
      <c r="C86" t="s">
        <v>240</v>
      </c>
      <c r="E86" t="s">
        <v>241</v>
      </c>
    </row>
    <row r="87" spans="3:5" customFormat="1" ht="17.399999999999999">
      <c r="C87" t="s">
        <v>242</v>
      </c>
      <c r="E87" t="s">
        <v>4354</v>
      </c>
    </row>
    <row r="88" spans="3:5" customFormat="1" ht="17.399999999999999">
      <c r="C88" t="s">
        <v>4355</v>
      </c>
      <c r="E88" t="s">
        <v>4356</v>
      </c>
    </row>
    <row r="89" spans="3:5" customFormat="1" ht="17.399999999999999">
      <c r="C89" t="s">
        <v>2851</v>
      </c>
      <c r="E89" t="s">
        <v>2852</v>
      </c>
    </row>
    <row r="90" spans="3:5" customFormat="1" ht="17.399999999999999">
      <c r="C90" t="s">
        <v>4357</v>
      </c>
      <c r="E90" t="s">
        <v>4358</v>
      </c>
    </row>
    <row r="91" spans="3:5" customFormat="1" ht="17.399999999999999">
      <c r="C91" t="s">
        <v>243</v>
      </c>
      <c r="E91" t="s">
        <v>244</v>
      </c>
    </row>
    <row r="92" spans="3:5" customFormat="1" ht="17.399999999999999">
      <c r="C92" t="s">
        <v>245</v>
      </c>
      <c r="E92" t="s">
        <v>246</v>
      </c>
    </row>
    <row r="93" spans="3:5" customFormat="1" ht="17.399999999999999">
      <c r="C93" t="s">
        <v>247</v>
      </c>
      <c r="E93" t="s">
        <v>248</v>
      </c>
    </row>
    <row r="94" spans="3:5" customFormat="1" ht="17.399999999999999">
      <c r="C94" t="s">
        <v>4359</v>
      </c>
      <c r="E94" t="s">
        <v>4360</v>
      </c>
    </row>
    <row r="95" spans="3:5" customFormat="1" ht="17.399999999999999">
      <c r="C95" t="s">
        <v>4361</v>
      </c>
      <c r="E95" t="s">
        <v>4362</v>
      </c>
    </row>
    <row r="96" spans="3:5" customFormat="1" ht="17.399999999999999">
      <c r="C96" t="s">
        <v>87</v>
      </c>
      <c r="E96" t="s">
        <v>88</v>
      </c>
    </row>
    <row r="97" spans="3:5" customFormat="1" ht="17.399999999999999">
      <c r="C97" t="s">
        <v>4363</v>
      </c>
      <c r="E97" t="s">
        <v>4364</v>
      </c>
    </row>
    <row r="98" spans="3:5" customFormat="1" ht="17.399999999999999">
      <c r="C98" t="s">
        <v>89</v>
      </c>
      <c r="E98" t="s">
        <v>90</v>
      </c>
    </row>
    <row r="99" spans="3:5" customFormat="1" ht="17.399999999999999">
      <c r="C99" t="s">
        <v>2853</v>
      </c>
      <c r="E99" t="s">
        <v>2854</v>
      </c>
    </row>
    <row r="100" spans="3:5" customFormat="1" ht="17.399999999999999">
      <c r="C100" t="s">
        <v>91</v>
      </c>
      <c r="E100" t="s">
        <v>92</v>
      </c>
    </row>
    <row r="101" spans="3:5" customFormat="1" ht="17.399999999999999">
      <c r="C101" t="s">
        <v>4365</v>
      </c>
      <c r="E101" t="s">
        <v>4366</v>
      </c>
    </row>
    <row r="102" spans="3:5" customFormat="1" ht="17.399999999999999">
      <c r="C102" t="s">
        <v>93</v>
      </c>
      <c r="E102" t="s">
        <v>1947</v>
      </c>
    </row>
    <row r="103" spans="3:5" customFormat="1" ht="17.399999999999999">
      <c r="C103" t="s">
        <v>4367</v>
      </c>
      <c r="E103" t="s">
        <v>4368</v>
      </c>
    </row>
    <row r="104" spans="3:5" customFormat="1" ht="17.399999999999999">
      <c r="C104" t="s">
        <v>94</v>
      </c>
      <c r="E104" t="s">
        <v>1948</v>
      </c>
    </row>
    <row r="105" spans="3:5" customFormat="1" ht="17.399999999999999">
      <c r="C105" t="s">
        <v>4369</v>
      </c>
      <c r="E105" t="s">
        <v>4370</v>
      </c>
    </row>
    <row r="106" spans="3:5" customFormat="1" ht="17.399999999999999">
      <c r="C106" t="s">
        <v>95</v>
      </c>
      <c r="D106" t="s">
        <v>4372</v>
      </c>
      <c r="E106" t="s">
        <v>4371</v>
      </c>
    </row>
    <row r="107" spans="3:5" customFormat="1" ht="17.399999999999999">
      <c r="C107" t="s">
        <v>4373</v>
      </c>
      <c r="E107" t="s">
        <v>4374</v>
      </c>
    </row>
    <row r="108" spans="3:5" customFormat="1" ht="17.399999999999999">
      <c r="C108" t="s">
        <v>4375</v>
      </c>
      <c r="E108" t="s">
        <v>4376</v>
      </c>
    </row>
    <row r="109" spans="3:5" customFormat="1" ht="17.399999999999999">
      <c r="C109" t="s">
        <v>96</v>
      </c>
      <c r="E109" t="s">
        <v>97</v>
      </c>
    </row>
    <row r="110" spans="3:5" customFormat="1" ht="17.399999999999999">
      <c r="C110" t="s">
        <v>98</v>
      </c>
      <c r="E110" t="s">
        <v>99</v>
      </c>
    </row>
    <row r="111" spans="3:5" customFormat="1" ht="17.399999999999999">
      <c r="C111" t="s">
        <v>100</v>
      </c>
      <c r="E111" t="s">
        <v>101</v>
      </c>
    </row>
    <row r="112" spans="3:5" customFormat="1" ht="17.399999999999999">
      <c r="C112" t="s">
        <v>2855</v>
      </c>
      <c r="E112" t="s">
        <v>2856</v>
      </c>
    </row>
    <row r="113" spans="3:5" customFormat="1" ht="17.399999999999999">
      <c r="C113" t="s">
        <v>102</v>
      </c>
      <c r="E113" t="s">
        <v>103</v>
      </c>
    </row>
    <row r="114" spans="3:5" customFormat="1" ht="17.399999999999999">
      <c r="C114" t="s">
        <v>4377</v>
      </c>
      <c r="E114" t="s">
        <v>4378</v>
      </c>
    </row>
    <row r="115" spans="3:5" customFormat="1" ht="17.399999999999999">
      <c r="C115" t="s">
        <v>4379</v>
      </c>
      <c r="E115" t="s">
        <v>4380</v>
      </c>
    </row>
    <row r="116" spans="3:5" customFormat="1" ht="17.399999999999999">
      <c r="C116" t="s">
        <v>4381</v>
      </c>
      <c r="E116" t="s">
        <v>4382</v>
      </c>
    </row>
    <row r="117" spans="3:5" customFormat="1" ht="17.399999999999999">
      <c r="C117" t="s">
        <v>4383</v>
      </c>
      <c r="E117" t="s">
        <v>4384</v>
      </c>
    </row>
    <row r="118" spans="3:5" customFormat="1" ht="17.399999999999999">
      <c r="C118" t="s">
        <v>104</v>
      </c>
      <c r="E118" t="s">
        <v>105</v>
      </c>
    </row>
    <row r="119" spans="3:5" customFormat="1" ht="17.399999999999999">
      <c r="C119" t="s">
        <v>4385</v>
      </c>
      <c r="E119" t="s">
        <v>4386</v>
      </c>
    </row>
    <row r="120" spans="3:5" customFormat="1" ht="17.399999999999999">
      <c r="C120" t="s">
        <v>2857</v>
      </c>
      <c r="E120" t="s">
        <v>2858</v>
      </c>
    </row>
    <row r="121" spans="3:5" customFormat="1" ht="17.399999999999999">
      <c r="C121" t="s">
        <v>106</v>
      </c>
      <c r="E121" t="s">
        <v>107</v>
      </c>
    </row>
    <row r="122" spans="3:5" customFormat="1" ht="17.399999999999999">
      <c r="C122" t="s">
        <v>2859</v>
      </c>
      <c r="E122" t="s">
        <v>2860</v>
      </c>
    </row>
    <row r="123" spans="3:5" customFormat="1" ht="17.399999999999999">
      <c r="C123" t="s">
        <v>128</v>
      </c>
      <c r="E123" t="s">
        <v>1949</v>
      </c>
    </row>
    <row r="124" spans="3:5" customFormat="1" ht="17.399999999999999">
      <c r="C124" t="s">
        <v>2861</v>
      </c>
      <c r="E124" t="s">
        <v>2862</v>
      </c>
    </row>
    <row r="125" spans="3:5" customFormat="1" ht="17.399999999999999">
      <c r="C125" t="s">
        <v>2863</v>
      </c>
      <c r="E125" t="s">
        <v>2864</v>
      </c>
    </row>
    <row r="126" spans="3:5" customFormat="1" ht="17.399999999999999">
      <c r="C126" t="s">
        <v>2865</v>
      </c>
      <c r="E126" t="s">
        <v>2866</v>
      </c>
    </row>
    <row r="127" spans="3:5" customFormat="1" ht="17.399999999999999">
      <c r="C127" t="s">
        <v>129</v>
      </c>
      <c r="E127" t="s">
        <v>130</v>
      </c>
    </row>
    <row r="128" spans="3:5" customFormat="1" ht="17.399999999999999">
      <c r="C128" t="s">
        <v>1950</v>
      </c>
      <c r="E128" t="s">
        <v>1950</v>
      </c>
    </row>
    <row r="129" spans="3:5" customFormat="1" ht="17.399999999999999">
      <c r="C129" t="s">
        <v>1936</v>
      </c>
      <c r="E129" t="s">
        <v>1936</v>
      </c>
    </row>
    <row r="130" spans="3:5" customFormat="1" ht="17.399999999999999">
      <c r="C130" t="s">
        <v>2867</v>
      </c>
      <c r="E130" t="s">
        <v>2867</v>
      </c>
    </row>
    <row r="131" spans="3:5" customFormat="1" ht="17.399999999999999">
      <c r="C131" t="s">
        <v>2868</v>
      </c>
      <c r="E131" t="s">
        <v>2868</v>
      </c>
    </row>
    <row r="132" spans="3:5" customFormat="1" ht="17.399999999999999">
      <c r="C132" t="s">
        <v>2869</v>
      </c>
      <c r="E132" t="s">
        <v>2869</v>
      </c>
    </row>
    <row r="133" spans="3:5" customFormat="1" ht="17.399999999999999">
      <c r="C133" t="s">
        <v>2870</v>
      </c>
      <c r="E133" t="s">
        <v>2871</v>
      </c>
    </row>
    <row r="134" spans="3:5" customFormat="1" ht="17.399999999999999">
      <c r="C134" t="s">
        <v>2872</v>
      </c>
      <c r="E134" t="s">
        <v>2873</v>
      </c>
    </row>
    <row r="135" spans="3:5" customFormat="1" ht="17.399999999999999">
      <c r="C135" t="s">
        <v>231</v>
      </c>
      <c r="E135" t="s">
        <v>231</v>
      </c>
    </row>
    <row r="136" spans="3:5" customFormat="1" ht="17.399999999999999">
      <c r="C136" t="s">
        <v>1669</v>
      </c>
      <c r="E136" t="s">
        <v>1669</v>
      </c>
    </row>
    <row r="137" spans="3:5" customFormat="1" ht="17.399999999999999">
      <c r="C137" t="s">
        <v>1951</v>
      </c>
      <c r="E137" t="s">
        <v>1951</v>
      </c>
    </row>
    <row r="138" spans="3:5" customFormat="1" ht="17.399999999999999">
      <c r="C138" t="s">
        <v>2874</v>
      </c>
      <c r="E138" t="s">
        <v>2874</v>
      </c>
    </row>
    <row r="139" spans="3:5" customFormat="1" ht="17.399999999999999">
      <c r="C139" t="s">
        <v>2875</v>
      </c>
      <c r="E139" t="s">
        <v>2875</v>
      </c>
    </row>
    <row r="140" spans="3:5" customFormat="1" ht="17.399999999999999">
      <c r="C140" t="s">
        <v>2876</v>
      </c>
      <c r="E140" t="s">
        <v>2876</v>
      </c>
    </row>
    <row r="141" spans="3:5" customFormat="1" ht="17.399999999999999">
      <c r="C141" t="s">
        <v>232</v>
      </c>
      <c r="E141" t="s">
        <v>232</v>
      </c>
    </row>
    <row r="142" spans="3:5" customFormat="1" ht="17.399999999999999">
      <c r="C142" t="s">
        <v>806</v>
      </c>
      <c r="E142" t="s">
        <v>806</v>
      </c>
    </row>
    <row r="143" spans="3:5" customFormat="1" ht="17.399999999999999">
      <c r="C143" t="s">
        <v>2877</v>
      </c>
      <c r="E143" t="s">
        <v>2877</v>
      </c>
    </row>
    <row r="144" spans="3:5" customFormat="1" ht="17.399999999999999">
      <c r="C144" t="s">
        <v>2878</v>
      </c>
      <c r="E144" t="s">
        <v>2879</v>
      </c>
    </row>
    <row r="145" spans="3:5" customFormat="1" ht="17.399999999999999">
      <c r="C145" t="s">
        <v>70</v>
      </c>
      <c r="E145" t="s">
        <v>70</v>
      </c>
    </row>
    <row r="146" spans="3:5" customFormat="1" ht="17.399999999999999">
      <c r="C146" t="s">
        <v>1953</v>
      </c>
      <c r="E146" t="s">
        <v>1953</v>
      </c>
    </row>
    <row r="147" spans="3:5" customFormat="1" ht="17.399999999999999">
      <c r="C147" t="s">
        <v>2880</v>
      </c>
      <c r="E147" t="s">
        <v>2881</v>
      </c>
    </row>
    <row r="148" spans="3:5" customFormat="1" ht="17.399999999999999">
      <c r="C148" t="s">
        <v>2882</v>
      </c>
      <c r="E148" t="s">
        <v>2657</v>
      </c>
    </row>
    <row r="149" spans="3:5" customFormat="1" ht="17.399999999999999">
      <c r="C149" t="s">
        <v>562</v>
      </c>
      <c r="D149" t="s">
        <v>2633</v>
      </c>
      <c r="E149" t="s">
        <v>562</v>
      </c>
    </row>
    <row r="150" spans="3:5" customFormat="1" ht="17.399999999999999">
      <c r="C150" t="s">
        <v>2883</v>
      </c>
      <c r="E150" t="s">
        <v>2883</v>
      </c>
    </row>
    <row r="151" spans="3:5" customFormat="1" ht="17.399999999999999">
      <c r="C151" t="s">
        <v>1837</v>
      </c>
      <c r="D151" t="s">
        <v>2884</v>
      </c>
      <c r="E151" t="s">
        <v>1837</v>
      </c>
    </row>
    <row r="152" spans="3:5" customFormat="1" ht="17.399999999999999">
      <c r="C152" t="s">
        <v>1689</v>
      </c>
      <c r="E152" t="s">
        <v>1689</v>
      </c>
    </row>
    <row r="153" spans="3:5" customFormat="1" ht="17.399999999999999">
      <c r="C153" t="s">
        <v>2258</v>
      </c>
      <c r="E153" t="s">
        <v>2258</v>
      </c>
    </row>
    <row r="154" spans="3:5" customFormat="1" ht="17.399999999999999">
      <c r="C154" t="s">
        <v>1706</v>
      </c>
      <c r="E154" t="s">
        <v>1922</v>
      </c>
    </row>
    <row r="155" spans="3:5" customFormat="1" ht="17.399999999999999">
      <c r="C155" t="s">
        <v>369</v>
      </c>
      <c r="E155" t="s">
        <v>369</v>
      </c>
    </row>
    <row r="156" spans="3:5" customFormat="1" ht="17.399999999999999">
      <c r="C156" t="s">
        <v>2885</v>
      </c>
      <c r="E156" t="s">
        <v>2885</v>
      </c>
    </row>
    <row r="157" spans="3:5" customFormat="1" ht="17.399999999999999">
      <c r="C157" t="s">
        <v>1954</v>
      </c>
      <c r="E157" t="s">
        <v>1954</v>
      </c>
    </row>
    <row r="158" spans="3:5" customFormat="1" ht="17.399999999999999">
      <c r="C158" t="s">
        <v>2886</v>
      </c>
      <c r="E158" t="s">
        <v>2886</v>
      </c>
    </row>
    <row r="159" spans="3:5" customFormat="1" ht="17.399999999999999">
      <c r="C159" t="s">
        <v>2887</v>
      </c>
      <c r="E159" t="s">
        <v>2887</v>
      </c>
    </row>
    <row r="160" spans="3:5" customFormat="1" ht="17.399999999999999">
      <c r="C160" t="s">
        <v>2888</v>
      </c>
      <c r="D160" t="s">
        <v>2889</v>
      </c>
      <c r="E160" t="s">
        <v>2888</v>
      </c>
    </row>
    <row r="161" spans="3:5" customFormat="1" ht="17.399999999999999">
      <c r="C161" t="s">
        <v>2801</v>
      </c>
      <c r="E161" t="s">
        <v>2801</v>
      </c>
    </row>
    <row r="162" spans="3:5" customFormat="1" ht="17.399999999999999">
      <c r="C162" t="s">
        <v>376</v>
      </c>
      <c r="E162" t="s">
        <v>376</v>
      </c>
    </row>
    <row r="163" spans="3:5" customFormat="1" ht="17.399999999999999">
      <c r="C163" t="s">
        <v>2890</v>
      </c>
      <c r="E163" t="s">
        <v>2890</v>
      </c>
    </row>
    <row r="164" spans="3:5" customFormat="1" ht="17.399999999999999">
      <c r="C164" t="s">
        <v>1195</v>
      </c>
      <c r="E164" t="s">
        <v>1195</v>
      </c>
    </row>
    <row r="165" spans="3:5" customFormat="1" ht="17.399999999999999">
      <c r="C165" t="s">
        <v>249</v>
      </c>
      <c r="E165" t="s">
        <v>249</v>
      </c>
    </row>
    <row r="166" spans="3:5" customFormat="1" ht="17.399999999999999">
      <c r="C166" t="s">
        <v>2891</v>
      </c>
      <c r="E166" t="s">
        <v>2891</v>
      </c>
    </row>
    <row r="167" spans="3:5" customFormat="1" ht="17.399999999999999">
      <c r="C167" t="s">
        <v>2892</v>
      </c>
      <c r="E167" t="s">
        <v>2893</v>
      </c>
    </row>
    <row r="168" spans="3:5" customFormat="1" ht="17.399999999999999">
      <c r="C168" t="s">
        <v>2894</v>
      </c>
      <c r="E168" t="s">
        <v>2895</v>
      </c>
    </row>
    <row r="169" spans="3:5" customFormat="1" ht="17.399999999999999">
      <c r="C169" t="s">
        <v>2896</v>
      </c>
      <c r="E169" t="s">
        <v>2897</v>
      </c>
    </row>
    <row r="170" spans="3:5" customFormat="1" ht="17.399999999999999">
      <c r="C170" t="s">
        <v>2898</v>
      </c>
      <c r="E170" t="s">
        <v>2899</v>
      </c>
    </row>
    <row r="171" spans="3:5" customFormat="1" ht="17.399999999999999">
      <c r="C171" t="s">
        <v>2900</v>
      </c>
      <c r="E171" t="s">
        <v>2901</v>
      </c>
    </row>
    <row r="172" spans="3:5" customFormat="1" ht="17.399999999999999">
      <c r="C172" t="s">
        <v>2902</v>
      </c>
      <c r="E172" t="s">
        <v>2903</v>
      </c>
    </row>
    <row r="173" spans="3:5" customFormat="1" ht="17.399999999999999">
      <c r="C173" t="s">
        <v>1199</v>
      </c>
      <c r="E173" t="s">
        <v>1199</v>
      </c>
    </row>
    <row r="174" spans="3:5" customFormat="1" ht="17.399999999999999">
      <c r="C174" t="s">
        <v>2904</v>
      </c>
      <c r="E174" t="s">
        <v>2905</v>
      </c>
    </row>
    <row r="175" spans="3:5" customFormat="1" ht="17.399999999999999">
      <c r="C175" t="s">
        <v>2906</v>
      </c>
      <c r="D175" t="s">
        <v>2906</v>
      </c>
      <c r="E175" t="s">
        <v>2906</v>
      </c>
    </row>
    <row r="176" spans="3:5" customFormat="1" ht="17.399999999999999">
      <c r="C176" t="s">
        <v>2283</v>
      </c>
      <c r="E176" t="s">
        <v>2283</v>
      </c>
    </row>
    <row r="177" spans="3:5" customFormat="1" ht="17.399999999999999">
      <c r="C177" t="s">
        <v>1201</v>
      </c>
      <c r="E177" t="s">
        <v>1201</v>
      </c>
    </row>
    <row r="178" spans="3:5" customFormat="1" ht="17.399999999999999">
      <c r="C178" t="s">
        <v>2816</v>
      </c>
      <c r="E178" t="s">
        <v>2816</v>
      </c>
    </row>
    <row r="179" spans="3:5" customFormat="1" ht="17.399999999999999">
      <c r="C179" t="s">
        <v>2907</v>
      </c>
      <c r="E179" t="s">
        <v>2907</v>
      </c>
    </row>
    <row r="180" spans="3:5" customFormat="1" ht="17.399999999999999">
      <c r="C180" t="s">
        <v>2908</v>
      </c>
      <c r="E180" t="s">
        <v>2909</v>
      </c>
    </row>
    <row r="181" spans="3:5" customFormat="1" ht="17.399999999999999">
      <c r="C181" t="s">
        <v>2910</v>
      </c>
      <c r="E181" t="s">
        <v>2911</v>
      </c>
    </row>
    <row r="182" spans="3:5" customFormat="1" ht="17.399999999999999">
      <c r="C182" t="s">
        <v>2912</v>
      </c>
      <c r="E182" t="s">
        <v>2912</v>
      </c>
    </row>
    <row r="183" spans="3:5" customFormat="1" ht="17.399999999999999">
      <c r="C183" t="s">
        <v>1956</v>
      </c>
      <c r="E183" t="s">
        <v>1957</v>
      </c>
    </row>
    <row r="184" spans="3:5" customFormat="1" ht="17.399999999999999">
      <c r="C184" t="s">
        <v>2913</v>
      </c>
      <c r="E184" t="s">
        <v>2913</v>
      </c>
    </row>
    <row r="185" spans="3:5" customFormat="1" ht="17.399999999999999">
      <c r="C185" t="s">
        <v>78</v>
      </c>
      <c r="D185" t="s">
        <v>79</v>
      </c>
      <c r="E185" t="s">
        <v>78</v>
      </c>
    </row>
    <row r="186" spans="3:5" customFormat="1" ht="17.399999999999999">
      <c r="C186" t="s">
        <v>2914</v>
      </c>
      <c r="E186" t="s">
        <v>2915</v>
      </c>
    </row>
    <row r="187" spans="3:5" customFormat="1" ht="17.399999999999999">
      <c r="C187" t="s">
        <v>80</v>
      </c>
      <c r="E187" t="s">
        <v>80</v>
      </c>
    </row>
    <row r="188" spans="3:5" customFormat="1" ht="17.399999999999999">
      <c r="C188" t="s">
        <v>2916</v>
      </c>
      <c r="E188" t="s">
        <v>2916</v>
      </c>
    </row>
    <row r="189" spans="3:5" customFormat="1" ht="17.399999999999999">
      <c r="C189" t="s">
        <v>81</v>
      </c>
      <c r="E189" t="s">
        <v>81</v>
      </c>
    </row>
    <row r="190" spans="3:5" customFormat="1" ht="17.399999999999999">
      <c r="C190" t="s">
        <v>2917</v>
      </c>
      <c r="E190" t="s">
        <v>2917</v>
      </c>
    </row>
    <row r="191" spans="3:5" customFormat="1" ht="17.399999999999999">
      <c r="C191" t="s">
        <v>2918</v>
      </c>
      <c r="E191" t="s">
        <v>2919</v>
      </c>
    </row>
    <row r="192" spans="3:5" customFormat="1" ht="17.399999999999999">
      <c r="C192" t="s">
        <v>83</v>
      </c>
      <c r="D192" t="s">
        <v>84</v>
      </c>
      <c r="E192" t="s">
        <v>83</v>
      </c>
    </row>
    <row r="193" spans="3:5" customFormat="1" ht="17.399999999999999">
      <c r="C193" t="s">
        <v>86</v>
      </c>
      <c r="E193" t="s">
        <v>86</v>
      </c>
    </row>
    <row r="194" spans="3:5" customFormat="1" ht="17.399999999999999">
      <c r="C194" t="s">
        <v>2920</v>
      </c>
      <c r="E194" t="s">
        <v>2920</v>
      </c>
    </row>
    <row r="195" spans="3:5" customFormat="1" ht="17.399999999999999">
      <c r="C195" t="s">
        <v>2921</v>
      </c>
      <c r="E195" t="s">
        <v>2921</v>
      </c>
    </row>
    <row r="196" spans="3:5" customFormat="1" ht="17.399999999999999">
      <c r="C196" t="s">
        <v>280</v>
      </c>
      <c r="E196" t="s">
        <v>280</v>
      </c>
    </row>
    <row r="197" spans="3:5" customFormat="1" ht="17.399999999999999">
      <c r="C197" t="s">
        <v>2922</v>
      </c>
      <c r="E197" t="s">
        <v>2922</v>
      </c>
    </row>
    <row r="198" spans="3:5" customFormat="1" ht="17.399999999999999">
      <c r="C198" t="s">
        <v>1580</v>
      </c>
      <c r="E198" t="s">
        <v>1580</v>
      </c>
    </row>
    <row r="199" spans="3:5" customFormat="1" ht="17.399999999999999">
      <c r="C199" t="s">
        <v>2923</v>
      </c>
      <c r="E199" t="s">
        <v>2924</v>
      </c>
    </row>
    <row r="200" spans="3:5" customFormat="1" ht="17.399999999999999">
      <c r="C200" t="s">
        <v>2925</v>
      </c>
      <c r="E200" t="s">
        <v>2925</v>
      </c>
    </row>
    <row r="201" spans="3:5" customFormat="1" ht="17.399999999999999">
      <c r="C201" t="s">
        <v>135</v>
      </c>
      <c r="E201" t="s">
        <v>135</v>
      </c>
    </row>
    <row r="202" spans="3:5" customFormat="1" ht="17.399999999999999">
      <c r="C202" t="s">
        <v>2926</v>
      </c>
      <c r="E202" t="s">
        <v>2926</v>
      </c>
    </row>
    <row r="203" spans="3:5" customFormat="1" ht="17.399999999999999">
      <c r="C203" t="s">
        <v>2927</v>
      </c>
      <c r="E203" t="s">
        <v>2927</v>
      </c>
    </row>
    <row r="204" spans="3:5" customFormat="1" ht="17.399999999999999">
      <c r="C204" t="s">
        <v>2928</v>
      </c>
      <c r="E204" t="s">
        <v>2928</v>
      </c>
    </row>
    <row r="205" spans="3:5" customFormat="1" ht="17.399999999999999">
      <c r="C205" t="s">
        <v>2929</v>
      </c>
      <c r="E205" t="s">
        <v>2929</v>
      </c>
    </row>
    <row r="206" spans="3:5" customFormat="1" ht="17.399999999999999">
      <c r="C206" t="s">
        <v>2590</v>
      </c>
      <c r="E206" t="s">
        <v>2590</v>
      </c>
    </row>
    <row r="207" spans="3:5" customFormat="1" ht="17.399999999999999">
      <c r="C207" t="s">
        <v>1958</v>
      </c>
      <c r="E207" t="s">
        <v>1958</v>
      </c>
    </row>
    <row r="208" spans="3:5" customFormat="1" ht="17.399999999999999">
      <c r="C208" t="s">
        <v>227</v>
      </c>
      <c r="D208" t="s">
        <v>2930</v>
      </c>
      <c r="E208" t="s">
        <v>227</v>
      </c>
    </row>
    <row r="209" spans="3:5" customFormat="1" ht="17.399999999999999">
      <c r="C209" t="s">
        <v>2931</v>
      </c>
      <c r="E209" t="s">
        <v>2931</v>
      </c>
    </row>
    <row r="210" spans="3:5" customFormat="1" ht="17.399999999999999">
      <c r="C210" t="s">
        <v>2932</v>
      </c>
      <c r="E210" t="s">
        <v>2932</v>
      </c>
    </row>
    <row r="211" spans="3:5" customFormat="1" ht="17.399999999999999">
      <c r="C211" t="s">
        <v>229</v>
      </c>
      <c r="E211" t="s">
        <v>229</v>
      </c>
    </row>
    <row r="212" spans="3:5" customFormat="1" ht="17.399999999999999">
      <c r="C212" t="s">
        <v>816</v>
      </c>
      <c r="E212" t="s">
        <v>816</v>
      </c>
    </row>
    <row r="213" spans="3:5" customFormat="1" ht="17.399999999999999">
      <c r="C213" t="s">
        <v>2933</v>
      </c>
      <c r="E213" t="s">
        <v>2933</v>
      </c>
    </row>
    <row r="214" spans="3:5" customFormat="1" ht="17.399999999999999">
      <c r="C214" t="s">
        <v>2934</v>
      </c>
      <c r="E214" t="s">
        <v>2935</v>
      </c>
    </row>
    <row r="215" spans="3:5" customFormat="1" ht="17.399999999999999">
      <c r="C215" t="s">
        <v>141</v>
      </c>
      <c r="E215" t="s">
        <v>141</v>
      </c>
    </row>
    <row r="216" spans="3:5" customFormat="1" ht="17.399999999999999">
      <c r="C216" t="s">
        <v>2936</v>
      </c>
      <c r="E216" t="s">
        <v>2936</v>
      </c>
    </row>
    <row r="217" spans="3:5" customFormat="1" ht="17.399999999999999">
      <c r="C217" t="s">
        <v>2937</v>
      </c>
      <c r="E217" t="s">
        <v>2937</v>
      </c>
    </row>
    <row r="218" spans="3:5" customFormat="1" ht="17.399999999999999">
      <c r="C218" t="s">
        <v>2938</v>
      </c>
      <c r="E218" t="s">
        <v>2938</v>
      </c>
    </row>
    <row r="219" spans="3:5" customFormat="1" ht="17.399999999999999">
      <c r="C219" t="s">
        <v>192</v>
      </c>
      <c r="E219" t="s">
        <v>192</v>
      </c>
    </row>
    <row r="220" spans="3:5" customFormat="1" ht="17.399999999999999">
      <c r="C220" t="s">
        <v>2939</v>
      </c>
      <c r="E220" t="s">
        <v>2939</v>
      </c>
    </row>
    <row r="221" spans="3:5" customFormat="1" ht="17.399999999999999">
      <c r="C221" t="s">
        <v>2940</v>
      </c>
      <c r="E221" t="s">
        <v>2941</v>
      </c>
    </row>
    <row r="222" spans="3:5" customFormat="1" ht="17.399999999999999">
      <c r="C222" t="s">
        <v>2942</v>
      </c>
      <c r="E222" t="s">
        <v>2942</v>
      </c>
    </row>
    <row r="223" spans="3:5" customFormat="1" ht="17.399999999999999">
      <c r="C223" t="s">
        <v>193</v>
      </c>
      <c r="E223" t="s">
        <v>193</v>
      </c>
    </row>
    <row r="224" spans="3:5" customFormat="1" ht="17.399999999999999">
      <c r="C224" t="s">
        <v>2943</v>
      </c>
      <c r="E224" t="s">
        <v>2943</v>
      </c>
    </row>
    <row r="225" spans="3:5" customFormat="1" ht="17.399999999999999">
      <c r="C225" t="s">
        <v>2944</v>
      </c>
      <c r="E225" t="s">
        <v>2944</v>
      </c>
    </row>
    <row r="226" spans="3:5" customFormat="1" ht="17.399999999999999">
      <c r="C226" t="s">
        <v>2945</v>
      </c>
      <c r="E226" t="s">
        <v>2946</v>
      </c>
    </row>
    <row r="227" spans="3:5" customFormat="1" ht="17.399999999999999">
      <c r="C227" t="s">
        <v>2947</v>
      </c>
      <c r="E227" t="s">
        <v>2948</v>
      </c>
    </row>
    <row r="228" spans="3:5" customFormat="1" ht="17.399999999999999">
      <c r="C228" t="s">
        <v>2574</v>
      </c>
      <c r="E228" t="s">
        <v>2574</v>
      </c>
    </row>
    <row r="229" spans="3:5" customFormat="1" ht="17.399999999999999">
      <c r="C229" t="s">
        <v>2719</v>
      </c>
      <c r="E229" t="s">
        <v>2719</v>
      </c>
    </row>
    <row r="230" spans="3:5" customFormat="1" ht="17.399999999999999">
      <c r="C230" t="s">
        <v>195</v>
      </c>
      <c r="E230" t="s">
        <v>195</v>
      </c>
    </row>
    <row r="231" spans="3:5" customFormat="1" ht="17.399999999999999">
      <c r="C231" t="s">
        <v>196</v>
      </c>
      <c r="E231" t="s">
        <v>196</v>
      </c>
    </row>
    <row r="232" spans="3:5" customFormat="1" ht="17.399999999999999">
      <c r="C232" t="s">
        <v>131</v>
      </c>
      <c r="E232" t="s">
        <v>131</v>
      </c>
    </row>
    <row r="233" spans="3:5" customFormat="1" ht="17.399999999999999">
      <c r="C233" t="s">
        <v>1959</v>
      </c>
      <c r="E233" t="s">
        <v>133</v>
      </c>
    </row>
    <row r="234" spans="3:5" customFormat="1" ht="17.399999999999999">
      <c r="C234" t="s">
        <v>2949</v>
      </c>
      <c r="E234" t="s">
        <v>2949</v>
      </c>
    </row>
    <row r="235" spans="3:5" customFormat="1" ht="17.399999999999999">
      <c r="C235" t="s">
        <v>2950</v>
      </c>
      <c r="E235" t="s">
        <v>2950</v>
      </c>
    </row>
    <row r="236" spans="3:5" customFormat="1" ht="17.399999999999999">
      <c r="C236" t="s">
        <v>137</v>
      </c>
      <c r="E236" t="s">
        <v>137</v>
      </c>
    </row>
    <row r="237" spans="3:5" customFormat="1" ht="17.399999999999999">
      <c r="C237" t="s">
        <v>2951</v>
      </c>
      <c r="E237" t="s">
        <v>2951</v>
      </c>
    </row>
    <row r="238" spans="3:5" customFormat="1" ht="17.399999999999999">
      <c r="C238" t="s">
        <v>1960</v>
      </c>
      <c r="E238" t="s">
        <v>1960</v>
      </c>
    </row>
    <row r="239" spans="3:5" customFormat="1" ht="17.399999999999999">
      <c r="C239" t="s">
        <v>1967</v>
      </c>
      <c r="E239" t="s">
        <v>1967</v>
      </c>
    </row>
    <row r="240" spans="3:5" customFormat="1" ht="17.399999999999999">
      <c r="C240" t="s">
        <v>2952</v>
      </c>
      <c r="E240" t="s">
        <v>2952</v>
      </c>
    </row>
    <row r="241" spans="3:5" customFormat="1" ht="17.399999999999999">
      <c r="C241" t="s">
        <v>140</v>
      </c>
      <c r="E241" t="s">
        <v>140</v>
      </c>
    </row>
    <row r="242" spans="3:5" customFormat="1" ht="17.399999999999999">
      <c r="C242" t="s">
        <v>2953</v>
      </c>
      <c r="E242" t="s">
        <v>2953</v>
      </c>
    </row>
    <row r="243" spans="3:5" customFormat="1" ht="17.399999999999999">
      <c r="C243" t="s">
        <v>2080</v>
      </c>
      <c r="E243" t="s">
        <v>2791</v>
      </c>
    </row>
    <row r="244" spans="3:5" customFormat="1" ht="17.399999999999999">
      <c r="C244" t="s">
        <v>2954</v>
      </c>
      <c r="E244" t="s">
        <v>2954</v>
      </c>
    </row>
    <row r="245" spans="3:5" customFormat="1" ht="17.399999999999999">
      <c r="C245" t="s">
        <v>1961</v>
      </c>
      <c r="E245" t="s">
        <v>1961</v>
      </c>
    </row>
    <row r="246" spans="3:5" customFormat="1" ht="17.399999999999999">
      <c r="C246" t="s">
        <v>2955</v>
      </c>
      <c r="E246" t="s">
        <v>2955</v>
      </c>
    </row>
    <row r="247" spans="3:5" customFormat="1" ht="17.399999999999999">
      <c r="C247" t="s">
        <v>2956</v>
      </c>
      <c r="E247" t="s">
        <v>2957</v>
      </c>
    </row>
    <row r="248" spans="3:5" customFormat="1" ht="17.399999999999999">
      <c r="C248" t="s">
        <v>1962</v>
      </c>
      <c r="E248" t="s">
        <v>1962</v>
      </c>
    </row>
    <row r="249" spans="3:5" customFormat="1" ht="17.399999999999999">
      <c r="C249" t="s">
        <v>2958</v>
      </c>
      <c r="E249" t="s">
        <v>2959</v>
      </c>
    </row>
    <row r="250" spans="3:5" customFormat="1" ht="17.399999999999999">
      <c r="C250" t="s">
        <v>2960</v>
      </c>
      <c r="E250" t="s">
        <v>2961</v>
      </c>
    </row>
    <row r="251" spans="3:5" customFormat="1" ht="17.399999999999999">
      <c r="C251" t="s">
        <v>2746</v>
      </c>
      <c r="E251" t="s">
        <v>2746</v>
      </c>
    </row>
    <row r="252" spans="3:5" customFormat="1" ht="17.399999999999999">
      <c r="C252" t="s">
        <v>1065</v>
      </c>
      <c r="E252" t="s">
        <v>1065</v>
      </c>
    </row>
    <row r="253" spans="3:5" customFormat="1" ht="17.399999999999999">
      <c r="C253" t="s">
        <v>1066</v>
      </c>
      <c r="D253" t="s">
        <v>1067</v>
      </c>
      <c r="E253" t="s">
        <v>1066</v>
      </c>
    </row>
    <row r="254" spans="3:5" customFormat="1" ht="17.399999999999999">
      <c r="C254" t="s">
        <v>1963</v>
      </c>
      <c r="E254" t="s">
        <v>1963</v>
      </c>
    </row>
    <row r="255" spans="3:5" customFormat="1" ht="17.399999999999999">
      <c r="C255" t="s">
        <v>1070</v>
      </c>
      <c r="E255" t="s">
        <v>1070</v>
      </c>
    </row>
    <row r="256" spans="3:5" customFormat="1" ht="17.399999999999999">
      <c r="C256" t="s">
        <v>2962</v>
      </c>
      <c r="E256" t="s">
        <v>2962</v>
      </c>
    </row>
    <row r="257" spans="3:5" customFormat="1" ht="17.399999999999999">
      <c r="C257" t="s">
        <v>1118</v>
      </c>
      <c r="E257" t="s">
        <v>1118</v>
      </c>
    </row>
    <row r="258" spans="3:5" customFormat="1" ht="17.399999999999999">
      <c r="C258" t="s">
        <v>1964</v>
      </c>
      <c r="E258" t="s">
        <v>1964</v>
      </c>
    </row>
    <row r="259" spans="3:5" customFormat="1" ht="17.399999999999999">
      <c r="C259" t="s">
        <v>2963</v>
      </c>
      <c r="E259" t="s">
        <v>2964</v>
      </c>
    </row>
    <row r="260" spans="3:5" customFormat="1" ht="17.399999999999999">
      <c r="C260" t="s">
        <v>2965</v>
      </c>
      <c r="E260" t="s">
        <v>2965</v>
      </c>
    </row>
    <row r="261" spans="3:5" customFormat="1" ht="17.399999999999999">
      <c r="C261" t="s">
        <v>2966</v>
      </c>
      <c r="E261" t="s">
        <v>2966</v>
      </c>
    </row>
    <row r="262" spans="3:5" customFormat="1" ht="17.399999999999999">
      <c r="C262" t="s">
        <v>1914</v>
      </c>
      <c r="E262" t="s">
        <v>1914</v>
      </c>
    </row>
    <row r="263" spans="3:5" customFormat="1" ht="17.399999999999999">
      <c r="C263" t="s">
        <v>2533</v>
      </c>
      <c r="D263" t="s">
        <v>2533</v>
      </c>
      <c r="E263" t="s">
        <v>2533</v>
      </c>
    </row>
    <row r="264" spans="3:5" customFormat="1" ht="17.399999999999999">
      <c r="C264" t="s">
        <v>2967</v>
      </c>
      <c r="E264" t="s">
        <v>2968</v>
      </c>
    </row>
    <row r="265" spans="3:5" customFormat="1" ht="17.399999999999999">
      <c r="C265" t="s">
        <v>2969</v>
      </c>
      <c r="E265" t="s">
        <v>2970</v>
      </c>
    </row>
    <row r="266" spans="3:5" customFormat="1" ht="17.399999999999999">
      <c r="C266" t="s">
        <v>2971</v>
      </c>
      <c r="E266" t="s">
        <v>2972</v>
      </c>
    </row>
    <row r="267" spans="3:5" customFormat="1" ht="17.399999999999999">
      <c r="C267" t="s">
        <v>2973</v>
      </c>
      <c r="E267" t="s">
        <v>2974</v>
      </c>
    </row>
    <row r="268" spans="3:5" customFormat="1" ht="17.399999999999999">
      <c r="C268" t="s">
        <v>2975</v>
      </c>
      <c r="E268" t="s">
        <v>2975</v>
      </c>
    </row>
    <row r="269" spans="3:5" customFormat="1" ht="17.399999999999999">
      <c r="C269" t="s">
        <v>1392</v>
      </c>
      <c r="D269" t="s">
        <v>1393</v>
      </c>
      <c r="E269" t="s">
        <v>1392</v>
      </c>
    </row>
    <row r="270" spans="3:5" customFormat="1" ht="17.399999999999999">
      <c r="C270" t="s">
        <v>2976</v>
      </c>
      <c r="E270" t="s">
        <v>2976</v>
      </c>
    </row>
    <row r="271" spans="3:5" customFormat="1" ht="17.399999999999999">
      <c r="C271" t="s">
        <v>1397</v>
      </c>
      <c r="E271" t="s">
        <v>1397</v>
      </c>
    </row>
    <row r="272" spans="3:5" customFormat="1" ht="17.399999999999999">
      <c r="C272" t="s">
        <v>2977</v>
      </c>
      <c r="E272" t="s">
        <v>2978</v>
      </c>
    </row>
    <row r="273" spans="3:5" customFormat="1" ht="17.399999999999999">
      <c r="C273" t="s">
        <v>2979</v>
      </c>
      <c r="E273" t="s">
        <v>2980</v>
      </c>
    </row>
    <row r="274" spans="3:5" customFormat="1" ht="17.399999999999999">
      <c r="C274" t="s">
        <v>1398</v>
      </c>
      <c r="E274" t="s">
        <v>1399</v>
      </c>
    </row>
    <row r="275" spans="3:5" customFormat="1" ht="17.399999999999999">
      <c r="C275" t="s">
        <v>1400</v>
      </c>
      <c r="E275" t="s">
        <v>1401</v>
      </c>
    </row>
    <row r="276" spans="3:5" customFormat="1" ht="17.399999999999999">
      <c r="C276" t="s">
        <v>2981</v>
      </c>
      <c r="E276" t="s">
        <v>2797</v>
      </c>
    </row>
    <row r="277" spans="3:5" customFormat="1" ht="17.399999999999999">
      <c r="C277" t="s">
        <v>1402</v>
      </c>
      <c r="E277" t="s">
        <v>1403</v>
      </c>
    </row>
    <row r="278" spans="3:5" customFormat="1" ht="17.399999999999999">
      <c r="C278" t="s">
        <v>1405</v>
      </c>
      <c r="E278" t="s">
        <v>2982</v>
      </c>
    </row>
    <row r="279" spans="3:5" customFormat="1" ht="17.399999999999999">
      <c r="C279" t="s">
        <v>1407</v>
      </c>
      <c r="E279" t="s">
        <v>139</v>
      </c>
    </row>
    <row r="280" spans="3:5" customFormat="1" ht="17.399999999999999">
      <c r="C280" t="s">
        <v>1408</v>
      </c>
      <c r="E280" t="s">
        <v>759</v>
      </c>
    </row>
    <row r="281" spans="3:5" customFormat="1" ht="17.399999999999999">
      <c r="C281" t="s">
        <v>1884</v>
      </c>
      <c r="D281" t="s">
        <v>1965</v>
      </c>
      <c r="E281" t="s">
        <v>646</v>
      </c>
    </row>
    <row r="282" spans="3:5" customFormat="1" ht="17.399999999999999">
      <c r="C282" t="s">
        <v>1409</v>
      </c>
      <c r="D282" t="s">
        <v>2984</v>
      </c>
      <c r="E282" t="s">
        <v>2983</v>
      </c>
    </row>
    <row r="283" spans="3:5" customFormat="1" ht="17.399999999999999">
      <c r="C283" t="s">
        <v>2985</v>
      </c>
      <c r="E283" t="s">
        <v>2986</v>
      </c>
    </row>
    <row r="284" spans="3:5" customFormat="1" ht="17.399999999999999">
      <c r="C284" t="s">
        <v>1410</v>
      </c>
      <c r="D284" t="s">
        <v>123</v>
      </c>
      <c r="E284" t="s">
        <v>2987</v>
      </c>
    </row>
    <row r="285" spans="3:5" customFormat="1" ht="17.399999999999999">
      <c r="C285" t="s">
        <v>1410</v>
      </c>
      <c r="D285" t="s">
        <v>123</v>
      </c>
      <c r="E285" t="s">
        <v>2988</v>
      </c>
    </row>
    <row r="286" spans="3:5" customFormat="1" ht="17.399999999999999">
      <c r="C286" t="s">
        <v>1266</v>
      </c>
      <c r="D286" t="s">
        <v>1267</v>
      </c>
      <c r="E286" t="s">
        <v>2989</v>
      </c>
    </row>
    <row r="287" spans="3:5" customFormat="1" ht="17.399999999999999">
      <c r="C287" t="s">
        <v>2990</v>
      </c>
      <c r="E287" t="s">
        <v>2991</v>
      </c>
    </row>
    <row r="288" spans="3:5" customFormat="1" ht="17.399999999999999">
      <c r="C288" t="s">
        <v>1268</v>
      </c>
      <c r="D288" t="s">
        <v>279</v>
      </c>
      <c r="E288" t="s">
        <v>278</v>
      </c>
    </row>
    <row r="289" spans="3:5" customFormat="1" ht="17.399999999999999">
      <c r="C289" t="s">
        <v>1968</v>
      </c>
      <c r="E289" t="s">
        <v>2992</v>
      </c>
    </row>
    <row r="290" spans="3:5" customFormat="1" ht="17.399999999999999">
      <c r="C290" t="s">
        <v>2993</v>
      </c>
      <c r="E290" t="s">
        <v>2994</v>
      </c>
    </row>
    <row r="291" spans="3:5" customFormat="1" ht="17.399999999999999">
      <c r="C291" t="s">
        <v>1269</v>
      </c>
      <c r="D291" t="s">
        <v>1271</v>
      </c>
      <c r="E291" t="s">
        <v>1406</v>
      </c>
    </row>
    <row r="292" spans="3:5" customFormat="1" ht="17.399999999999999">
      <c r="C292" t="s">
        <v>1269</v>
      </c>
      <c r="D292" t="s">
        <v>1271</v>
      </c>
      <c r="E292" t="s">
        <v>1270</v>
      </c>
    </row>
    <row r="293" spans="3:5" customFormat="1" ht="17.399999999999999">
      <c r="C293" t="s">
        <v>2995</v>
      </c>
      <c r="E293" t="s">
        <v>2996</v>
      </c>
    </row>
    <row r="294" spans="3:5" customFormat="1" ht="17.399999999999999">
      <c r="C294" t="s">
        <v>1272</v>
      </c>
      <c r="E294" t="s">
        <v>2182</v>
      </c>
    </row>
    <row r="295" spans="3:5" customFormat="1" ht="17.399999999999999">
      <c r="C295" t="s">
        <v>1273</v>
      </c>
      <c r="E295" t="s">
        <v>1969</v>
      </c>
    </row>
    <row r="296" spans="3:5" customFormat="1" ht="17.399999999999999">
      <c r="C296" t="s">
        <v>1970</v>
      </c>
      <c r="E296" t="s">
        <v>2787</v>
      </c>
    </row>
    <row r="297" spans="3:5" customFormat="1" ht="17.399999999999999">
      <c r="C297" t="s">
        <v>1971</v>
      </c>
      <c r="D297" t="s">
        <v>4388</v>
      </c>
      <c r="E297" t="s">
        <v>4387</v>
      </c>
    </row>
    <row r="298" spans="3:5" customFormat="1" ht="17.399999999999999">
      <c r="C298" t="s">
        <v>2997</v>
      </c>
      <c r="E298" t="s">
        <v>2998</v>
      </c>
    </row>
    <row r="299" spans="3:5" customFormat="1" ht="17.399999999999999">
      <c r="C299" t="s">
        <v>2999</v>
      </c>
      <c r="E299" t="s">
        <v>3000</v>
      </c>
    </row>
    <row r="300" spans="3:5" customFormat="1" ht="17.399999999999999">
      <c r="C300" t="s">
        <v>1972</v>
      </c>
      <c r="E300" t="s">
        <v>3001</v>
      </c>
    </row>
    <row r="301" spans="3:5" customFormat="1" ht="17.399999999999999">
      <c r="C301" t="s">
        <v>1274</v>
      </c>
      <c r="D301" t="s">
        <v>4389</v>
      </c>
      <c r="E301" t="s">
        <v>672</v>
      </c>
    </row>
    <row r="302" spans="3:5" customFormat="1" ht="17.399999999999999">
      <c r="C302" t="s">
        <v>3002</v>
      </c>
      <c r="E302" t="s">
        <v>3003</v>
      </c>
    </row>
    <row r="303" spans="3:5" customFormat="1" ht="17.399999999999999">
      <c r="C303" t="s">
        <v>1276</v>
      </c>
      <c r="E303" t="s">
        <v>1973</v>
      </c>
    </row>
    <row r="304" spans="3:5" customFormat="1" ht="17.399999999999999">
      <c r="C304" t="s">
        <v>1974</v>
      </c>
      <c r="E304" t="s">
        <v>3004</v>
      </c>
    </row>
    <row r="305" spans="3:5" customFormat="1" ht="17.399999999999999">
      <c r="C305" t="s">
        <v>1975</v>
      </c>
      <c r="E305" t="s">
        <v>1976</v>
      </c>
    </row>
    <row r="306" spans="3:5" customFormat="1" ht="17.399999999999999">
      <c r="C306" t="s">
        <v>1977</v>
      </c>
      <c r="E306" t="s">
        <v>3005</v>
      </c>
    </row>
    <row r="307" spans="3:5" customFormat="1" ht="17.399999999999999">
      <c r="C307" t="s">
        <v>1978</v>
      </c>
      <c r="E307" t="s">
        <v>1979</v>
      </c>
    </row>
    <row r="308" spans="3:5" customFormat="1" ht="17.399999999999999">
      <c r="C308" t="s">
        <v>3006</v>
      </c>
      <c r="E308" t="s">
        <v>2655</v>
      </c>
    </row>
    <row r="309" spans="3:5" customFormat="1" ht="17.399999999999999">
      <c r="C309" t="s">
        <v>1277</v>
      </c>
      <c r="E309" t="s">
        <v>1415</v>
      </c>
    </row>
    <row r="310" spans="3:5" customFormat="1" ht="17.399999999999999">
      <c r="C310" t="s">
        <v>3007</v>
      </c>
      <c r="E310" t="s">
        <v>3008</v>
      </c>
    </row>
    <row r="311" spans="3:5" customFormat="1" ht="17.399999999999999">
      <c r="C311" t="s">
        <v>1412</v>
      </c>
      <c r="E311" t="s">
        <v>1981</v>
      </c>
    </row>
    <row r="312" spans="3:5" customFormat="1" ht="17.399999999999999">
      <c r="C312" t="s">
        <v>1982</v>
      </c>
      <c r="D312" t="s">
        <v>1983</v>
      </c>
      <c r="E312" t="s">
        <v>1984</v>
      </c>
    </row>
    <row r="313" spans="3:5" customFormat="1" ht="17.399999999999999">
      <c r="C313" t="s">
        <v>1414</v>
      </c>
      <c r="E313" t="s">
        <v>3009</v>
      </c>
    </row>
    <row r="314" spans="3:5" customFormat="1" ht="17.399999999999999">
      <c r="C314" t="s">
        <v>1416</v>
      </c>
      <c r="E314" t="s">
        <v>1417</v>
      </c>
    </row>
    <row r="315" spans="3:5" customFormat="1" ht="17.399999999999999">
      <c r="C315" t="s">
        <v>1418</v>
      </c>
      <c r="E315" t="s">
        <v>3010</v>
      </c>
    </row>
    <row r="316" spans="3:5" customFormat="1" ht="17.399999999999999">
      <c r="C316" t="s">
        <v>1419</v>
      </c>
      <c r="E316" t="s">
        <v>1420</v>
      </c>
    </row>
    <row r="317" spans="3:5" customFormat="1" ht="17.399999999999999">
      <c r="C317" t="s">
        <v>1419</v>
      </c>
      <c r="D317" t="s">
        <v>1363</v>
      </c>
      <c r="E317" t="s">
        <v>3011</v>
      </c>
    </row>
    <row r="318" spans="3:5" customFormat="1" ht="17.399999999999999">
      <c r="C318" t="s">
        <v>1421</v>
      </c>
      <c r="E318" t="s">
        <v>1422</v>
      </c>
    </row>
    <row r="319" spans="3:5" customFormat="1" ht="17.399999999999999">
      <c r="C319" t="s">
        <v>1423</v>
      </c>
      <c r="E319" t="s">
        <v>1987</v>
      </c>
    </row>
    <row r="320" spans="3:5" customFormat="1" ht="17.399999999999999">
      <c r="C320" t="s">
        <v>1988</v>
      </c>
      <c r="E320" t="s">
        <v>1232</v>
      </c>
    </row>
    <row r="321" spans="3:5" customFormat="1" ht="17.399999999999999">
      <c r="C321" t="s">
        <v>1424</v>
      </c>
      <c r="D321" t="s">
        <v>1237</v>
      </c>
      <c r="E321" t="s">
        <v>3012</v>
      </c>
    </row>
    <row r="322" spans="3:5" customFormat="1" ht="17.399999999999999">
      <c r="C322" t="s">
        <v>3013</v>
      </c>
      <c r="E322" t="s">
        <v>3014</v>
      </c>
    </row>
    <row r="323" spans="3:5" customFormat="1" ht="17.399999999999999">
      <c r="C323" t="s">
        <v>3015</v>
      </c>
      <c r="E323" t="s">
        <v>1149</v>
      </c>
    </row>
    <row r="324" spans="3:5" customFormat="1" ht="17.399999999999999">
      <c r="C324" t="s">
        <v>1990</v>
      </c>
      <c r="E324" t="s">
        <v>1991</v>
      </c>
    </row>
    <row r="325" spans="3:5" customFormat="1" ht="17.399999999999999">
      <c r="C325" t="s">
        <v>1230</v>
      </c>
      <c r="E325" t="s">
        <v>3016</v>
      </c>
    </row>
    <row r="326" spans="3:5" customFormat="1" ht="17.399999999999999">
      <c r="C326" t="s">
        <v>1231</v>
      </c>
      <c r="D326" t="s">
        <v>1836</v>
      </c>
      <c r="E326" t="s">
        <v>1992</v>
      </c>
    </row>
    <row r="327" spans="3:5" customFormat="1" ht="17.399999999999999">
      <c r="C327" t="s">
        <v>3017</v>
      </c>
      <c r="E327" t="s">
        <v>1986</v>
      </c>
    </row>
    <row r="328" spans="3:5" customFormat="1" ht="17.399999999999999">
      <c r="C328" t="s">
        <v>1234</v>
      </c>
      <c r="D328" t="s">
        <v>3018</v>
      </c>
      <c r="E328" t="s">
        <v>738</v>
      </c>
    </row>
    <row r="329" spans="3:5" customFormat="1" ht="17.399999999999999">
      <c r="C329" t="s">
        <v>3019</v>
      </c>
      <c r="E329" t="s">
        <v>3020</v>
      </c>
    </row>
    <row r="330" spans="3:5" customFormat="1" ht="17.399999999999999">
      <c r="C330" t="s">
        <v>1235</v>
      </c>
      <c r="D330" t="s">
        <v>3021</v>
      </c>
      <c r="E330" t="s">
        <v>1993</v>
      </c>
    </row>
    <row r="331" spans="3:5" customFormat="1" ht="17.399999999999999">
      <c r="C331" t="s">
        <v>1236</v>
      </c>
      <c r="E331" t="s">
        <v>3022</v>
      </c>
    </row>
    <row r="332" spans="3:5" customFormat="1" ht="17.399999999999999">
      <c r="C332" t="s">
        <v>3023</v>
      </c>
      <c r="E332" t="s">
        <v>624</v>
      </c>
    </row>
    <row r="333" spans="3:5" customFormat="1" ht="17.399999999999999">
      <c r="C333" t="s">
        <v>3024</v>
      </c>
      <c r="E333" t="s">
        <v>3025</v>
      </c>
    </row>
    <row r="334" spans="3:5" customFormat="1" ht="17.399999999999999">
      <c r="C334" t="s">
        <v>1994</v>
      </c>
      <c r="E334" t="s">
        <v>136</v>
      </c>
    </row>
    <row r="335" spans="3:5" customFormat="1" ht="17.399999999999999">
      <c r="C335" t="s">
        <v>1995</v>
      </c>
      <c r="D335" t="s">
        <v>3027</v>
      </c>
      <c r="E335" t="s">
        <v>3026</v>
      </c>
    </row>
    <row r="336" spans="3:5" customFormat="1" ht="17.399999999999999">
      <c r="C336" t="s">
        <v>1996</v>
      </c>
      <c r="E336" t="s">
        <v>1997</v>
      </c>
    </row>
    <row r="337" spans="3:5" customFormat="1" ht="17.399999999999999">
      <c r="C337" t="s">
        <v>1238</v>
      </c>
      <c r="D337" t="s">
        <v>271</v>
      </c>
      <c r="E337" t="s">
        <v>1535</v>
      </c>
    </row>
    <row r="338" spans="3:5" customFormat="1" ht="17.399999999999999">
      <c r="C338" t="s">
        <v>1239</v>
      </c>
      <c r="E338" t="s">
        <v>3028</v>
      </c>
    </row>
    <row r="339" spans="3:5" customFormat="1" ht="17.399999999999999">
      <c r="C339" t="s">
        <v>3029</v>
      </c>
      <c r="E339" t="s">
        <v>3030</v>
      </c>
    </row>
    <row r="340" spans="3:5" customFormat="1" ht="17.399999999999999">
      <c r="C340" t="s">
        <v>3031</v>
      </c>
      <c r="E340" t="s">
        <v>3032</v>
      </c>
    </row>
    <row r="341" spans="3:5" customFormat="1" ht="17.399999999999999">
      <c r="C341" t="s">
        <v>3033</v>
      </c>
      <c r="E341" t="s">
        <v>3034</v>
      </c>
    </row>
    <row r="342" spans="3:5" customFormat="1" ht="17.399999999999999">
      <c r="C342" t="s">
        <v>1241</v>
      </c>
      <c r="D342" t="s">
        <v>1999</v>
      </c>
      <c r="E342" t="s">
        <v>1240</v>
      </c>
    </row>
    <row r="343" spans="3:5" customFormat="1" ht="17.399999999999999">
      <c r="C343" t="s">
        <v>918</v>
      </c>
      <c r="D343" t="s">
        <v>1532</v>
      </c>
      <c r="E343" t="s">
        <v>2000</v>
      </c>
    </row>
    <row r="344" spans="3:5" customFormat="1" ht="17.399999999999999">
      <c r="C344" t="s">
        <v>919</v>
      </c>
      <c r="D344" t="s">
        <v>3036</v>
      </c>
      <c r="E344" t="s">
        <v>3035</v>
      </c>
    </row>
    <row r="345" spans="3:5" customFormat="1" ht="17.399999999999999">
      <c r="C345" t="s">
        <v>920</v>
      </c>
      <c r="D345" t="s">
        <v>3038</v>
      </c>
      <c r="E345" t="s">
        <v>3037</v>
      </c>
    </row>
    <row r="346" spans="3:5" customFormat="1" ht="17.399999999999999">
      <c r="C346" t="s">
        <v>922</v>
      </c>
      <c r="E346" t="s">
        <v>3039</v>
      </c>
    </row>
    <row r="347" spans="3:5" customFormat="1" ht="17.399999999999999">
      <c r="C347" t="s">
        <v>924</v>
      </c>
      <c r="E347" t="s">
        <v>531</v>
      </c>
    </row>
    <row r="348" spans="3:5" customFormat="1" ht="17.399999999999999">
      <c r="C348" t="s">
        <v>925</v>
      </c>
      <c r="E348" t="s">
        <v>2212</v>
      </c>
    </row>
    <row r="349" spans="3:5" customFormat="1" ht="17.399999999999999">
      <c r="C349" t="s">
        <v>927</v>
      </c>
      <c r="E349" t="s">
        <v>2002</v>
      </c>
    </row>
    <row r="350" spans="3:5" customFormat="1" ht="17.399999999999999">
      <c r="C350" t="s">
        <v>928</v>
      </c>
      <c r="E350" t="s">
        <v>3040</v>
      </c>
    </row>
    <row r="351" spans="3:5" customFormat="1" ht="17.399999999999999">
      <c r="C351" t="s">
        <v>929</v>
      </c>
      <c r="E351" t="s">
        <v>3041</v>
      </c>
    </row>
    <row r="352" spans="3:5" customFormat="1" ht="17.399999999999999">
      <c r="C352" t="s">
        <v>930</v>
      </c>
      <c r="D352" t="s">
        <v>932</v>
      </c>
      <c r="E352" t="s">
        <v>931</v>
      </c>
    </row>
    <row r="353" spans="3:5" customFormat="1" ht="17.399999999999999">
      <c r="C353" t="s">
        <v>2003</v>
      </c>
      <c r="D353" t="s">
        <v>3043</v>
      </c>
      <c r="E353" t="s">
        <v>3042</v>
      </c>
    </row>
    <row r="354" spans="3:5" customFormat="1" ht="17.399999999999999">
      <c r="C354" t="s">
        <v>3044</v>
      </c>
      <c r="D354" t="s">
        <v>3046</v>
      </c>
      <c r="E354" t="s">
        <v>3045</v>
      </c>
    </row>
    <row r="355" spans="3:5" customFormat="1" ht="17.399999999999999">
      <c r="C355" t="s">
        <v>3047</v>
      </c>
      <c r="D355" t="s">
        <v>3049</v>
      </c>
      <c r="E355" t="s">
        <v>3048</v>
      </c>
    </row>
    <row r="356" spans="3:5" customFormat="1" ht="17.399999999999999">
      <c r="C356" t="s">
        <v>934</v>
      </c>
      <c r="E356" t="s">
        <v>935</v>
      </c>
    </row>
    <row r="357" spans="3:5" customFormat="1" ht="17.399999999999999">
      <c r="C357" t="s">
        <v>934</v>
      </c>
      <c r="D357" t="s">
        <v>3051</v>
      </c>
      <c r="E357" t="s">
        <v>3050</v>
      </c>
    </row>
    <row r="358" spans="3:5" customFormat="1" ht="17.399999999999999">
      <c r="C358" t="s">
        <v>936</v>
      </c>
      <c r="E358" t="s">
        <v>2303</v>
      </c>
    </row>
    <row r="359" spans="3:5" customFormat="1" ht="17.399999999999999">
      <c r="C359" t="s">
        <v>3052</v>
      </c>
      <c r="D359" t="s">
        <v>3054</v>
      </c>
      <c r="E359" t="s">
        <v>3053</v>
      </c>
    </row>
    <row r="360" spans="3:5" customFormat="1" ht="17.399999999999999">
      <c r="C360" t="s">
        <v>937</v>
      </c>
      <c r="E360" t="s">
        <v>938</v>
      </c>
    </row>
    <row r="361" spans="3:5" customFormat="1" ht="17.399999999999999">
      <c r="C361" t="s">
        <v>3055</v>
      </c>
      <c r="D361" t="s">
        <v>3057</v>
      </c>
      <c r="E361" t="s">
        <v>3056</v>
      </c>
    </row>
    <row r="362" spans="3:5" customFormat="1" ht="17.399999999999999">
      <c r="C362" t="s">
        <v>1203</v>
      </c>
      <c r="E362" t="s">
        <v>1013</v>
      </c>
    </row>
    <row r="363" spans="3:5" customFormat="1" ht="17.399999999999999">
      <c r="C363" t="s">
        <v>1203</v>
      </c>
      <c r="D363" t="s">
        <v>836</v>
      </c>
      <c r="E363" t="s">
        <v>1204</v>
      </c>
    </row>
    <row r="364" spans="3:5" customFormat="1" ht="17.399999999999999">
      <c r="C364" t="s">
        <v>3058</v>
      </c>
      <c r="E364" t="s">
        <v>2731</v>
      </c>
    </row>
    <row r="365" spans="3:5" customFormat="1" ht="17.399999999999999">
      <c r="C365" t="s">
        <v>2004</v>
      </c>
      <c r="E365" t="s">
        <v>3059</v>
      </c>
    </row>
    <row r="366" spans="3:5" customFormat="1" ht="17.399999999999999">
      <c r="C366" t="s">
        <v>1205</v>
      </c>
      <c r="D366" t="s">
        <v>2005</v>
      </c>
      <c r="E366" t="s">
        <v>120</v>
      </c>
    </row>
    <row r="367" spans="3:5" customFormat="1" ht="17.399999999999999">
      <c r="C367" t="s">
        <v>2006</v>
      </c>
      <c r="E367" t="s">
        <v>1204</v>
      </c>
    </row>
    <row r="368" spans="3:5" customFormat="1" ht="17.399999999999999">
      <c r="C368" t="s">
        <v>2007</v>
      </c>
      <c r="D368" t="s">
        <v>789</v>
      </c>
      <c r="E368" t="s">
        <v>797</v>
      </c>
    </row>
    <row r="369" spans="3:5" customFormat="1" ht="17.399999999999999">
      <c r="C369" t="s">
        <v>1207</v>
      </c>
      <c r="D369" t="s">
        <v>3061</v>
      </c>
      <c r="E369" t="s">
        <v>3060</v>
      </c>
    </row>
    <row r="370" spans="3:5" customFormat="1" ht="17.399999999999999">
      <c r="C370" t="s">
        <v>1208</v>
      </c>
      <c r="E370" t="s">
        <v>3062</v>
      </c>
    </row>
    <row r="371" spans="3:5" customFormat="1" ht="17.399999999999999">
      <c r="C371" t="s">
        <v>3063</v>
      </c>
      <c r="E371" t="s">
        <v>3064</v>
      </c>
    </row>
    <row r="372" spans="3:5" customFormat="1" ht="17.399999999999999">
      <c r="C372" t="s">
        <v>1209</v>
      </c>
      <c r="D372" t="s">
        <v>1210</v>
      </c>
      <c r="E372" t="s">
        <v>3065</v>
      </c>
    </row>
    <row r="373" spans="3:5" customFormat="1" ht="17.399999999999999">
      <c r="C373" t="s">
        <v>1211</v>
      </c>
      <c r="D373" t="s">
        <v>3066</v>
      </c>
      <c r="E373" t="s">
        <v>755</v>
      </c>
    </row>
    <row r="374" spans="3:5" customFormat="1" ht="17.399999999999999">
      <c r="C374" t="s">
        <v>1212</v>
      </c>
      <c r="E374" t="s">
        <v>3067</v>
      </c>
    </row>
    <row r="375" spans="3:5" customFormat="1" ht="17.399999999999999">
      <c r="C375" t="s">
        <v>1213</v>
      </c>
      <c r="D375" t="s">
        <v>3069</v>
      </c>
      <c r="E375" t="s">
        <v>3068</v>
      </c>
    </row>
    <row r="376" spans="3:5" customFormat="1" ht="17.399999999999999">
      <c r="C376" t="s">
        <v>1214</v>
      </c>
      <c r="E376" t="s">
        <v>1952</v>
      </c>
    </row>
    <row r="377" spans="3:5" customFormat="1" ht="17.399999999999999">
      <c r="C377" t="s">
        <v>2009</v>
      </c>
      <c r="E377" t="s">
        <v>2010</v>
      </c>
    </row>
    <row r="378" spans="3:5" customFormat="1" ht="17.399999999999999">
      <c r="C378" t="s">
        <v>1216</v>
      </c>
      <c r="E378" t="s">
        <v>1217</v>
      </c>
    </row>
    <row r="379" spans="3:5" customFormat="1" ht="17.399999999999999">
      <c r="C379" t="s">
        <v>3070</v>
      </c>
      <c r="E379" t="s">
        <v>2640</v>
      </c>
    </row>
    <row r="380" spans="3:5" customFormat="1" ht="17.399999999999999">
      <c r="C380" t="s">
        <v>1219</v>
      </c>
      <c r="E380" t="s">
        <v>1220</v>
      </c>
    </row>
    <row r="381" spans="3:5" customFormat="1" ht="17.399999999999999">
      <c r="C381" t="s">
        <v>1223</v>
      </c>
      <c r="E381" t="s">
        <v>2718</v>
      </c>
    </row>
    <row r="382" spans="3:5" customFormat="1" ht="17.399999999999999">
      <c r="C382" t="s">
        <v>1223</v>
      </c>
      <c r="D382" t="s">
        <v>3072</v>
      </c>
      <c r="E382" t="s">
        <v>3071</v>
      </c>
    </row>
    <row r="383" spans="3:5" customFormat="1" ht="17.399999999999999">
      <c r="C383" t="s">
        <v>1225</v>
      </c>
      <c r="D383" t="s">
        <v>1221</v>
      </c>
      <c r="E383" t="s">
        <v>1226</v>
      </c>
    </row>
    <row r="384" spans="3:5" customFormat="1" ht="17.399999999999999">
      <c r="C384" t="s">
        <v>1227</v>
      </c>
      <c r="D384" t="s">
        <v>1228</v>
      </c>
      <c r="E384" t="s">
        <v>1218</v>
      </c>
    </row>
    <row r="385" spans="3:5" customFormat="1" ht="17.399999999999999">
      <c r="C385" t="s">
        <v>2012</v>
      </c>
      <c r="E385" t="s">
        <v>3073</v>
      </c>
    </row>
    <row r="386" spans="3:5" customFormat="1" ht="17.399999999999999">
      <c r="C386" t="s">
        <v>3074</v>
      </c>
      <c r="E386" t="s">
        <v>3075</v>
      </c>
    </row>
    <row r="387" spans="3:5" customFormat="1" ht="17.399999999999999">
      <c r="C387" t="s">
        <v>1063</v>
      </c>
      <c r="E387" t="s">
        <v>3076</v>
      </c>
    </row>
    <row r="388" spans="3:5" customFormat="1" ht="17.399999999999999">
      <c r="C388" t="s">
        <v>2013</v>
      </c>
      <c r="E388" t="s">
        <v>3077</v>
      </c>
    </row>
    <row r="389" spans="3:5" customFormat="1" ht="17.399999999999999">
      <c r="C389" t="s">
        <v>3078</v>
      </c>
      <c r="E389" t="s">
        <v>3079</v>
      </c>
    </row>
    <row r="390" spans="3:5" customFormat="1" ht="17.399999999999999">
      <c r="C390" t="s">
        <v>3080</v>
      </c>
      <c r="E390" t="s">
        <v>1077</v>
      </c>
    </row>
    <row r="391" spans="3:5" customFormat="1" ht="17.399999999999999">
      <c r="C391" t="s">
        <v>1187</v>
      </c>
      <c r="D391" t="s">
        <v>1188</v>
      </c>
      <c r="E391" t="s">
        <v>3081</v>
      </c>
    </row>
    <row r="392" spans="3:5" customFormat="1" ht="17.399999999999999">
      <c r="C392" t="s">
        <v>1187</v>
      </c>
      <c r="D392" t="s">
        <v>1188</v>
      </c>
      <c r="E392" t="s">
        <v>1433</v>
      </c>
    </row>
    <row r="393" spans="3:5" customFormat="1" ht="17.399999999999999">
      <c r="C393" t="s">
        <v>1189</v>
      </c>
      <c r="E393" t="s">
        <v>3082</v>
      </c>
    </row>
    <row r="394" spans="3:5" customFormat="1" ht="17.399999999999999">
      <c r="C394" t="s">
        <v>1190</v>
      </c>
      <c r="E394" t="s">
        <v>3083</v>
      </c>
    </row>
    <row r="395" spans="3:5" customFormat="1" ht="17.399999999999999">
      <c r="C395" t="s">
        <v>1192</v>
      </c>
      <c r="E395" t="s">
        <v>1193</v>
      </c>
    </row>
    <row r="396" spans="3:5" customFormat="1" ht="17.399999999999999">
      <c r="C396" t="s">
        <v>2015</v>
      </c>
      <c r="E396" t="s">
        <v>2014</v>
      </c>
    </row>
    <row r="397" spans="3:5" customFormat="1" ht="17.399999999999999">
      <c r="C397" t="s">
        <v>1537</v>
      </c>
      <c r="E397" t="s">
        <v>1064</v>
      </c>
    </row>
    <row r="398" spans="3:5" customFormat="1" ht="17.399999999999999">
      <c r="C398" t="s">
        <v>1539</v>
      </c>
      <c r="E398" t="s">
        <v>162</v>
      </c>
    </row>
    <row r="399" spans="3:5" customFormat="1" ht="17.399999999999999">
      <c r="C399" t="s">
        <v>1540</v>
      </c>
      <c r="E399" t="s">
        <v>1124</v>
      </c>
    </row>
    <row r="400" spans="3:5" customFormat="1" ht="17.399999999999999">
      <c r="C400" t="s">
        <v>1541</v>
      </c>
      <c r="E400" t="s">
        <v>3084</v>
      </c>
    </row>
    <row r="401" spans="3:5" customFormat="1" ht="17.399999999999999">
      <c r="C401" t="s">
        <v>1542</v>
      </c>
      <c r="E401" t="s">
        <v>1543</v>
      </c>
    </row>
    <row r="402" spans="3:5" customFormat="1" ht="17.399999999999999">
      <c r="C402" t="s">
        <v>1544</v>
      </c>
      <c r="E402" t="s">
        <v>1855</v>
      </c>
    </row>
    <row r="403" spans="3:5" customFormat="1" ht="17.399999999999999">
      <c r="C403" t="s">
        <v>1545</v>
      </c>
      <c r="E403" t="s">
        <v>3085</v>
      </c>
    </row>
    <row r="404" spans="3:5" customFormat="1" ht="17.399999999999999">
      <c r="C404" t="s">
        <v>1546</v>
      </c>
      <c r="E404" t="s">
        <v>879</v>
      </c>
    </row>
    <row r="405" spans="3:5" customFormat="1" ht="17.399999999999999">
      <c r="C405" t="s">
        <v>1547</v>
      </c>
      <c r="D405" t="s">
        <v>1548</v>
      </c>
      <c r="E405" t="s">
        <v>2137</v>
      </c>
    </row>
    <row r="406" spans="3:5" customFormat="1" ht="17.399999999999999">
      <c r="C406" t="s">
        <v>1549</v>
      </c>
      <c r="E406" t="s">
        <v>2018</v>
      </c>
    </row>
    <row r="407" spans="3:5" customFormat="1" ht="17.399999999999999">
      <c r="C407" t="s">
        <v>403</v>
      </c>
      <c r="E407" t="s">
        <v>1551</v>
      </c>
    </row>
    <row r="408" spans="3:5" customFormat="1" ht="17.399999999999999">
      <c r="C408" t="s">
        <v>404</v>
      </c>
      <c r="D408" t="s">
        <v>405</v>
      </c>
      <c r="E408" t="s">
        <v>3086</v>
      </c>
    </row>
    <row r="409" spans="3:5" customFormat="1" ht="17.399999999999999">
      <c r="C409" t="s">
        <v>406</v>
      </c>
      <c r="D409" t="s">
        <v>2020</v>
      </c>
      <c r="E409" t="s">
        <v>4390</v>
      </c>
    </row>
    <row r="410" spans="3:5" customFormat="1" ht="17.399999999999999">
      <c r="C410" t="s">
        <v>407</v>
      </c>
      <c r="D410" t="s">
        <v>409</v>
      </c>
      <c r="E410" t="s">
        <v>1101</v>
      </c>
    </row>
    <row r="411" spans="3:5" customFormat="1" ht="17.399999999999999">
      <c r="C411" t="s">
        <v>407</v>
      </c>
      <c r="D411" t="s">
        <v>409</v>
      </c>
      <c r="E411" t="s">
        <v>408</v>
      </c>
    </row>
    <row r="412" spans="3:5" customFormat="1" ht="17.399999999999999">
      <c r="C412" t="s">
        <v>2021</v>
      </c>
      <c r="E412" t="s">
        <v>2022</v>
      </c>
    </row>
    <row r="413" spans="3:5" customFormat="1" ht="17.399999999999999">
      <c r="C413" t="s">
        <v>410</v>
      </c>
      <c r="D413" t="s">
        <v>412</v>
      </c>
      <c r="E413" t="s">
        <v>411</v>
      </c>
    </row>
    <row r="414" spans="3:5" customFormat="1" ht="17.399999999999999">
      <c r="C414" t="s">
        <v>3087</v>
      </c>
      <c r="E414" t="s">
        <v>3088</v>
      </c>
    </row>
    <row r="415" spans="3:5" customFormat="1" ht="17.399999999999999">
      <c r="C415" t="s">
        <v>3089</v>
      </c>
      <c r="E415" t="s">
        <v>3090</v>
      </c>
    </row>
    <row r="416" spans="3:5" customFormat="1" ht="17.399999999999999">
      <c r="C416" t="s">
        <v>3091</v>
      </c>
      <c r="E416" t="s">
        <v>3092</v>
      </c>
    </row>
    <row r="417" spans="3:5" customFormat="1" ht="17.399999999999999">
      <c r="C417" t="s">
        <v>414</v>
      </c>
      <c r="E417" t="s">
        <v>1819</v>
      </c>
    </row>
    <row r="418" spans="3:5" customFormat="1" ht="17.399999999999999">
      <c r="C418" t="s">
        <v>414</v>
      </c>
      <c r="D418" t="s">
        <v>394</v>
      </c>
      <c r="E418" t="s">
        <v>3093</v>
      </c>
    </row>
    <row r="419" spans="3:5" customFormat="1" ht="17.399999999999999">
      <c r="C419" t="s">
        <v>415</v>
      </c>
      <c r="E419" t="s">
        <v>2023</v>
      </c>
    </row>
    <row r="420" spans="3:5" customFormat="1" ht="17.399999999999999">
      <c r="C420" t="s">
        <v>3094</v>
      </c>
      <c r="E420" t="s">
        <v>2270</v>
      </c>
    </row>
    <row r="421" spans="3:5" customFormat="1" ht="17.399999999999999">
      <c r="C421" t="s">
        <v>3095</v>
      </c>
      <c r="E421" t="s">
        <v>3096</v>
      </c>
    </row>
    <row r="422" spans="3:5" customFormat="1" ht="17.399999999999999">
      <c r="C422" t="s">
        <v>416</v>
      </c>
      <c r="E422" t="s">
        <v>1784</v>
      </c>
    </row>
    <row r="423" spans="3:5" customFormat="1" ht="17.399999999999999">
      <c r="C423" t="s">
        <v>417</v>
      </c>
      <c r="E423" t="s">
        <v>418</v>
      </c>
    </row>
    <row r="424" spans="3:5" customFormat="1" ht="17.399999999999999">
      <c r="C424" t="s">
        <v>290</v>
      </c>
      <c r="D424" t="s">
        <v>3097</v>
      </c>
      <c r="E424" t="s">
        <v>2534</v>
      </c>
    </row>
    <row r="425" spans="3:5" customFormat="1" ht="17.399999999999999">
      <c r="C425" t="s">
        <v>4391</v>
      </c>
      <c r="D425" t="s">
        <v>4393</v>
      </c>
      <c r="E425" t="s">
        <v>4392</v>
      </c>
    </row>
    <row r="426" spans="3:5" customFormat="1" ht="17.399999999999999">
      <c r="C426" t="s">
        <v>2026</v>
      </c>
      <c r="E426" t="s">
        <v>3098</v>
      </c>
    </row>
    <row r="427" spans="3:5" customFormat="1" ht="17.399999999999999">
      <c r="C427" t="s">
        <v>3099</v>
      </c>
      <c r="E427" t="s">
        <v>3100</v>
      </c>
    </row>
    <row r="428" spans="3:5" customFormat="1" ht="17.399999999999999">
      <c r="C428" t="s">
        <v>291</v>
      </c>
      <c r="E428" t="s">
        <v>1015</v>
      </c>
    </row>
    <row r="429" spans="3:5" customFormat="1" ht="17.399999999999999">
      <c r="C429" t="s">
        <v>291</v>
      </c>
      <c r="D429" t="s">
        <v>597</v>
      </c>
      <c r="E429" t="s">
        <v>2810</v>
      </c>
    </row>
    <row r="430" spans="3:5" customFormat="1" ht="17.399999999999999">
      <c r="C430" t="s">
        <v>292</v>
      </c>
      <c r="D430" t="s">
        <v>3102</v>
      </c>
      <c r="E430" t="s">
        <v>3101</v>
      </c>
    </row>
    <row r="431" spans="3:5" customFormat="1" ht="17.399999999999999">
      <c r="C431" t="s">
        <v>293</v>
      </c>
      <c r="E431" t="s">
        <v>294</v>
      </c>
    </row>
    <row r="432" spans="3:5" customFormat="1" ht="17.399999999999999">
      <c r="C432" t="s">
        <v>2027</v>
      </c>
      <c r="E432" t="s">
        <v>295</v>
      </c>
    </row>
    <row r="433" spans="3:5" customFormat="1" ht="17.399999999999999">
      <c r="C433" t="s">
        <v>296</v>
      </c>
      <c r="E433" t="s">
        <v>1562</v>
      </c>
    </row>
    <row r="434" spans="3:5" customFormat="1" ht="17.399999999999999">
      <c r="C434" t="s">
        <v>298</v>
      </c>
      <c r="E434" t="s">
        <v>2028</v>
      </c>
    </row>
    <row r="435" spans="3:5" customFormat="1" ht="17.399999999999999">
      <c r="C435" t="s">
        <v>2029</v>
      </c>
      <c r="E435" t="s">
        <v>2030</v>
      </c>
    </row>
    <row r="436" spans="3:5" customFormat="1" ht="17.399999999999999">
      <c r="C436" t="s">
        <v>299</v>
      </c>
      <c r="E436" t="s">
        <v>300</v>
      </c>
    </row>
    <row r="437" spans="3:5" customFormat="1" ht="17.399999999999999">
      <c r="C437" t="s">
        <v>301</v>
      </c>
      <c r="D437" t="s">
        <v>302</v>
      </c>
      <c r="E437" t="s">
        <v>3103</v>
      </c>
    </row>
    <row r="438" spans="3:5" customFormat="1" ht="17.399999999999999">
      <c r="C438" t="s">
        <v>2032</v>
      </c>
      <c r="E438" t="s">
        <v>3104</v>
      </c>
    </row>
    <row r="439" spans="3:5" customFormat="1" ht="17.399999999999999">
      <c r="C439" t="s">
        <v>303</v>
      </c>
      <c r="D439" t="s">
        <v>3106</v>
      </c>
      <c r="E439" t="s">
        <v>3105</v>
      </c>
    </row>
    <row r="440" spans="3:5" customFormat="1" ht="17.399999999999999">
      <c r="C440" t="s">
        <v>304</v>
      </c>
      <c r="D440" t="s">
        <v>2744</v>
      </c>
      <c r="E440" t="s">
        <v>1675</v>
      </c>
    </row>
    <row r="441" spans="3:5" customFormat="1" ht="17.399999999999999">
      <c r="C441" t="s">
        <v>304</v>
      </c>
      <c r="E441" t="s">
        <v>1675</v>
      </c>
    </row>
    <row r="442" spans="3:5" customFormat="1" ht="17.399999999999999">
      <c r="C442" t="s">
        <v>305</v>
      </c>
      <c r="E442" t="s">
        <v>1740</v>
      </c>
    </row>
    <row r="443" spans="3:5" customFormat="1" ht="17.399999999999999">
      <c r="C443" t="s">
        <v>3107</v>
      </c>
      <c r="D443" t="s">
        <v>3109</v>
      </c>
      <c r="E443" t="s">
        <v>3108</v>
      </c>
    </row>
    <row r="444" spans="3:5" customFormat="1" ht="17.399999999999999">
      <c r="C444" t="s">
        <v>306</v>
      </c>
      <c r="E444" t="s">
        <v>2250</v>
      </c>
    </row>
    <row r="445" spans="3:5" customFormat="1" ht="17.399999999999999">
      <c r="C445" t="s">
        <v>557</v>
      </c>
      <c r="D445" t="s">
        <v>558</v>
      </c>
      <c r="E445" t="s">
        <v>370</v>
      </c>
    </row>
    <row r="446" spans="3:5" customFormat="1" ht="17.399999999999999">
      <c r="C446" t="s">
        <v>559</v>
      </c>
      <c r="D446" t="s">
        <v>1820</v>
      </c>
      <c r="E446" t="s">
        <v>3110</v>
      </c>
    </row>
    <row r="447" spans="3:5" customFormat="1" ht="17.399999999999999">
      <c r="C447" t="s">
        <v>561</v>
      </c>
      <c r="E447" t="s">
        <v>297</v>
      </c>
    </row>
    <row r="448" spans="3:5" customFormat="1" ht="17.399999999999999">
      <c r="C448" t="s">
        <v>563</v>
      </c>
      <c r="E448" t="s">
        <v>564</v>
      </c>
    </row>
    <row r="449" spans="3:5" customFormat="1" ht="17.399999999999999">
      <c r="C449" t="s">
        <v>565</v>
      </c>
      <c r="E449" t="s">
        <v>2309</v>
      </c>
    </row>
    <row r="450" spans="3:5" customFormat="1" ht="17.399999999999999">
      <c r="C450" t="s">
        <v>567</v>
      </c>
      <c r="E450" t="s">
        <v>1447</v>
      </c>
    </row>
    <row r="451" spans="3:5" customFormat="1" ht="17.399999999999999">
      <c r="C451" t="s">
        <v>568</v>
      </c>
      <c r="E451" t="s">
        <v>569</v>
      </c>
    </row>
    <row r="452" spans="3:5" customFormat="1" ht="17.399999999999999">
      <c r="C452" t="s">
        <v>570</v>
      </c>
      <c r="E452" t="s">
        <v>3111</v>
      </c>
    </row>
    <row r="453" spans="3:5" customFormat="1" ht="17.399999999999999">
      <c r="C453" t="s">
        <v>572</v>
      </c>
      <c r="D453" t="s">
        <v>3112</v>
      </c>
      <c r="E453" t="s">
        <v>575</v>
      </c>
    </row>
    <row r="454" spans="3:5" customFormat="1" ht="17.399999999999999">
      <c r="C454" t="s">
        <v>573</v>
      </c>
      <c r="E454" t="s">
        <v>2035</v>
      </c>
    </row>
    <row r="455" spans="3:5" customFormat="1" ht="17.399999999999999">
      <c r="C455" t="s">
        <v>574</v>
      </c>
      <c r="D455" t="s">
        <v>2185</v>
      </c>
      <c r="E455" t="s">
        <v>3113</v>
      </c>
    </row>
    <row r="456" spans="3:5" customFormat="1" ht="17.399999999999999">
      <c r="C456" t="s">
        <v>576</v>
      </c>
      <c r="D456" t="s">
        <v>577</v>
      </c>
      <c r="E456" t="s">
        <v>1980</v>
      </c>
    </row>
    <row r="457" spans="3:5" customFormat="1" ht="17.399999999999999">
      <c r="C457" t="s">
        <v>494</v>
      </c>
      <c r="D457" t="s">
        <v>167</v>
      </c>
      <c r="E457" t="s">
        <v>495</v>
      </c>
    </row>
    <row r="458" spans="3:5" customFormat="1" ht="17.399999999999999">
      <c r="C458" t="s">
        <v>496</v>
      </c>
      <c r="E458" t="s">
        <v>1538</v>
      </c>
    </row>
    <row r="459" spans="3:5" customFormat="1" ht="17.399999999999999">
      <c r="C459" t="s">
        <v>3114</v>
      </c>
      <c r="E459" t="s">
        <v>3115</v>
      </c>
    </row>
    <row r="460" spans="3:5" customFormat="1" ht="17.399999999999999">
      <c r="C460" t="s">
        <v>497</v>
      </c>
      <c r="D460" t="s">
        <v>2036</v>
      </c>
      <c r="E460" t="s">
        <v>4394</v>
      </c>
    </row>
    <row r="461" spans="3:5" customFormat="1" ht="17.399999999999999">
      <c r="C461" t="s">
        <v>498</v>
      </c>
      <c r="E461" t="s">
        <v>3116</v>
      </c>
    </row>
    <row r="462" spans="3:5" customFormat="1" ht="17.399999999999999">
      <c r="C462" t="s">
        <v>500</v>
      </c>
      <c r="E462" t="s">
        <v>3117</v>
      </c>
    </row>
    <row r="463" spans="3:5" customFormat="1" ht="17.399999999999999">
      <c r="C463" t="s">
        <v>2039</v>
      </c>
      <c r="D463" t="s">
        <v>1885</v>
      </c>
      <c r="E463" t="s">
        <v>3118</v>
      </c>
    </row>
    <row r="464" spans="3:5" customFormat="1" ht="17.399999999999999">
      <c r="C464" t="s">
        <v>939</v>
      </c>
      <c r="D464" t="s">
        <v>346</v>
      </c>
      <c r="E464" t="s">
        <v>3119</v>
      </c>
    </row>
    <row r="465" spans="3:5" customFormat="1" ht="17.399999999999999">
      <c r="C465" t="s">
        <v>2042</v>
      </c>
      <c r="E465" t="s">
        <v>3120</v>
      </c>
    </row>
    <row r="466" spans="3:5" customFormat="1" ht="17.399999999999999">
      <c r="C466" t="s">
        <v>940</v>
      </c>
      <c r="D466" t="s">
        <v>942</v>
      </c>
      <c r="E466" t="s">
        <v>941</v>
      </c>
    </row>
    <row r="467" spans="3:5" customFormat="1" ht="17.399999999999999">
      <c r="C467" t="s">
        <v>2044</v>
      </c>
      <c r="E467" t="s">
        <v>3121</v>
      </c>
    </row>
    <row r="468" spans="3:5" customFormat="1" ht="17.399999999999999">
      <c r="C468" t="s">
        <v>1073</v>
      </c>
      <c r="E468" t="s">
        <v>3122</v>
      </c>
    </row>
    <row r="469" spans="3:5" customFormat="1" ht="17.399999999999999">
      <c r="C469" t="s">
        <v>3123</v>
      </c>
      <c r="E469" t="s">
        <v>3124</v>
      </c>
    </row>
    <row r="470" spans="3:5" customFormat="1" ht="17.399999999999999">
      <c r="C470" t="s">
        <v>1074</v>
      </c>
      <c r="E470" t="s">
        <v>2040</v>
      </c>
    </row>
    <row r="471" spans="3:5" customFormat="1" ht="17.399999999999999">
      <c r="C471" t="s">
        <v>1075</v>
      </c>
      <c r="D471" t="s">
        <v>1076</v>
      </c>
      <c r="E471" t="s">
        <v>1076</v>
      </c>
    </row>
    <row r="472" spans="3:5" customFormat="1" ht="17.399999999999999">
      <c r="C472" t="s">
        <v>2045</v>
      </c>
      <c r="E472" t="s">
        <v>3125</v>
      </c>
    </row>
    <row r="473" spans="3:5" customFormat="1" ht="17.399999999999999">
      <c r="C473" t="s">
        <v>2046</v>
      </c>
      <c r="E473" t="s">
        <v>3126</v>
      </c>
    </row>
    <row r="474" spans="3:5" customFormat="1" ht="17.399999999999999">
      <c r="C474" t="s">
        <v>3127</v>
      </c>
      <c r="E474" t="s">
        <v>2294</v>
      </c>
    </row>
    <row r="475" spans="3:5" customFormat="1" ht="17.399999999999999">
      <c r="C475" t="s">
        <v>1078</v>
      </c>
      <c r="D475" t="s">
        <v>3129</v>
      </c>
      <c r="E475" t="s">
        <v>3128</v>
      </c>
    </row>
    <row r="476" spans="3:5" customFormat="1" ht="17.399999999999999">
      <c r="C476" t="s">
        <v>52</v>
      </c>
      <c r="E476" t="s">
        <v>2047</v>
      </c>
    </row>
    <row r="477" spans="3:5" customFormat="1" ht="17.399999999999999">
      <c r="C477" t="s">
        <v>1084</v>
      </c>
      <c r="E477" t="s">
        <v>265</v>
      </c>
    </row>
    <row r="478" spans="3:5" customFormat="1" ht="17.399999999999999">
      <c r="C478" t="s">
        <v>3130</v>
      </c>
      <c r="D478" t="s">
        <v>3132</v>
      </c>
      <c r="E478" t="s">
        <v>3131</v>
      </c>
    </row>
    <row r="479" spans="3:5" customFormat="1" ht="17.399999999999999">
      <c r="C479" t="s">
        <v>1086</v>
      </c>
      <c r="E479" t="s">
        <v>2048</v>
      </c>
    </row>
    <row r="480" spans="3:5" customFormat="1" ht="17.399999999999999">
      <c r="C480" t="s">
        <v>1087</v>
      </c>
      <c r="E480" t="s">
        <v>2049</v>
      </c>
    </row>
    <row r="481" spans="3:5" customFormat="1" ht="17.399999999999999">
      <c r="C481" t="s">
        <v>3133</v>
      </c>
      <c r="E481" t="s">
        <v>3134</v>
      </c>
    </row>
    <row r="482" spans="3:5" customFormat="1" ht="17.399999999999999">
      <c r="C482" t="s">
        <v>1088</v>
      </c>
      <c r="E482" t="s">
        <v>2817</v>
      </c>
    </row>
    <row r="483" spans="3:5" customFormat="1" ht="17.399999999999999">
      <c r="C483" t="s">
        <v>1088</v>
      </c>
      <c r="D483" t="s">
        <v>3135</v>
      </c>
      <c r="E483" t="s">
        <v>2721</v>
      </c>
    </row>
    <row r="484" spans="3:5" customFormat="1" ht="17.399999999999999">
      <c r="C484" t="s">
        <v>3136</v>
      </c>
      <c r="E484" t="s">
        <v>3137</v>
      </c>
    </row>
    <row r="485" spans="3:5" customFormat="1" ht="17.399999999999999">
      <c r="C485" t="s">
        <v>1325</v>
      </c>
      <c r="E485" t="s">
        <v>3138</v>
      </c>
    </row>
    <row r="486" spans="3:5" customFormat="1" ht="17.399999999999999">
      <c r="C486" t="s">
        <v>3139</v>
      </c>
      <c r="E486" t="s">
        <v>3140</v>
      </c>
    </row>
    <row r="487" spans="3:5" customFormat="1" ht="17.399999999999999">
      <c r="C487" t="s">
        <v>1326</v>
      </c>
      <c r="E487" t="s">
        <v>3141</v>
      </c>
    </row>
    <row r="488" spans="3:5" customFormat="1" ht="17.399999999999999">
      <c r="C488" t="s">
        <v>3142</v>
      </c>
      <c r="E488" t="s">
        <v>3143</v>
      </c>
    </row>
    <row r="489" spans="3:5" customFormat="1" ht="17.399999999999999">
      <c r="C489" t="s">
        <v>1327</v>
      </c>
      <c r="E489" t="s">
        <v>2050</v>
      </c>
    </row>
    <row r="490" spans="3:5" customFormat="1" ht="17.399999999999999">
      <c r="C490" t="s">
        <v>2051</v>
      </c>
      <c r="D490" t="s">
        <v>2052</v>
      </c>
      <c r="E490" t="s">
        <v>3144</v>
      </c>
    </row>
    <row r="491" spans="3:5" customFormat="1" ht="17.399999999999999">
      <c r="C491" t="s">
        <v>2053</v>
      </c>
      <c r="E491" t="s">
        <v>3145</v>
      </c>
    </row>
    <row r="492" spans="3:5" customFormat="1" ht="17.399999999999999">
      <c r="C492" t="s">
        <v>1328</v>
      </c>
      <c r="E492" t="s">
        <v>2054</v>
      </c>
    </row>
    <row r="493" spans="3:5" customFormat="1" ht="17.399999999999999">
      <c r="C493" t="s">
        <v>1329</v>
      </c>
      <c r="E493" t="s">
        <v>2055</v>
      </c>
    </row>
    <row r="494" spans="3:5" customFormat="1" ht="17.399999999999999">
      <c r="C494" t="s">
        <v>1330</v>
      </c>
      <c r="E494" t="s">
        <v>2056</v>
      </c>
    </row>
    <row r="495" spans="3:5" customFormat="1" ht="17.399999999999999">
      <c r="C495" t="s">
        <v>2058</v>
      </c>
      <c r="E495" t="s">
        <v>2333</v>
      </c>
    </row>
    <row r="496" spans="3:5" customFormat="1" ht="17.399999999999999">
      <c r="C496" t="s">
        <v>1331</v>
      </c>
      <c r="E496" t="s">
        <v>1332</v>
      </c>
    </row>
    <row r="497" spans="3:5" customFormat="1" ht="17.399999999999999">
      <c r="C497" t="s">
        <v>3146</v>
      </c>
      <c r="E497" t="s">
        <v>377</v>
      </c>
    </row>
    <row r="498" spans="3:5" customFormat="1" ht="17.399999999999999">
      <c r="C498" t="s">
        <v>1333</v>
      </c>
      <c r="E498" t="s">
        <v>2060</v>
      </c>
    </row>
    <row r="499" spans="3:5" customFormat="1" ht="17.399999999999999">
      <c r="C499" t="s">
        <v>1334</v>
      </c>
      <c r="D499" t="s">
        <v>2061</v>
      </c>
      <c r="E499" t="s">
        <v>3147</v>
      </c>
    </row>
    <row r="500" spans="3:5" customFormat="1" ht="17.399999999999999">
      <c r="C500" t="s">
        <v>3148</v>
      </c>
      <c r="E500" t="s">
        <v>3149</v>
      </c>
    </row>
    <row r="501" spans="3:5" customFormat="1" ht="17.399999999999999">
      <c r="C501" t="s">
        <v>3150</v>
      </c>
      <c r="E501" t="s">
        <v>3151</v>
      </c>
    </row>
    <row r="502" spans="3:5" customFormat="1" ht="17.399999999999999">
      <c r="C502" t="s">
        <v>3152</v>
      </c>
      <c r="E502" t="s">
        <v>3153</v>
      </c>
    </row>
    <row r="503" spans="3:5" customFormat="1" ht="17.399999999999999">
      <c r="C503" t="s">
        <v>3154</v>
      </c>
      <c r="E503" t="s">
        <v>3155</v>
      </c>
    </row>
    <row r="504" spans="3:5" customFormat="1" ht="17.399999999999999">
      <c r="C504" t="s">
        <v>3156</v>
      </c>
      <c r="E504" t="s">
        <v>3157</v>
      </c>
    </row>
    <row r="505" spans="3:5" customFormat="1" ht="17.399999999999999">
      <c r="C505" t="s">
        <v>1336</v>
      </c>
      <c r="D505" t="s">
        <v>1337</v>
      </c>
      <c r="E505" t="s">
        <v>1313</v>
      </c>
    </row>
    <row r="506" spans="3:5" customFormat="1" ht="17.399999999999999">
      <c r="C506" t="s">
        <v>1338</v>
      </c>
      <c r="E506" t="s">
        <v>66</v>
      </c>
    </row>
    <row r="507" spans="3:5" customFormat="1" ht="17.399999999999999">
      <c r="C507" t="s">
        <v>3158</v>
      </c>
      <c r="E507" t="s">
        <v>3159</v>
      </c>
    </row>
    <row r="508" spans="3:5" customFormat="1" ht="17.399999999999999">
      <c r="C508" t="s">
        <v>1340</v>
      </c>
      <c r="E508" t="s">
        <v>2063</v>
      </c>
    </row>
    <row r="509" spans="3:5" customFormat="1" ht="17.399999999999999">
      <c r="C509" t="s">
        <v>1341</v>
      </c>
      <c r="E509" t="s">
        <v>2064</v>
      </c>
    </row>
    <row r="510" spans="3:5" customFormat="1" ht="17.399999999999999">
      <c r="C510" t="s">
        <v>1176</v>
      </c>
      <c r="D510" t="s">
        <v>1178</v>
      </c>
      <c r="E510" t="s">
        <v>1480</v>
      </c>
    </row>
    <row r="511" spans="3:5" customFormat="1" ht="17.399999999999999">
      <c r="C511" t="s">
        <v>1176</v>
      </c>
      <c r="D511" t="s">
        <v>1178</v>
      </c>
      <c r="E511" t="s">
        <v>1177</v>
      </c>
    </row>
    <row r="512" spans="3:5" customFormat="1" ht="17.399999999999999">
      <c r="C512" t="s">
        <v>2065</v>
      </c>
      <c r="E512" t="s">
        <v>1342</v>
      </c>
    </row>
    <row r="513" spans="3:5" customFormat="1" ht="17.399999999999999">
      <c r="C513" t="s">
        <v>2066</v>
      </c>
      <c r="E513" t="s">
        <v>2067</v>
      </c>
    </row>
    <row r="514" spans="3:5" customFormat="1" ht="17.399999999999999">
      <c r="C514" t="s">
        <v>3160</v>
      </c>
      <c r="E514" t="s">
        <v>2068</v>
      </c>
    </row>
    <row r="515" spans="3:5" customFormat="1" ht="17.399999999999999">
      <c r="C515" t="s">
        <v>2070</v>
      </c>
      <c r="E515" t="s">
        <v>3161</v>
      </c>
    </row>
    <row r="516" spans="3:5" customFormat="1" ht="17.399999999999999">
      <c r="C516" t="s">
        <v>3162</v>
      </c>
      <c r="E516" t="s">
        <v>2072</v>
      </c>
    </row>
    <row r="517" spans="3:5" customFormat="1" ht="17.399999999999999">
      <c r="C517" t="s">
        <v>1179</v>
      </c>
      <c r="D517" t="s">
        <v>1181</v>
      </c>
      <c r="E517" t="s">
        <v>1180</v>
      </c>
    </row>
    <row r="518" spans="3:5" customFormat="1" ht="17.399999999999999">
      <c r="C518" t="s">
        <v>2073</v>
      </c>
      <c r="E518" t="s">
        <v>3163</v>
      </c>
    </row>
    <row r="519" spans="3:5" customFormat="1" ht="17.399999999999999">
      <c r="C519" t="s">
        <v>1182</v>
      </c>
      <c r="E519" t="s">
        <v>1183</v>
      </c>
    </row>
    <row r="520" spans="3:5" customFormat="1" ht="17.399999999999999">
      <c r="C520" t="s">
        <v>1184</v>
      </c>
      <c r="E520" t="s">
        <v>473</v>
      </c>
    </row>
    <row r="521" spans="3:5" customFormat="1" ht="17.399999999999999">
      <c r="C521" t="s">
        <v>1185</v>
      </c>
      <c r="D521" t="s">
        <v>1186</v>
      </c>
      <c r="E521" t="s">
        <v>1497</v>
      </c>
    </row>
    <row r="522" spans="3:5" customFormat="1" ht="17.399999999999999">
      <c r="C522" t="s">
        <v>3164</v>
      </c>
      <c r="E522" t="s">
        <v>541</v>
      </c>
    </row>
    <row r="523" spans="3:5" customFormat="1" ht="17.399999999999999">
      <c r="C523" t="s">
        <v>1090</v>
      </c>
      <c r="E523" t="s">
        <v>3165</v>
      </c>
    </row>
    <row r="524" spans="3:5" customFormat="1" ht="17.399999999999999">
      <c r="C524" t="s">
        <v>1090</v>
      </c>
      <c r="E524" t="s">
        <v>2795</v>
      </c>
    </row>
    <row r="525" spans="3:5" customFormat="1" ht="17.399999999999999">
      <c r="C525" t="s">
        <v>1091</v>
      </c>
      <c r="E525" t="s">
        <v>1092</v>
      </c>
    </row>
    <row r="526" spans="3:5" customFormat="1" ht="17.399999999999999">
      <c r="C526" t="s">
        <v>1096</v>
      </c>
      <c r="E526" t="s">
        <v>675</v>
      </c>
    </row>
    <row r="527" spans="3:5" customFormat="1" ht="17.399999999999999">
      <c r="C527" t="s">
        <v>1096</v>
      </c>
      <c r="D527" t="s">
        <v>1098</v>
      </c>
      <c r="E527" t="s">
        <v>1097</v>
      </c>
    </row>
    <row r="528" spans="3:5" customFormat="1" ht="17.399999999999999">
      <c r="C528" t="s">
        <v>1099</v>
      </c>
      <c r="E528" t="s">
        <v>1810</v>
      </c>
    </row>
    <row r="529" spans="3:5" customFormat="1" ht="17.399999999999999">
      <c r="C529" t="s">
        <v>1100</v>
      </c>
      <c r="E529" t="s">
        <v>1923</v>
      </c>
    </row>
    <row r="530" spans="3:5" customFormat="1" ht="17.399999999999999">
      <c r="C530" t="s">
        <v>2078</v>
      </c>
      <c r="E530" t="s">
        <v>3166</v>
      </c>
    </row>
    <row r="531" spans="3:5" customFormat="1" ht="17.399999999999999">
      <c r="C531" t="s">
        <v>3167</v>
      </c>
      <c r="E531" t="s">
        <v>3168</v>
      </c>
    </row>
    <row r="532" spans="3:5" customFormat="1" ht="17.399999999999999">
      <c r="C532" t="s">
        <v>1102</v>
      </c>
      <c r="E532" t="s">
        <v>2081</v>
      </c>
    </row>
    <row r="533" spans="3:5" customFormat="1" ht="17.399999999999999">
      <c r="C533" t="s">
        <v>3169</v>
      </c>
      <c r="E533" t="s">
        <v>1317</v>
      </c>
    </row>
    <row r="534" spans="3:5" customFormat="1" ht="17.399999999999999">
      <c r="C534" t="s">
        <v>1103</v>
      </c>
      <c r="E534" t="s">
        <v>3170</v>
      </c>
    </row>
    <row r="535" spans="3:5" customFormat="1" ht="17.399999999999999">
      <c r="C535" t="s">
        <v>1104</v>
      </c>
      <c r="E535" t="s">
        <v>1339</v>
      </c>
    </row>
    <row r="536" spans="3:5" customFormat="1" ht="17.399999999999999">
      <c r="C536" t="s">
        <v>3171</v>
      </c>
      <c r="E536" t="s">
        <v>2492</v>
      </c>
    </row>
    <row r="537" spans="3:5" customFormat="1" ht="17.399999999999999">
      <c r="C537" t="s">
        <v>525</v>
      </c>
      <c r="E537" t="s">
        <v>2725</v>
      </c>
    </row>
    <row r="538" spans="3:5" customFormat="1" ht="17.399999999999999">
      <c r="C538" t="s">
        <v>526</v>
      </c>
      <c r="D538" t="s">
        <v>3172</v>
      </c>
      <c r="E538" t="s">
        <v>2713</v>
      </c>
    </row>
    <row r="539" spans="3:5" customFormat="1" ht="17.399999999999999">
      <c r="C539" t="s">
        <v>526</v>
      </c>
      <c r="D539" t="s">
        <v>3172</v>
      </c>
      <c r="E539" t="s">
        <v>2713</v>
      </c>
    </row>
    <row r="540" spans="3:5" customFormat="1" ht="17.399999999999999">
      <c r="C540" t="s">
        <v>530</v>
      </c>
      <c r="D540" t="s">
        <v>1850</v>
      </c>
      <c r="E540" t="s">
        <v>1116</v>
      </c>
    </row>
    <row r="541" spans="3:5" customFormat="1" ht="17.399999999999999">
      <c r="C541" t="s">
        <v>3173</v>
      </c>
      <c r="E541" t="s">
        <v>3174</v>
      </c>
    </row>
    <row r="542" spans="3:5" customFormat="1" ht="17.399999999999999">
      <c r="C542" t="s">
        <v>532</v>
      </c>
      <c r="E542" t="s">
        <v>64</v>
      </c>
    </row>
    <row r="543" spans="3:5" customFormat="1" ht="17.399999999999999">
      <c r="C543" t="s">
        <v>533</v>
      </c>
      <c r="D543" t="s">
        <v>3175</v>
      </c>
      <c r="E543" t="s">
        <v>534</v>
      </c>
    </row>
    <row r="544" spans="3:5" customFormat="1" ht="17.399999999999999">
      <c r="C544" t="s">
        <v>3176</v>
      </c>
      <c r="E544" t="s">
        <v>3177</v>
      </c>
    </row>
    <row r="545" spans="3:5" customFormat="1" ht="17.399999999999999">
      <c r="C545" t="s">
        <v>625</v>
      </c>
      <c r="D545" t="s">
        <v>1093</v>
      </c>
      <c r="E545" t="s">
        <v>1263</v>
      </c>
    </row>
    <row r="546" spans="3:5" customFormat="1" ht="17.399999999999999">
      <c r="C546" t="s">
        <v>3178</v>
      </c>
      <c r="E546" t="s">
        <v>3179</v>
      </c>
    </row>
    <row r="547" spans="3:5" customFormat="1" ht="17.399999999999999">
      <c r="C547" t="s">
        <v>628</v>
      </c>
      <c r="E547" t="s">
        <v>2770</v>
      </c>
    </row>
    <row r="548" spans="3:5" customFormat="1" ht="17.399999999999999">
      <c r="C548" t="s">
        <v>629</v>
      </c>
      <c r="E548" t="s">
        <v>3180</v>
      </c>
    </row>
    <row r="549" spans="3:5" customFormat="1" ht="17.399999999999999">
      <c r="C549" t="s">
        <v>629</v>
      </c>
      <c r="D549" t="s">
        <v>367</v>
      </c>
      <c r="E549" t="s">
        <v>3181</v>
      </c>
    </row>
    <row r="550" spans="3:5" customFormat="1" ht="17.399999999999999">
      <c r="C550" t="s">
        <v>630</v>
      </c>
      <c r="D550" t="s">
        <v>631</v>
      </c>
      <c r="E550" t="s">
        <v>4395</v>
      </c>
    </row>
    <row r="551" spans="3:5" customFormat="1" ht="17.399999999999999">
      <c r="C551" t="s">
        <v>632</v>
      </c>
      <c r="D551" t="s">
        <v>4397</v>
      </c>
      <c r="E551" t="s">
        <v>4396</v>
      </c>
    </row>
    <row r="552" spans="3:5" customFormat="1" ht="17.399999999999999">
      <c r="C552" t="s">
        <v>633</v>
      </c>
      <c r="E552" t="s">
        <v>3182</v>
      </c>
    </row>
    <row r="553" spans="3:5" customFormat="1" ht="17.399999999999999">
      <c r="C553" t="s">
        <v>3183</v>
      </c>
      <c r="E553" t="s">
        <v>2667</v>
      </c>
    </row>
    <row r="554" spans="3:5" customFormat="1" ht="17.399999999999999">
      <c r="C554" t="s">
        <v>3184</v>
      </c>
      <c r="E554" t="s">
        <v>3185</v>
      </c>
    </row>
    <row r="555" spans="3:5" customFormat="1" ht="17.399999999999999">
      <c r="C555" t="s">
        <v>3186</v>
      </c>
      <c r="E555" t="s">
        <v>3187</v>
      </c>
    </row>
    <row r="556" spans="3:5" customFormat="1" ht="17.399999999999999">
      <c r="C556" t="s">
        <v>3188</v>
      </c>
      <c r="E556" t="s">
        <v>3189</v>
      </c>
    </row>
    <row r="557" spans="3:5" customFormat="1" ht="17.399999999999999">
      <c r="C557" t="s">
        <v>3190</v>
      </c>
      <c r="E557" t="s">
        <v>3191</v>
      </c>
    </row>
    <row r="558" spans="3:5" customFormat="1" ht="17.399999999999999">
      <c r="C558" t="s">
        <v>2087</v>
      </c>
      <c r="E558" t="s">
        <v>3192</v>
      </c>
    </row>
    <row r="559" spans="3:5" customFormat="1" ht="17.399999999999999">
      <c r="C559" t="s">
        <v>2088</v>
      </c>
      <c r="E559" t="s">
        <v>3193</v>
      </c>
    </row>
    <row r="560" spans="3:5" customFormat="1" ht="17.399999999999999">
      <c r="C560" t="s">
        <v>2089</v>
      </c>
      <c r="E560" t="s">
        <v>1483</v>
      </c>
    </row>
    <row r="561" spans="3:5" customFormat="1" ht="17.399999999999999">
      <c r="C561" t="s">
        <v>635</v>
      </c>
      <c r="D561" t="s">
        <v>361</v>
      </c>
      <c r="E561" t="s">
        <v>266</v>
      </c>
    </row>
    <row r="562" spans="3:5" customFormat="1" ht="17.399999999999999">
      <c r="C562" t="s">
        <v>636</v>
      </c>
      <c r="E562" t="s">
        <v>2091</v>
      </c>
    </row>
    <row r="563" spans="3:5" customFormat="1" ht="17.399999999999999">
      <c r="C563" t="s">
        <v>2092</v>
      </c>
      <c r="D563" t="s">
        <v>2093</v>
      </c>
      <c r="E563" t="s">
        <v>3194</v>
      </c>
    </row>
    <row r="564" spans="3:5" customFormat="1" ht="17.399999999999999">
      <c r="C564" t="s">
        <v>3195</v>
      </c>
      <c r="E564" t="s">
        <v>3196</v>
      </c>
    </row>
    <row r="565" spans="3:5" customFormat="1" ht="17.399999999999999">
      <c r="C565" t="s">
        <v>3197</v>
      </c>
      <c r="E565" t="s">
        <v>1045</v>
      </c>
    </row>
    <row r="566" spans="3:5" customFormat="1" ht="17.399999999999999">
      <c r="C566" t="s">
        <v>638</v>
      </c>
      <c r="E566" t="s">
        <v>916</v>
      </c>
    </row>
    <row r="567" spans="3:5" customFormat="1" ht="17.399999999999999">
      <c r="C567" t="s">
        <v>640</v>
      </c>
      <c r="D567" t="s">
        <v>641</v>
      </c>
      <c r="E567" t="s">
        <v>2094</v>
      </c>
    </row>
    <row r="568" spans="3:5" customFormat="1" ht="17.399999999999999">
      <c r="C568" t="s">
        <v>3198</v>
      </c>
      <c r="E568" t="s">
        <v>3199</v>
      </c>
    </row>
    <row r="569" spans="3:5" customFormat="1" ht="17.399999999999999">
      <c r="C569" t="s">
        <v>642</v>
      </c>
      <c r="D569" t="s">
        <v>644</v>
      </c>
      <c r="E569" t="s">
        <v>643</v>
      </c>
    </row>
    <row r="570" spans="3:5" customFormat="1" ht="17.399999999999999">
      <c r="C570" t="s">
        <v>3200</v>
      </c>
      <c r="D570" t="s">
        <v>3202</v>
      </c>
      <c r="E570" t="s">
        <v>3201</v>
      </c>
    </row>
    <row r="571" spans="3:5" customFormat="1" ht="17.399999999999999">
      <c r="C571" t="s">
        <v>2095</v>
      </c>
      <c r="E571" t="s">
        <v>2566</v>
      </c>
    </row>
    <row r="572" spans="3:5" customFormat="1" ht="17.399999999999999">
      <c r="C572" t="s">
        <v>2096</v>
      </c>
      <c r="E572" t="s">
        <v>3203</v>
      </c>
    </row>
    <row r="573" spans="3:5" customFormat="1" ht="17.399999999999999">
      <c r="C573" t="s">
        <v>645</v>
      </c>
      <c r="E573" t="s">
        <v>230</v>
      </c>
    </row>
    <row r="574" spans="3:5" customFormat="1" ht="17.399999999999999">
      <c r="C574" t="s">
        <v>3204</v>
      </c>
      <c r="E574" t="s">
        <v>3205</v>
      </c>
    </row>
    <row r="575" spans="3:5" customFormat="1" ht="17.399999999999999">
      <c r="C575" t="s">
        <v>1912</v>
      </c>
      <c r="D575" t="s">
        <v>1913</v>
      </c>
      <c r="E575" t="s">
        <v>4398</v>
      </c>
    </row>
    <row r="576" spans="3:5" customFormat="1" ht="17.399999999999999">
      <c r="C576" t="s">
        <v>647</v>
      </c>
      <c r="D576" t="s">
        <v>649</v>
      </c>
      <c r="E576" t="s">
        <v>648</v>
      </c>
    </row>
    <row r="577" spans="3:5" customFormat="1" ht="17.399999999999999">
      <c r="C577" t="s">
        <v>2728</v>
      </c>
      <c r="D577" t="s">
        <v>824</v>
      </c>
      <c r="E577" t="s">
        <v>823</v>
      </c>
    </row>
    <row r="578" spans="3:5" customFormat="1" ht="17.399999999999999">
      <c r="C578" t="s">
        <v>650</v>
      </c>
      <c r="D578" t="s">
        <v>3206</v>
      </c>
      <c r="E578" t="s">
        <v>651</v>
      </c>
    </row>
    <row r="579" spans="3:5" customFormat="1" ht="17.399999999999999">
      <c r="C579" t="s">
        <v>2097</v>
      </c>
      <c r="E579" t="s">
        <v>2729</v>
      </c>
    </row>
    <row r="580" spans="3:5" customFormat="1" ht="17.399999999999999">
      <c r="C580" t="s">
        <v>652</v>
      </c>
      <c r="E580" t="s">
        <v>653</v>
      </c>
    </row>
    <row r="581" spans="3:5" customFormat="1" ht="17.399999999999999">
      <c r="C581" t="s">
        <v>2098</v>
      </c>
      <c r="E581" t="s">
        <v>1701</v>
      </c>
    </row>
    <row r="582" spans="3:5" customFormat="1" ht="17.399999999999999">
      <c r="C582" t="s">
        <v>654</v>
      </c>
      <c r="E582" t="s">
        <v>3207</v>
      </c>
    </row>
    <row r="583" spans="3:5" customFormat="1" ht="17.399999999999999">
      <c r="C583" t="s">
        <v>655</v>
      </c>
      <c r="D583" t="s">
        <v>656</v>
      </c>
      <c r="E583" t="s">
        <v>2099</v>
      </c>
    </row>
    <row r="584" spans="3:5" customFormat="1" ht="17.399999999999999">
      <c r="C584" t="s">
        <v>2102</v>
      </c>
      <c r="E584" t="s">
        <v>2101</v>
      </c>
    </row>
    <row r="585" spans="3:5" customFormat="1" ht="17.399999999999999">
      <c r="C585" t="s">
        <v>2103</v>
      </c>
      <c r="E585" t="s">
        <v>2105</v>
      </c>
    </row>
    <row r="586" spans="3:5" customFormat="1" ht="17.399999999999999">
      <c r="C586" t="s">
        <v>3208</v>
      </c>
      <c r="E586" t="s">
        <v>3209</v>
      </c>
    </row>
    <row r="587" spans="3:5" customFormat="1" ht="17.399999999999999">
      <c r="C587" t="s">
        <v>3210</v>
      </c>
      <c r="E587" t="s">
        <v>3211</v>
      </c>
    </row>
    <row r="588" spans="3:5" customFormat="1" ht="17.399999999999999">
      <c r="C588" t="s">
        <v>3212</v>
      </c>
      <c r="E588" t="s">
        <v>1550</v>
      </c>
    </row>
    <row r="589" spans="3:5" customFormat="1" ht="17.399999999999999">
      <c r="C589" t="s">
        <v>657</v>
      </c>
      <c r="E589" t="s">
        <v>880</v>
      </c>
    </row>
    <row r="590" spans="3:5" customFormat="1" ht="17.399999999999999">
      <c r="C590" t="s">
        <v>3213</v>
      </c>
      <c r="E590" t="s">
        <v>3214</v>
      </c>
    </row>
    <row r="591" spans="3:5" customFormat="1" ht="17.399999999999999">
      <c r="C591" t="s">
        <v>659</v>
      </c>
      <c r="E591" t="s">
        <v>660</v>
      </c>
    </row>
    <row r="592" spans="3:5" customFormat="1" ht="17.399999999999999">
      <c r="C592" t="s">
        <v>661</v>
      </c>
      <c r="E592" t="s">
        <v>2106</v>
      </c>
    </row>
    <row r="593" spans="3:5" customFormat="1" ht="17.399999999999999">
      <c r="C593" t="s">
        <v>662</v>
      </c>
      <c r="E593" t="s">
        <v>3215</v>
      </c>
    </row>
    <row r="594" spans="3:5" customFormat="1" ht="17.399999999999999">
      <c r="C594" t="s">
        <v>663</v>
      </c>
      <c r="E594" t="s">
        <v>2800</v>
      </c>
    </row>
    <row r="595" spans="3:5" customFormat="1" ht="17.399999999999999">
      <c r="C595" t="s">
        <v>3216</v>
      </c>
      <c r="E595" t="s">
        <v>3217</v>
      </c>
    </row>
    <row r="596" spans="3:5" customFormat="1" ht="17.399999999999999">
      <c r="C596" t="s">
        <v>665</v>
      </c>
      <c r="E596" t="s">
        <v>2107</v>
      </c>
    </row>
    <row r="597" spans="3:5" customFormat="1" ht="17.399999999999999">
      <c r="C597" t="s">
        <v>666</v>
      </c>
      <c r="E597" t="s">
        <v>1072</v>
      </c>
    </row>
    <row r="598" spans="3:5" customFormat="1" ht="17.399999999999999">
      <c r="C598" t="s">
        <v>667</v>
      </c>
      <c r="E598" t="s">
        <v>2108</v>
      </c>
    </row>
    <row r="599" spans="3:5" customFormat="1" ht="17.399999999999999">
      <c r="C599" t="s">
        <v>3218</v>
      </c>
      <c r="E599" t="s">
        <v>3219</v>
      </c>
    </row>
    <row r="600" spans="3:5" customFormat="1" ht="17.399999999999999">
      <c r="C600" t="s">
        <v>668</v>
      </c>
      <c r="E600" t="s">
        <v>1511</v>
      </c>
    </row>
    <row r="601" spans="3:5" customFormat="1" ht="17.399999999999999">
      <c r="C601" t="s">
        <v>670</v>
      </c>
      <c r="D601" t="s">
        <v>2110</v>
      </c>
      <c r="E601" t="s">
        <v>3220</v>
      </c>
    </row>
    <row r="602" spans="3:5" customFormat="1" ht="17.399999999999999">
      <c r="C602" t="s">
        <v>671</v>
      </c>
      <c r="E602" t="s">
        <v>2305</v>
      </c>
    </row>
    <row r="603" spans="3:5" customFormat="1" ht="17.399999999999999">
      <c r="C603" t="s">
        <v>673</v>
      </c>
      <c r="E603" t="s">
        <v>2131</v>
      </c>
    </row>
    <row r="604" spans="3:5" customFormat="1" ht="17.399999999999999">
      <c r="C604" t="s">
        <v>674</v>
      </c>
      <c r="E604" t="s">
        <v>1726</v>
      </c>
    </row>
    <row r="605" spans="3:5" customFormat="1" ht="17.399999999999999">
      <c r="C605" t="s">
        <v>676</v>
      </c>
      <c r="E605" t="s">
        <v>3221</v>
      </c>
    </row>
    <row r="606" spans="3:5" customFormat="1" ht="17.399999999999999">
      <c r="C606" t="s">
        <v>2111</v>
      </c>
      <c r="E606" t="s">
        <v>3222</v>
      </c>
    </row>
    <row r="607" spans="3:5" customFormat="1" ht="17.399999999999999">
      <c r="C607" t="s">
        <v>678</v>
      </c>
      <c r="E607" t="s">
        <v>3223</v>
      </c>
    </row>
    <row r="608" spans="3:5" customFormat="1" ht="17.399999999999999">
      <c r="C608" t="s">
        <v>2112</v>
      </c>
      <c r="E608" t="s">
        <v>2113</v>
      </c>
    </row>
    <row r="609" spans="3:5" customFormat="1" ht="17.399999999999999">
      <c r="C609" t="s">
        <v>680</v>
      </c>
      <c r="E609" t="s">
        <v>886</v>
      </c>
    </row>
    <row r="610" spans="3:5" customFormat="1" ht="17.399999999999999">
      <c r="C610" t="s">
        <v>680</v>
      </c>
      <c r="D610" t="s">
        <v>1844</v>
      </c>
      <c r="E610" t="s">
        <v>2754</v>
      </c>
    </row>
    <row r="611" spans="3:5" customFormat="1" ht="17.399999999999999">
      <c r="C611" t="s">
        <v>467</v>
      </c>
      <c r="D611" t="s">
        <v>3224</v>
      </c>
      <c r="E611" t="s">
        <v>2737</v>
      </c>
    </row>
    <row r="612" spans="3:5" customFormat="1" ht="17.399999999999999">
      <c r="C612" t="s">
        <v>2114</v>
      </c>
      <c r="E612" t="s">
        <v>2115</v>
      </c>
    </row>
    <row r="613" spans="3:5" customFormat="1" ht="17.399999999999999">
      <c r="C613" t="s">
        <v>1920</v>
      </c>
      <c r="E613" t="s">
        <v>134</v>
      </c>
    </row>
    <row r="614" spans="3:5" customFormat="1" ht="17.399999999999999">
      <c r="C614" t="s">
        <v>468</v>
      </c>
      <c r="E614" t="s">
        <v>2116</v>
      </c>
    </row>
    <row r="615" spans="3:5" customFormat="1" ht="17.399999999999999">
      <c r="C615" t="s">
        <v>286</v>
      </c>
      <c r="E615" t="s">
        <v>2071</v>
      </c>
    </row>
    <row r="616" spans="3:5" customFormat="1" ht="17.399999999999999">
      <c r="C616" t="s">
        <v>2117</v>
      </c>
      <c r="E616" t="s">
        <v>664</v>
      </c>
    </row>
    <row r="617" spans="3:5" customFormat="1" ht="17.399999999999999">
      <c r="C617" t="s">
        <v>287</v>
      </c>
      <c r="E617" t="s">
        <v>2074</v>
      </c>
    </row>
    <row r="618" spans="3:5" customFormat="1" ht="17.399999999999999">
      <c r="C618" t="s">
        <v>288</v>
      </c>
      <c r="E618" t="s">
        <v>2075</v>
      </c>
    </row>
    <row r="619" spans="3:5" customFormat="1" ht="17.399999999999999">
      <c r="C619" t="s">
        <v>289</v>
      </c>
      <c r="E619" t="s">
        <v>3225</v>
      </c>
    </row>
    <row r="620" spans="3:5" customFormat="1" ht="17.399999999999999">
      <c r="C620" t="s">
        <v>2118</v>
      </c>
      <c r="E620" t="s">
        <v>2119</v>
      </c>
    </row>
    <row r="621" spans="3:5" customFormat="1" ht="17.399999999999999">
      <c r="C621" t="s">
        <v>608</v>
      </c>
      <c r="E621" t="s">
        <v>609</v>
      </c>
    </row>
    <row r="622" spans="3:5" customFormat="1" ht="17.399999999999999">
      <c r="C622" t="s">
        <v>3226</v>
      </c>
      <c r="E622" t="s">
        <v>3227</v>
      </c>
    </row>
    <row r="623" spans="3:5" customFormat="1" ht="17.399999999999999">
      <c r="C623" t="s">
        <v>611</v>
      </c>
      <c r="E623" t="s">
        <v>612</v>
      </c>
    </row>
    <row r="624" spans="3:5" customFormat="1" ht="17.399999999999999">
      <c r="C624" t="s">
        <v>613</v>
      </c>
      <c r="D624" t="s">
        <v>614</v>
      </c>
      <c r="E624" t="s">
        <v>3228</v>
      </c>
    </row>
    <row r="625" spans="3:5" customFormat="1" ht="17.399999999999999">
      <c r="C625" t="s">
        <v>3229</v>
      </c>
      <c r="E625" t="s">
        <v>3230</v>
      </c>
    </row>
    <row r="626" spans="3:5" customFormat="1" ht="17.399999999999999">
      <c r="C626" t="s">
        <v>615</v>
      </c>
      <c r="E626" t="s">
        <v>2120</v>
      </c>
    </row>
    <row r="627" spans="3:5" customFormat="1" ht="17.399999999999999">
      <c r="C627" t="s">
        <v>3231</v>
      </c>
      <c r="E627" t="s">
        <v>2762</v>
      </c>
    </row>
    <row r="628" spans="3:5" customFormat="1" ht="17.399999999999999">
      <c r="C628" t="s">
        <v>616</v>
      </c>
      <c r="D628" t="s">
        <v>618</v>
      </c>
      <c r="E628" t="s">
        <v>617</v>
      </c>
    </row>
    <row r="629" spans="3:5" customFormat="1" ht="17.399999999999999">
      <c r="C629" t="s">
        <v>619</v>
      </c>
      <c r="D629" t="s">
        <v>621</v>
      </c>
      <c r="E629" t="s">
        <v>620</v>
      </c>
    </row>
    <row r="630" spans="3:5" customFormat="1" ht="17.399999999999999">
      <c r="C630" t="s">
        <v>622</v>
      </c>
      <c r="E630" t="s">
        <v>1838</v>
      </c>
    </row>
    <row r="631" spans="3:5" customFormat="1" ht="17.399999999999999">
      <c r="C631" t="s">
        <v>623</v>
      </c>
      <c r="E631" t="s">
        <v>1567</v>
      </c>
    </row>
    <row r="632" spans="3:5" customFormat="1" ht="17.399999999999999">
      <c r="C632" t="s">
        <v>307</v>
      </c>
      <c r="E632" t="s">
        <v>310</v>
      </c>
    </row>
    <row r="633" spans="3:5" customFormat="1" ht="17.399999999999999">
      <c r="C633" t="s">
        <v>2122</v>
      </c>
      <c r="E633" t="s">
        <v>3232</v>
      </c>
    </row>
    <row r="634" spans="3:5" customFormat="1" ht="17.399999999999999">
      <c r="C634" t="s">
        <v>2123</v>
      </c>
      <c r="E634" t="s">
        <v>2124</v>
      </c>
    </row>
    <row r="635" spans="3:5" customFormat="1" ht="17.399999999999999">
      <c r="C635" t="s">
        <v>309</v>
      </c>
      <c r="D635" t="s">
        <v>3234</v>
      </c>
      <c r="E635" t="s">
        <v>3233</v>
      </c>
    </row>
    <row r="636" spans="3:5" customFormat="1" ht="17.399999999999999">
      <c r="C636" t="s">
        <v>3235</v>
      </c>
      <c r="D636" t="s">
        <v>3237</v>
      </c>
      <c r="E636" t="s">
        <v>3236</v>
      </c>
    </row>
    <row r="637" spans="3:5" customFormat="1" ht="17.399999999999999">
      <c r="C637" t="s">
        <v>311</v>
      </c>
      <c r="E637" t="s">
        <v>3238</v>
      </c>
    </row>
    <row r="638" spans="3:5" customFormat="1" ht="17.399999999999999">
      <c r="C638" t="s">
        <v>3239</v>
      </c>
      <c r="E638" t="s">
        <v>1707</v>
      </c>
    </row>
    <row r="639" spans="3:5" customFormat="1" ht="17.399999999999999">
      <c r="C639" t="s">
        <v>314</v>
      </c>
      <c r="D639" t="s">
        <v>316</v>
      </c>
      <c r="E639" t="s">
        <v>315</v>
      </c>
    </row>
    <row r="640" spans="3:5" customFormat="1" ht="17.399999999999999">
      <c r="C640" t="s">
        <v>317</v>
      </c>
      <c r="D640" t="s">
        <v>318</v>
      </c>
      <c r="E640" t="s">
        <v>3240</v>
      </c>
    </row>
    <row r="641" spans="3:5" customFormat="1" ht="17.399999999999999">
      <c r="C641" t="s">
        <v>319</v>
      </c>
      <c r="E641" t="s">
        <v>320</v>
      </c>
    </row>
    <row r="642" spans="3:5" customFormat="1" ht="17.399999999999999">
      <c r="C642" t="s">
        <v>2126</v>
      </c>
      <c r="D642" t="s">
        <v>1630</v>
      </c>
      <c r="E642" t="s">
        <v>3241</v>
      </c>
    </row>
    <row r="643" spans="3:5" customFormat="1" ht="17.399999999999999">
      <c r="C643" t="s">
        <v>2127</v>
      </c>
      <c r="E643" t="s">
        <v>2128</v>
      </c>
    </row>
    <row r="644" spans="3:5" customFormat="1" ht="17.399999999999999">
      <c r="C644" t="s">
        <v>321</v>
      </c>
      <c r="D644" t="s">
        <v>322</v>
      </c>
      <c r="E644" t="s">
        <v>1287</v>
      </c>
    </row>
    <row r="645" spans="3:5" customFormat="1" ht="17.399999999999999">
      <c r="C645" t="s">
        <v>324</v>
      </c>
      <c r="E645" t="s">
        <v>2129</v>
      </c>
    </row>
    <row r="646" spans="3:5" customFormat="1" ht="17.399999999999999">
      <c r="C646" t="s">
        <v>325</v>
      </c>
      <c r="E646" t="s">
        <v>1828</v>
      </c>
    </row>
    <row r="647" spans="3:5" customFormat="1" ht="17.399999999999999">
      <c r="C647" t="s">
        <v>2130</v>
      </c>
      <c r="E647" t="s">
        <v>3242</v>
      </c>
    </row>
    <row r="648" spans="3:5" customFormat="1" ht="17.399999999999999">
      <c r="C648" t="s">
        <v>326</v>
      </c>
      <c r="D648" t="s">
        <v>328</v>
      </c>
      <c r="E648" t="s">
        <v>327</v>
      </c>
    </row>
    <row r="649" spans="3:5" customFormat="1" ht="17.399999999999999">
      <c r="C649" t="s">
        <v>3243</v>
      </c>
      <c r="E649" t="s">
        <v>3244</v>
      </c>
    </row>
    <row r="650" spans="3:5" customFormat="1" ht="17.399999999999999">
      <c r="C650" t="s">
        <v>501</v>
      </c>
      <c r="E650" t="s">
        <v>2132</v>
      </c>
    </row>
    <row r="651" spans="3:5" customFormat="1" ht="17.399999999999999">
      <c r="C651" t="s">
        <v>503</v>
      </c>
      <c r="D651" t="s">
        <v>2133</v>
      </c>
      <c r="E651" t="s">
        <v>3245</v>
      </c>
    </row>
    <row r="652" spans="3:5" customFormat="1" ht="17.399999999999999">
      <c r="C652" t="s">
        <v>2134</v>
      </c>
      <c r="E652" t="s">
        <v>2135</v>
      </c>
    </row>
    <row r="653" spans="3:5" customFormat="1" ht="17.399999999999999">
      <c r="C653" t="s">
        <v>504</v>
      </c>
      <c r="D653" t="s">
        <v>505</v>
      </c>
      <c r="E653" t="s">
        <v>2136</v>
      </c>
    </row>
    <row r="654" spans="3:5" customFormat="1" ht="17.399999999999999">
      <c r="C654" t="s">
        <v>3246</v>
      </c>
      <c r="E654" t="s">
        <v>3247</v>
      </c>
    </row>
    <row r="655" spans="3:5" customFormat="1" ht="17.399999999999999">
      <c r="C655" t="s">
        <v>506</v>
      </c>
      <c r="E655" t="s">
        <v>2738</v>
      </c>
    </row>
    <row r="656" spans="3:5" customFormat="1" ht="17.399999999999999">
      <c r="C656" t="s">
        <v>3248</v>
      </c>
      <c r="E656" t="s">
        <v>3249</v>
      </c>
    </row>
    <row r="657" spans="3:5" customFormat="1" ht="17.399999999999999">
      <c r="C657" t="s">
        <v>507</v>
      </c>
      <c r="E657" t="s">
        <v>508</v>
      </c>
    </row>
    <row r="658" spans="3:5" customFormat="1" ht="17.399999999999999">
      <c r="C658" t="s">
        <v>509</v>
      </c>
      <c r="E658" t="s">
        <v>3250</v>
      </c>
    </row>
    <row r="659" spans="3:5" customFormat="1" ht="17.399999999999999">
      <c r="C659" t="s">
        <v>3251</v>
      </c>
      <c r="E659" t="s">
        <v>1200</v>
      </c>
    </row>
    <row r="660" spans="3:5" customFormat="1" ht="17.399999999999999">
      <c r="C660" t="s">
        <v>510</v>
      </c>
      <c r="E660" t="s">
        <v>3252</v>
      </c>
    </row>
    <row r="661" spans="3:5" customFormat="1" ht="17.399999999999999">
      <c r="C661" t="s">
        <v>3253</v>
      </c>
      <c r="E661" t="s">
        <v>3254</v>
      </c>
    </row>
    <row r="662" spans="3:5" customFormat="1" ht="17.399999999999999">
      <c r="C662" t="s">
        <v>511</v>
      </c>
      <c r="E662" t="s">
        <v>3255</v>
      </c>
    </row>
    <row r="663" spans="3:5" customFormat="1" ht="17.399999999999999">
      <c r="C663" t="s">
        <v>512</v>
      </c>
      <c r="D663" t="s">
        <v>2140</v>
      </c>
      <c r="E663" t="s">
        <v>1162</v>
      </c>
    </row>
    <row r="664" spans="3:5" customFormat="1" ht="17.399999999999999">
      <c r="C664" t="s">
        <v>3256</v>
      </c>
      <c r="E664" t="s">
        <v>3257</v>
      </c>
    </row>
    <row r="665" spans="3:5" customFormat="1" ht="17.399999999999999">
      <c r="C665" t="s">
        <v>513</v>
      </c>
      <c r="E665" t="s">
        <v>514</v>
      </c>
    </row>
    <row r="666" spans="3:5" customFormat="1" ht="17.399999999999999">
      <c r="C666" t="s">
        <v>513</v>
      </c>
      <c r="D666" t="s">
        <v>515</v>
      </c>
      <c r="E666" t="s">
        <v>1555</v>
      </c>
    </row>
    <row r="667" spans="3:5" customFormat="1" ht="17.399999999999999">
      <c r="C667" t="s">
        <v>516</v>
      </c>
      <c r="E667" t="s">
        <v>2141</v>
      </c>
    </row>
    <row r="668" spans="3:5" customFormat="1" ht="17.399999999999999">
      <c r="C668" t="s">
        <v>517</v>
      </c>
      <c r="E668" t="s">
        <v>2142</v>
      </c>
    </row>
    <row r="669" spans="3:5" customFormat="1" ht="17.399999999999999">
      <c r="C669" t="s">
        <v>518</v>
      </c>
      <c r="E669" t="s">
        <v>519</v>
      </c>
    </row>
    <row r="670" spans="3:5" customFormat="1" ht="17.399999999999999">
      <c r="C670" t="s">
        <v>2143</v>
      </c>
      <c r="E670" t="s">
        <v>2144</v>
      </c>
    </row>
    <row r="671" spans="3:5" customFormat="1" ht="17.399999999999999">
      <c r="C671" t="s">
        <v>3258</v>
      </c>
      <c r="E671" t="s">
        <v>3259</v>
      </c>
    </row>
    <row r="672" spans="3:5" customFormat="1" ht="17.399999999999999">
      <c r="C672" t="s">
        <v>3260</v>
      </c>
      <c r="E672" t="s">
        <v>3261</v>
      </c>
    </row>
    <row r="673" spans="3:5" customFormat="1" ht="17.399999999999999">
      <c r="C673" t="s">
        <v>3262</v>
      </c>
      <c r="E673" t="s">
        <v>3263</v>
      </c>
    </row>
    <row r="674" spans="3:5" customFormat="1" ht="17.399999999999999">
      <c r="C674" t="s">
        <v>522</v>
      </c>
      <c r="E674" t="s">
        <v>2594</v>
      </c>
    </row>
    <row r="675" spans="3:5" customFormat="1" ht="17.399999999999999">
      <c r="C675" t="s">
        <v>523</v>
      </c>
      <c r="D675" t="s">
        <v>3265</v>
      </c>
      <c r="E675" t="s">
        <v>3264</v>
      </c>
    </row>
    <row r="676" spans="3:5" customFormat="1" ht="17.399999999999999">
      <c r="C676" t="s">
        <v>14</v>
      </c>
      <c r="D676" t="s">
        <v>210</v>
      </c>
      <c r="E676" t="s">
        <v>209</v>
      </c>
    </row>
    <row r="677" spans="3:5" customFormat="1" ht="17.399999999999999">
      <c r="C677" t="s">
        <v>211</v>
      </c>
      <c r="D677" t="s">
        <v>3266</v>
      </c>
      <c r="E677" t="s">
        <v>841</v>
      </c>
    </row>
    <row r="678" spans="3:5" customFormat="1" ht="17.399999999999999">
      <c r="C678" t="s">
        <v>2147</v>
      </c>
      <c r="E678" t="s">
        <v>350</v>
      </c>
    </row>
    <row r="679" spans="3:5" customFormat="1" ht="17.399999999999999">
      <c r="C679" t="s">
        <v>3267</v>
      </c>
      <c r="E679" t="s">
        <v>3268</v>
      </c>
    </row>
    <row r="680" spans="3:5" customFormat="1" ht="17.399999999999999">
      <c r="C680" t="s">
        <v>213</v>
      </c>
      <c r="E680" t="s">
        <v>214</v>
      </c>
    </row>
    <row r="681" spans="3:5" customFormat="1" ht="17.399999999999999">
      <c r="C681" t="s">
        <v>2148</v>
      </c>
      <c r="E681" t="s">
        <v>1158</v>
      </c>
    </row>
    <row r="682" spans="3:5" customFormat="1" ht="17.399999999999999">
      <c r="C682" t="s">
        <v>3269</v>
      </c>
      <c r="E682" t="s">
        <v>3270</v>
      </c>
    </row>
    <row r="683" spans="3:5" customFormat="1" ht="17.399999999999999">
      <c r="C683" t="s">
        <v>3271</v>
      </c>
      <c r="E683" t="s">
        <v>2774</v>
      </c>
    </row>
    <row r="684" spans="3:5" customFormat="1" ht="17.399999999999999">
      <c r="C684" t="s">
        <v>145</v>
      </c>
      <c r="E684" t="s">
        <v>146</v>
      </c>
    </row>
    <row r="685" spans="3:5" customFormat="1" ht="17.399999999999999">
      <c r="C685" t="s">
        <v>12</v>
      </c>
      <c r="D685" t="s">
        <v>147</v>
      </c>
      <c r="E685" t="s">
        <v>2501</v>
      </c>
    </row>
    <row r="686" spans="3:5" customFormat="1" ht="17.399999999999999">
      <c r="C686" t="s">
        <v>149</v>
      </c>
      <c r="D686" t="s">
        <v>2149</v>
      </c>
      <c r="E686" t="s">
        <v>4399</v>
      </c>
    </row>
    <row r="687" spans="3:5" customFormat="1" ht="17.399999999999999">
      <c r="C687" t="s">
        <v>3272</v>
      </c>
      <c r="E687" t="s">
        <v>1433</v>
      </c>
    </row>
    <row r="688" spans="3:5" customFormat="1" ht="17.399999999999999">
      <c r="C688" t="s">
        <v>2150</v>
      </c>
      <c r="E688" t="s">
        <v>1041</v>
      </c>
    </row>
    <row r="689" spans="3:5" customFormat="1" ht="17.399999999999999">
      <c r="C689" t="s">
        <v>151</v>
      </c>
      <c r="E689" t="s">
        <v>152</v>
      </c>
    </row>
    <row r="690" spans="3:5" customFormat="1" ht="17.399999999999999">
      <c r="C690" t="s">
        <v>3273</v>
      </c>
      <c r="E690" t="s">
        <v>1355</v>
      </c>
    </row>
    <row r="691" spans="3:5" customFormat="1" ht="17.399999999999999">
      <c r="C691" t="s">
        <v>3274</v>
      </c>
      <c r="E691" t="s">
        <v>3275</v>
      </c>
    </row>
    <row r="692" spans="3:5" customFormat="1" ht="17.399999999999999">
      <c r="C692" t="s">
        <v>156</v>
      </c>
      <c r="E692" t="s">
        <v>212</v>
      </c>
    </row>
    <row r="693" spans="3:5" customFormat="1" ht="17.399999999999999">
      <c r="C693" t="s">
        <v>156</v>
      </c>
      <c r="D693" t="s">
        <v>627</v>
      </c>
      <c r="E693" t="s">
        <v>1694</v>
      </c>
    </row>
    <row r="694" spans="3:5" customFormat="1" ht="17.399999999999999">
      <c r="C694" t="s">
        <v>3276</v>
      </c>
      <c r="E694" t="s">
        <v>3277</v>
      </c>
    </row>
    <row r="695" spans="3:5" customFormat="1" ht="17.399999999999999">
      <c r="C695" t="s">
        <v>158</v>
      </c>
      <c r="D695" t="s">
        <v>2301</v>
      </c>
      <c r="E695" t="s">
        <v>2306</v>
      </c>
    </row>
    <row r="696" spans="3:5" customFormat="1" ht="17.399999999999999">
      <c r="C696" t="s">
        <v>2151</v>
      </c>
      <c r="D696" t="s">
        <v>3279</v>
      </c>
      <c r="E696" t="s">
        <v>3278</v>
      </c>
    </row>
    <row r="697" spans="3:5" customFormat="1" ht="17.399999999999999">
      <c r="C697" t="s">
        <v>2152</v>
      </c>
      <c r="E697" t="s">
        <v>3280</v>
      </c>
    </row>
    <row r="698" spans="3:5" customFormat="1" ht="17.399999999999999">
      <c r="C698" t="s">
        <v>161</v>
      </c>
      <c r="D698" t="s">
        <v>3282</v>
      </c>
      <c r="E698" t="s">
        <v>3281</v>
      </c>
    </row>
    <row r="699" spans="3:5" customFormat="1" ht="17.399999999999999">
      <c r="C699" t="s">
        <v>1887</v>
      </c>
      <c r="E699" t="s">
        <v>1696</v>
      </c>
    </row>
    <row r="700" spans="3:5" customFormat="1" ht="17.399999999999999">
      <c r="C700" t="s">
        <v>3283</v>
      </c>
      <c r="E700" t="s">
        <v>3284</v>
      </c>
    </row>
    <row r="701" spans="3:5" customFormat="1" ht="17.399999999999999">
      <c r="C701" t="s">
        <v>2153</v>
      </c>
      <c r="E701" t="s">
        <v>3285</v>
      </c>
    </row>
    <row r="702" spans="3:5" customFormat="1" ht="17.399999999999999">
      <c r="C702" t="s">
        <v>163</v>
      </c>
      <c r="E702" t="s">
        <v>3286</v>
      </c>
    </row>
    <row r="703" spans="3:5" customFormat="1" ht="17.399999999999999">
      <c r="C703" t="s">
        <v>164</v>
      </c>
      <c r="D703" t="s">
        <v>166</v>
      </c>
      <c r="E703" t="s">
        <v>165</v>
      </c>
    </row>
    <row r="704" spans="3:5" customFormat="1" ht="17.399999999999999">
      <c r="C704" t="s">
        <v>3287</v>
      </c>
      <c r="E704" t="s">
        <v>3288</v>
      </c>
    </row>
    <row r="705" spans="3:5" customFormat="1" ht="17.399999999999999">
      <c r="C705" t="s">
        <v>3289</v>
      </c>
      <c r="E705" t="s">
        <v>1490</v>
      </c>
    </row>
    <row r="706" spans="3:5" customFormat="1" ht="17.399999999999999">
      <c r="C706" t="s">
        <v>168</v>
      </c>
      <c r="D706" t="s">
        <v>3290</v>
      </c>
      <c r="E706" t="s">
        <v>169</v>
      </c>
    </row>
    <row r="707" spans="3:5" customFormat="1" ht="17.399999999999999">
      <c r="C707" t="s">
        <v>170</v>
      </c>
      <c r="E707" t="s">
        <v>171</v>
      </c>
    </row>
    <row r="708" spans="3:5" customFormat="1" ht="17.399999999999999">
      <c r="C708" t="s">
        <v>172</v>
      </c>
      <c r="E708" t="s">
        <v>2777</v>
      </c>
    </row>
    <row r="709" spans="3:5" customFormat="1" ht="17.399999999999999">
      <c r="C709" t="s">
        <v>173</v>
      </c>
      <c r="D709" t="s">
        <v>175</v>
      </c>
      <c r="E709" t="s">
        <v>3291</v>
      </c>
    </row>
    <row r="710" spans="3:5" customFormat="1" ht="17.399999999999999">
      <c r="C710" t="s">
        <v>176</v>
      </c>
      <c r="E710" t="s">
        <v>2157</v>
      </c>
    </row>
    <row r="711" spans="3:5" customFormat="1" ht="17.399999999999999">
      <c r="C711" t="s">
        <v>2158</v>
      </c>
      <c r="E711" t="s">
        <v>2159</v>
      </c>
    </row>
    <row r="712" spans="3:5" customFormat="1" ht="17.399999999999999">
      <c r="C712" t="s">
        <v>3292</v>
      </c>
      <c r="E712" t="s">
        <v>1095</v>
      </c>
    </row>
    <row r="713" spans="3:5" customFormat="1" ht="17.399999999999999">
      <c r="C713" t="s">
        <v>3293</v>
      </c>
      <c r="E713" t="s">
        <v>3294</v>
      </c>
    </row>
    <row r="714" spans="3:5" customFormat="1" ht="17.399999999999999">
      <c r="C714" t="s">
        <v>177</v>
      </c>
      <c r="E714" t="s">
        <v>178</v>
      </c>
    </row>
    <row r="715" spans="3:5" customFormat="1" ht="17.399999999999999">
      <c r="C715" t="s">
        <v>179</v>
      </c>
      <c r="E715" t="s">
        <v>180</v>
      </c>
    </row>
    <row r="716" spans="3:5" customFormat="1" ht="17.399999999999999">
      <c r="C716" t="s">
        <v>8</v>
      </c>
      <c r="E716" t="s">
        <v>181</v>
      </c>
    </row>
    <row r="717" spans="3:5" customFormat="1" ht="17.399999999999999">
      <c r="C717" t="s">
        <v>184</v>
      </c>
      <c r="E717" t="s">
        <v>2161</v>
      </c>
    </row>
    <row r="718" spans="3:5" customFormat="1" ht="17.399999999999999">
      <c r="C718" t="s">
        <v>2162</v>
      </c>
      <c r="E718" t="s">
        <v>2163</v>
      </c>
    </row>
    <row r="719" spans="3:5" customFormat="1" ht="17.399999999999999">
      <c r="C719" t="s">
        <v>3295</v>
      </c>
      <c r="E719" t="s">
        <v>3296</v>
      </c>
    </row>
    <row r="720" spans="3:5" customFormat="1" ht="17.399999999999999">
      <c r="C720" t="s">
        <v>185</v>
      </c>
      <c r="E720" t="s">
        <v>3297</v>
      </c>
    </row>
    <row r="721" spans="3:5" customFormat="1" ht="17.399999999999999">
      <c r="C721" t="s">
        <v>187</v>
      </c>
      <c r="E721" t="s">
        <v>1883</v>
      </c>
    </row>
    <row r="722" spans="3:5" customFormat="1" ht="17.399999999999999">
      <c r="C722" t="s">
        <v>188</v>
      </c>
      <c r="D722" t="s">
        <v>190</v>
      </c>
      <c r="E722" t="s">
        <v>189</v>
      </c>
    </row>
    <row r="723" spans="3:5" customFormat="1" ht="17.399999999999999">
      <c r="C723" t="s">
        <v>2164</v>
      </c>
      <c r="E723" t="s">
        <v>2580</v>
      </c>
    </row>
    <row r="724" spans="3:5" customFormat="1" ht="17.399999999999999">
      <c r="C724" t="s">
        <v>3298</v>
      </c>
      <c r="E724" t="s">
        <v>791</v>
      </c>
    </row>
    <row r="725" spans="3:5" customFormat="1" ht="17.399999999999999">
      <c r="C725" t="s">
        <v>2165</v>
      </c>
      <c r="E725" t="s">
        <v>3299</v>
      </c>
    </row>
    <row r="726" spans="3:5" customFormat="1" ht="17.399999999999999">
      <c r="C726" t="s">
        <v>2166</v>
      </c>
      <c r="E726" t="s">
        <v>3300</v>
      </c>
    </row>
    <row r="727" spans="3:5" customFormat="1" ht="17.399999999999999">
      <c r="C727" t="s">
        <v>329</v>
      </c>
      <c r="E727" t="s">
        <v>2167</v>
      </c>
    </row>
    <row r="728" spans="3:5" customFormat="1" ht="17.399999999999999">
      <c r="C728" t="s">
        <v>330</v>
      </c>
      <c r="D728" t="s">
        <v>2168</v>
      </c>
      <c r="E728" t="s">
        <v>4400</v>
      </c>
    </row>
    <row r="729" spans="3:5" customFormat="1" ht="17.399999999999999">
      <c r="C729" t="s">
        <v>332</v>
      </c>
      <c r="E729" t="s">
        <v>3301</v>
      </c>
    </row>
    <row r="730" spans="3:5" customFormat="1" ht="17.399999999999999">
      <c r="C730" t="s">
        <v>3302</v>
      </c>
      <c r="E730" t="s">
        <v>3303</v>
      </c>
    </row>
    <row r="731" spans="3:5" customFormat="1" ht="17.399999999999999">
      <c r="C731" t="s">
        <v>2171</v>
      </c>
      <c r="D731" t="s">
        <v>2172</v>
      </c>
      <c r="E731" t="s">
        <v>4401</v>
      </c>
    </row>
    <row r="732" spans="3:5" customFormat="1" ht="17.399999999999999">
      <c r="C732" t="s">
        <v>334</v>
      </c>
      <c r="E732" t="s">
        <v>160</v>
      </c>
    </row>
    <row r="733" spans="3:5" customFormat="1" ht="17.399999999999999">
      <c r="C733" t="s">
        <v>3304</v>
      </c>
      <c r="E733" t="s">
        <v>3305</v>
      </c>
    </row>
    <row r="734" spans="3:5" customFormat="1" ht="17.399999999999999">
      <c r="C734" t="s">
        <v>2173</v>
      </c>
      <c r="E734" t="s">
        <v>2174</v>
      </c>
    </row>
    <row r="735" spans="3:5" customFormat="1" ht="17.399999999999999">
      <c r="C735" t="s">
        <v>2175</v>
      </c>
      <c r="E735" t="s">
        <v>2176</v>
      </c>
    </row>
    <row r="736" spans="3:5" customFormat="1" ht="17.399999999999999">
      <c r="C736" t="s">
        <v>2177</v>
      </c>
      <c r="E736" t="s">
        <v>3306</v>
      </c>
    </row>
    <row r="737" spans="3:5" customFormat="1" ht="17.399999999999999">
      <c r="C737" t="s">
        <v>13</v>
      </c>
      <c r="E737" t="s">
        <v>2288</v>
      </c>
    </row>
    <row r="738" spans="3:5" customFormat="1" ht="17.399999999999999">
      <c r="C738" t="s">
        <v>335</v>
      </c>
      <c r="E738" t="s">
        <v>3307</v>
      </c>
    </row>
    <row r="739" spans="3:5" customFormat="1" ht="17.399999999999999">
      <c r="C739" t="s">
        <v>2178</v>
      </c>
      <c r="E739" t="s">
        <v>2179</v>
      </c>
    </row>
    <row r="740" spans="3:5" customFormat="1" ht="17.399999999999999">
      <c r="C740" t="s">
        <v>336</v>
      </c>
      <c r="E740" t="s">
        <v>2596</v>
      </c>
    </row>
    <row r="741" spans="3:5" customFormat="1" ht="17.399999999999999">
      <c r="C741" t="s">
        <v>337</v>
      </c>
      <c r="E741" t="s">
        <v>1647</v>
      </c>
    </row>
    <row r="742" spans="3:5" customFormat="1" ht="17.399999999999999">
      <c r="C742" t="s">
        <v>2183</v>
      </c>
      <c r="E742" t="s">
        <v>3308</v>
      </c>
    </row>
    <row r="743" spans="3:5" customFormat="1" ht="17.399999999999999">
      <c r="C743" t="s">
        <v>3309</v>
      </c>
      <c r="E743" t="s">
        <v>2017</v>
      </c>
    </row>
    <row r="744" spans="3:5" customFormat="1" ht="17.399999999999999">
      <c r="C744" t="s">
        <v>338</v>
      </c>
      <c r="E744" t="s">
        <v>3310</v>
      </c>
    </row>
    <row r="745" spans="3:5" customFormat="1" ht="17.399999999999999">
      <c r="C745" t="s">
        <v>3311</v>
      </c>
      <c r="E745" t="s">
        <v>3312</v>
      </c>
    </row>
    <row r="746" spans="3:5" customFormat="1" ht="17.399999999999999">
      <c r="C746" t="s">
        <v>3313</v>
      </c>
      <c r="E746" t="s">
        <v>3314</v>
      </c>
    </row>
    <row r="747" spans="3:5" customFormat="1" ht="17.399999999999999">
      <c r="C747" t="s">
        <v>3315</v>
      </c>
      <c r="E747" t="s">
        <v>3316</v>
      </c>
    </row>
    <row r="748" spans="3:5" customFormat="1" ht="17.399999999999999">
      <c r="C748" t="s">
        <v>3317</v>
      </c>
      <c r="E748" t="s">
        <v>3318</v>
      </c>
    </row>
    <row r="749" spans="3:5" customFormat="1" ht="17.399999999999999">
      <c r="C749" t="s">
        <v>3319</v>
      </c>
      <c r="E749" t="s">
        <v>3320</v>
      </c>
    </row>
    <row r="750" spans="3:5" customFormat="1" ht="17.399999999999999">
      <c r="C750" t="s">
        <v>419</v>
      </c>
      <c r="E750" t="s">
        <v>420</v>
      </c>
    </row>
    <row r="751" spans="3:5" customFormat="1" ht="17.399999999999999">
      <c r="C751" t="s">
        <v>3321</v>
      </c>
      <c r="E751" t="s">
        <v>3322</v>
      </c>
    </row>
    <row r="752" spans="3:5" customFormat="1" ht="17.399999999999999">
      <c r="C752" t="s">
        <v>3323</v>
      </c>
      <c r="E752" t="s">
        <v>2085</v>
      </c>
    </row>
    <row r="753" spans="3:5" customFormat="1" ht="17.399999999999999">
      <c r="C753" t="s">
        <v>421</v>
      </c>
      <c r="E753" t="s">
        <v>2184</v>
      </c>
    </row>
    <row r="754" spans="3:5" customFormat="1" ht="17.399999999999999">
      <c r="C754" t="s">
        <v>424</v>
      </c>
      <c r="D754" t="s">
        <v>2299</v>
      </c>
      <c r="E754" t="s">
        <v>1650</v>
      </c>
    </row>
    <row r="755" spans="3:5" customFormat="1" ht="17.399999999999999">
      <c r="C755" t="s">
        <v>425</v>
      </c>
      <c r="E755" t="s">
        <v>2715</v>
      </c>
    </row>
    <row r="756" spans="3:5" customFormat="1" ht="17.399999999999999">
      <c r="C756" t="s">
        <v>3324</v>
      </c>
      <c r="E756" t="s">
        <v>3325</v>
      </c>
    </row>
    <row r="757" spans="3:5" customFormat="1" ht="17.399999999999999">
      <c r="C757" t="s">
        <v>3326</v>
      </c>
      <c r="E757" t="s">
        <v>3327</v>
      </c>
    </row>
    <row r="758" spans="3:5" customFormat="1" ht="17.399999999999999">
      <c r="C758" t="s">
        <v>3328</v>
      </c>
      <c r="E758" t="s">
        <v>2206</v>
      </c>
    </row>
    <row r="759" spans="3:5" customFormat="1" ht="17.399999999999999">
      <c r="C759" t="s">
        <v>3329</v>
      </c>
      <c r="E759" t="s">
        <v>3330</v>
      </c>
    </row>
    <row r="760" spans="3:5" customFormat="1" ht="17.399999999999999">
      <c r="C760" t="s">
        <v>3331</v>
      </c>
      <c r="E760" t="s">
        <v>3332</v>
      </c>
    </row>
    <row r="761" spans="3:5" customFormat="1" ht="17.399999999999999">
      <c r="C761" t="s">
        <v>580</v>
      </c>
      <c r="E761" t="s">
        <v>884</v>
      </c>
    </row>
    <row r="762" spans="3:5" customFormat="1" ht="17.399999999999999">
      <c r="C762" t="s">
        <v>3333</v>
      </c>
      <c r="E762" t="s">
        <v>3334</v>
      </c>
    </row>
    <row r="763" spans="3:5" customFormat="1" ht="17.399999999999999">
      <c r="C763" t="s">
        <v>581</v>
      </c>
      <c r="E763" t="s">
        <v>3335</v>
      </c>
    </row>
    <row r="764" spans="3:5" customFormat="1" ht="17.399999999999999">
      <c r="C764" t="s">
        <v>582</v>
      </c>
      <c r="E764" t="s">
        <v>3336</v>
      </c>
    </row>
    <row r="765" spans="3:5" customFormat="1" ht="17.399999999999999">
      <c r="C765" t="s">
        <v>2187</v>
      </c>
      <c r="E765" t="s">
        <v>3337</v>
      </c>
    </row>
    <row r="766" spans="3:5" customFormat="1" ht="17.399999999999999">
      <c r="C766" t="s">
        <v>583</v>
      </c>
      <c r="E766" t="s">
        <v>2188</v>
      </c>
    </row>
    <row r="767" spans="3:5" customFormat="1" ht="17.399999999999999">
      <c r="C767" t="s">
        <v>584</v>
      </c>
      <c r="E767" t="s">
        <v>3338</v>
      </c>
    </row>
    <row r="768" spans="3:5" customFormat="1" ht="17.399999999999999">
      <c r="C768" t="s">
        <v>2189</v>
      </c>
      <c r="E768" t="s">
        <v>3339</v>
      </c>
    </row>
    <row r="769" spans="3:5" customFormat="1" ht="17.399999999999999">
      <c r="C769" t="s">
        <v>585</v>
      </c>
      <c r="E769" t="s">
        <v>3340</v>
      </c>
    </row>
    <row r="770" spans="3:5" customFormat="1" ht="17.399999999999999">
      <c r="C770" t="s">
        <v>400</v>
      </c>
      <c r="E770" t="s">
        <v>3341</v>
      </c>
    </row>
    <row r="771" spans="3:5" customFormat="1" ht="17.399999999999999">
      <c r="C771" t="s">
        <v>2191</v>
      </c>
      <c r="E771" t="s">
        <v>2799</v>
      </c>
    </row>
    <row r="772" spans="3:5" customFormat="1" ht="17.399999999999999">
      <c r="C772" t="s">
        <v>401</v>
      </c>
      <c r="E772" t="s">
        <v>2192</v>
      </c>
    </row>
    <row r="773" spans="3:5" customFormat="1" ht="17.399999999999999">
      <c r="C773" t="s">
        <v>4402</v>
      </c>
      <c r="D773" t="s">
        <v>4404</v>
      </c>
      <c r="E773" t="s">
        <v>4403</v>
      </c>
    </row>
    <row r="774" spans="3:5" customFormat="1" ht="17.399999999999999">
      <c r="C774" t="s">
        <v>3342</v>
      </c>
      <c r="E774" t="s">
        <v>3343</v>
      </c>
    </row>
    <row r="775" spans="3:5" customFormat="1" ht="17.399999999999999">
      <c r="C775" t="s">
        <v>402</v>
      </c>
      <c r="E775" t="s">
        <v>3344</v>
      </c>
    </row>
    <row r="776" spans="3:5" customFormat="1" ht="17.399999999999999">
      <c r="C776" t="s">
        <v>547</v>
      </c>
      <c r="E776" t="s">
        <v>3345</v>
      </c>
    </row>
    <row r="777" spans="3:5" customFormat="1" ht="17.399999999999999">
      <c r="C777" t="s">
        <v>3346</v>
      </c>
      <c r="E777" t="s">
        <v>3347</v>
      </c>
    </row>
    <row r="778" spans="3:5" customFormat="1" ht="17.399999999999999">
      <c r="C778" t="s">
        <v>739</v>
      </c>
      <c r="E778" t="s">
        <v>2790</v>
      </c>
    </row>
    <row r="779" spans="3:5" customFormat="1" ht="17.399999999999999">
      <c r="C779" t="s">
        <v>740</v>
      </c>
      <c r="E779" t="s">
        <v>68</v>
      </c>
    </row>
    <row r="780" spans="3:5" customFormat="1" ht="17.399999999999999">
      <c r="C780" t="s">
        <v>740</v>
      </c>
      <c r="D780" t="s">
        <v>3349</v>
      </c>
      <c r="E780" t="s">
        <v>3348</v>
      </c>
    </row>
    <row r="781" spans="3:5" customFormat="1" ht="17.399999999999999">
      <c r="C781" t="s">
        <v>3350</v>
      </c>
      <c r="E781" t="s">
        <v>1731</v>
      </c>
    </row>
    <row r="782" spans="3:5" customFormat="1" ht="17.399999999999999">
      <c r="C782" t="s">
        <v>741</v>
      </c>
      <c r="E782" t="s">
        <v>2732</v>
      </c>
    </row>
    <row r="783" spans="3:5" customFormat="1" ht="17.399999999999999">
      <c r="C783" t="s">
        <v>3351</v>
      </c>
      <c r="E783" t="s">
        <v>3352</v>
      </c>
    </row>
    <row r="784" spans="3:5" customFormat="1" ht="17.399999999999999">
      <c r="C784" t="s">
        <v>742</v>
      </c>
      <c r="E784" t="s">
        <v>3353</v>
      </c>
    </row>
    <row r="785" spans="3:5" customFormat="1" ht="17.399999999999999">
      <c r="C785" t="s">
        <v>2194</v>
      </c>
      <c r="E785" t="s">
        <v>1939</v>
      </c>
    </row>
    <row r="786" spans="3:5" customFormat="1" ht="17.399999999999999">
      <c r="C786" t="s">
        <v>743</v>
      </c>
      <c r="E786" t="s">
        <v>744</v>
      </c>
    </row>
    <row r="787" spans="3:5" customFormat="1" ht="17.399999999999999">
      <c r="C787" t="s">
        <v>745</v>
      </c>
      <c r="D787" t="s">
        <v>747</v>
      </c>
      <c r="E787" t="s">
        <v>746</v>
      </c>
    </row>
    <row r="788" spans="3:5" customFormat="1" ht="17.399999999999999">
      <c r="C788" t="s">
        <v>749</v>
      </c>
      <c r="D788" t="s">
        <v>3355</v>
      </c>
      <c r="E788" t="s">
        <v>3354</v>
      </c>
    </row>
    <row r="789" spans="3:5" customFormat="1" ht="17.399999999999999">
      <c r="C789" t="s">
        <v>749</v>
      </c>
      <c r="D789" t="s">
        <v>3355</v>
      </c>
      <c r="E789" t="s">
        <v>923</v>
      </c>
    </row>
    <row r="790" spans="3:5" customFormat="1" ht="17.399999999999999">
      <c r="C790" t="s">
        <v>750</v>
      </c>
      <c r="E790" t="s">
        <v>2125</v>
      </c>
    </row>
    <row r="791" spans="3:5" customFormat="1" ht="17.399999999999999">
      <c r="C791" t="s">
        <v>751</v>
      </c>
      <c r="D791" t="s">
        <v>3356</v>
      </c>
      <c r="E791" t="s">
        <v>752</v>
      </c>
    </row>
    <row r="792" spans="3:5" customFormat="1" ht="17.399999999999999">
      <c r="C792" t="s">
        <v>753</v>
      </c>
      <c r="D792" t="s">
        <v>754</v>
      </c>
      <c r="E792" t="s">
        <v>3357</v>
      </c>
    </row>
    <row r="793" spans="3:5" customFormat="1" ht="17.399999999999999">
      <c r="C793" t="s">
        <v>1745</v>
      </c>
      <c r="E793" t="s">
        <v>2339</v>
      </c>
    </row>
    <row r="794" spans="3:5" customFormat="1" ht="17.399999999999999">
      <c r="C794" t="s">
        <v>378</v>
      </c>
      <c r="E794" t="s">
        <v>1536</v>
      </c>
    </row>
    <row r="795" spans="3:5" customFormat="1" ht="17.399999999999999">
      <c r="C795" t="s">
        <v>2195</v>
      </c>
      <c r="E795" t="s">
        <v>144</v>
      </c>
    </row>
    <row r="796" spans="3:5" customFormat="1" ht="17.399999999999999">
      <c r="C796" t="s">
        <v>379</v>
      </c>
      <c r="D796" t="s">
        <v>3359</v>
      </c>
      <c r="E796" t="s">
        <v>3358</v>
      </c>
    </row>
    <row r="797" spans="3:5" customFormat="1" ht="17.399999999999999">
      <c r="C797" t="s">
        <v>3360</v>
      </c>
      <c r="E797" t="s">
        <v>2041</v>
      </c>
    </row>
    <row r="798" spans="3:5" customFormat="1" ht="17.399999999999999">
      <c r="C798" t="s">
        <v>381</v>
      </c>
      <c r="E798" t="s">
        <v>2083</v>
      </c>
    </row>
    <row r="799" spans="3:5" customFormat="1" ht="17.399999999999999">
      <c r="C799" t="s">
        <v>382</v>
      </c>
      <c r="D799" t="s">
        <v>397</v>
      </c>
      <c r="E799" t="s">
        <v>383</v>
      </c>
    </row>
    <row r="800" spans="3:5" customFormat="1" ht="17.399999999999999">
      <c r="C800" t="s">
        <v>382</v>
      </c>
      <c r="D800" t="s">
        <v>397</v>
      </c>
      <c r="E800" t="s">
        <v>396</v>
      </c>
    </row>
    <row r="801" spans="3:5" customFormat="1" ht="17.399999999999999">
      <c r="C801" t="s">
        <v>3361</v>
      </c>
      <c r="E801" t="s">
        <v>3362</v>
      </c>
    </row>
    <row r="802" spans="3:5" customFormat="1" ht="17.399999999999999">
      <c r="C802" t="s">
        <v>3363</v>
      </c>
      <c r="E802" t="s">
        <v>3364</v>
      </c>
    </row>
    <row r="803" spans="3:5" customFormat="1" ht="17.399999999999999">
      <c r="C803" t="s">
        <v>2196</v>
      </c>
      <c r="E803" t="s">
        <v>3365</v>
      </c>
    </row>
    <row r="804" spans="3:5" customFormat="1" ht="17.399999999999999">
      <c r="C804" t="s">
        <v>384</v>
      </c>
      <c r="D804" t="s">
        <v>385</v>
      </c>
      <c r="E804" t="s">
        <v>3366</v>
      </c>
    </row>
    <row r="805" spans="3:5" customFormat="1" ht="17.399999999999999">
      <c r="C805" t="s">
        <v>386</v>
      </c>
      <c r="D805" t="s">
        <v>388</v>
      </c>
      <c r="E805" t="s">
        <v>2197</v>
      </c>
    </row>
    <row r="806" spans="3:5" customFormat="1" ht="17.399999999999999">
      <c r="C806" t="s">
        <v>3367</v>
      </c>
      <c r="E806" t="s">
        <v>3368</v>
      </c>
    </row>
    <row r="807" spans="3:5" customFormat="1" ht="17.399999999999999">
      <c r="C807" t="s">
        <v>2198</v>
      </c>
      <c r="D807" t="s">
        <v>390</v>
      </c>
      <c r="E807" t="s">
        <v>389</v>
      </c>
    </row>
    <row r="808" spans="3:5" customFormat="1" ht="17.399999999999999">
      <c r="C808" t="s">
        <v>391</v>
      </c>
      <c r="E808" t="s">
        <v>1145</v>
      </c>
    </row>
    <row r="809" spans="3:5" customFormat="1" ht="17.399999999999999">
      <c r="C809" t="s">
        <v>391</v>
      </c>
      <c r="D809" t="s">
        <v>1789</v>
      </c>
      <c r="E809" t="s">
        <v>2199</v>
      </c>
    </row>
    <row r="810" spans="3:5" customFormat="1" ht="17.399999999999999">
      <c r="C810" t="s">
        <v>393</v>
      </c>
      <c r="E810" t="s">
        <v>2436</v>
      </c>
    </row>
    <row r="811" spans="3:5" customFormat="1" ht="17.399999999999999">
      <c r="C811" t="s">
        <v>3369</v>
      </c>
      <c r="E811" t="s">
        <v>3370</v>
      </c>
    </row>
    <row r="812" spans="3:5" customFormat="1" ht="17.399999999999999">
      <c r="C812" t="s">
        <v>395</v>
      </c>
      <c r="D812" t="s">
        <v>380</v>
      </c>
      <c r="E812" t="s">
        <v>3371</v>
      </c>
    </row>
    <row r="813" spans="3:5" customFormat="1" ht="17.399999999999999">
      <c r="C813" t="s">
        <v>395</v>
      </c>
      <c r="D813" t="s">
        <v>380</v>
      </c>
      <c r="E813" t="s">
        <v>3372</v>
      </c>
    </row>
    <row r="814" spans="3:5" customFormat="1" ht="17.399999999999999">
      <c r="C814" t="s">
        <v>197</v>
      </c>
      <c r="D814" t="s">
        <v>198</v>
      </c>
      <c r="E814" t="s">
        <v>637</v>
      </c>
    </row>
    <row r="815" spans="3:5" customFormat="1" ht="17.399999999999999">
      <c r="C815" t="s">
        <v>199</v>
      </c>
      <c r="D815" t="s">
        <v>201</v>
      </c>
      <c r="E815" t="s">
        <v>200</v>
      </c>
    </row>
    <row r="816" spans="3:5" customFormat="1" ht="17.399999999999999">
      <c r="C816" t="s">
        <v>202</v>
      </c>
      <c r="E816" t="s">
        <v>203</v>
      </c>
    </row>
    <row r="817" spans="3:5" customFormat="1" ht="17.399999999999999">
      <c r="C817" t="s">
        <v>2200</v>
      </c>
      <c r="E817" t="s">
        <v>3373</v>
      </c>
    </row>
    <row r="818" spans="3:5" customFormat="1" ht="17.399999999999999">
      <c r="C818" t="s">
        <v>2201</v>
      </c>
      <c r="E818" t="s">
        <v>3374</v>
      </c>
    </row>
    <row r="819" spans="3:5" customFormat="1" ht="17.399999999999999">
      <c r="C819" t="s">
        <v>204</v>
      </c>
      <c r="E819" t="s">
        <v>2759</v>
      </c>
    </row>
    <row r="820" spans="3:5" customFormat="1" ht="17.399999999999999">
      <c r="C820" t="s">
        <v>205</v>
      </c>
      <c r="E820" t="s">
        <v>3375</v>
      </c>
    </row>
    <row r="821" spans="3:5" customFormat="1" ht="17.399999999999999">
      <c r="C821" t="s">
        <v>3376</v>
      </c>
      <c r="E821" t="s">
        <v>3377</v>
      </c>
    </row>
    <row r="822" spans="3:5" customFormat="1" ht="17.399999999999999">
      <c r="C822" t="s">
        <v>206</v>
      </c>
      <c r="E822" t="s">
        <v>2727</v>
      </c>
    </row>
    <row r="823" spans="3:5" customFormat="1" ht="17.399999999999999">
      <c r="C823" t="s">
        <v>3378</v>
      </c>
      <c r="E823" t="s">
        <v>3379</v>
      </c>
    </row>
    <row r="824" spans="3:5" customFormat="1" ht="17.399999999999999">
      <c r="C824" t="s">
        <v>2202</v>
      </c>
      <c r="E824" t="s">
        <v>3380</v>
      </c>
    </row>
    <row r="825" spans="3:5" customFormat="1" ht="17.399999999999999">
      <c r="C825" t="s">
        <v>588</v>
      </c>
      <c r="E825" t="s">
        <v>207</v>
      </c>
    </row>
    <row r="826" spans="3:5" customFormat="1" ht="17.399999999999999">
      <c r="C826" t="s">
        <v>589</v>
      </c>
      <c r="D826" t="s">
        <v>4405</v>
      </c>
      <c r="E826" t="s">
        <v>590</v>
      </c>
    </row>
    <row r="827" spans="3:5" customFormat="1" ht="17.399999999999999">
      <c r="C827" t="s">
        <v>2203</v>
      </c>
      <c r="E827" t="s">
        <v>2062</v>
      </c>
    </row>
    <row r="828" spans="3:5" customFormat="1" ht="17.399999999999999">
      <c r="C828" t="s">
        <v>2204</v>
      </c>
      <c r="E828" t="s">
        <v>578</v>
      </c>
    </row>
    <row r="829" spans="3:5" customFormat="1" ht="17.399999999999999">
      <c r="C829" t="s">
        <v>591</v>
      </c>
      <c r="E829" t="s">
        <v>3381</v>
      </c>
    </row>
    <row r="830" spans="3:5" customFormat="1" ht="17.399999999999999">
      <c r="C830" t="s">
        <v>592</v>
      </c>
      <c r="E830" t="s">
        <v>2205</v>
      </c>
    </row>
    <row r="831" spans="3:5" customFormat="1" ht="17.399999999999999">
      <c r="C831" t="s">
        <v>3382</v>
      </c>
      <c r="E831" t="s">
        <v>1246</v>
      </c>
    </row>
    <row r="832" spans="3:5" customFormat="1" ht="17.399999999999999">
      <c r="C832" t="s">
        <v>595</v>
      </c>
      <c r="E832" t="s">
        <v>3383</v>
      </c>
    </row>
    <row r="833" spans="3:5" customFormat="1" ht="17.399999999999999">
      <c r="C833" t="s">
        <v>596</v>
      </c>
      <c r="E833" t="s">
        <v>1348</v>
      </c>
    </row>
    <row r="834" spans="3:5" customFormat="1" ht="17.399999999999999">
      <c r="C834" t="s">
        <v>3384</v>
      </c>
      <c r="E834" t="s">
        <v>3385</v>
      </c>
    </row>
    <row r="835" spans="3:5" customFormat="1" ht="17.399999999999999">
      <c r="C835" t="s">
        <v>3386</v>
      </c>
      <c r="E835" t="s">
        <v>3387</v>
      </c>
    </row>
    <row r="836" spans="3:5" customFormat="1" ht="17.399999999999999">
      <c r="C836" t="s">
        <v>2207</v>
      </c>
      <c r="E836" t="s">
        <v>3388</v>
      </c>
    </row>
    <row r="837" spans="3:5" customFormat="1" ht="17.399999999999999">
      <c r="C837" t="s">
        <v>598</v>
      </c>
      <c r="E837" t="s">
        <v>3389</v>
      </c>
    </row>
    <row r="838" spans="3:5" customFormat="1" ht="17.399999999999999">
      <c r="C838" t="s">
        <v>3390</v>
      </c>
      <c r="E838" t="s">
        <v>1394</v>
      </c>
    </row>
    <row r="839" spans="3:5" customFormat="1" ht="17.399999999999999">
      <c r="C839" t="s">
        <v>599</v>
      </c>
      <c r="E839" t="s">
        <v>600</v>
      </c>
    </row>
    <row r="840" spans="3:5" customFormat="1" ht="17.399999999999999">
      <c r="C840" t="s">
        <v>601</v>
      </c>
      <c r="D840" t="s">
        <v>602</v>
      </c>
      <c r="E840" t="s">
        <v>51</v>
      </c>
    </row>
    <row r="841" spans="3:5" customFormat="1" ht="17.399999999999999">
      <c r="C841" t="s">
        <v>603</v>
      </c>
      <c r="E841" t="s">
        <v>844</v>
      </c>
    </row>
    <row r="842" spans="3:5" customFormat="1" ht="17.399999999999999">
      <c r="C842" t="s">
        <v>604</v>
      </c>
      <c r="D842" t="s">
        <v>606</v>
      </c>
      <c r="E842" t="s">
        <v>605</v>
      </c>
    </row>
    <row r="843" spans="3:5" customFormat="1" ht="17.399999999999999">
      <c r="C843" t="s">
        <v>398</v>
      </c>
      <c r="D843" t="s">
        <v>399</v>
      </c>
      <c r="E843" t="s">
        <v>527</v>
      </c>
    </row>
    <row r="844" spans="3:5" customFormat="1" ht="17.399999999999999">
      <c r="C844" t="s">
        <v>458</v>
      </c>
      <c r="D844" t="s">
        <v>459</v>
      </c>
      <c r="E844" t="s">
        <v>3391</v>
      </c>
    </row>
    <row r="845" spans="3:5" customFormat="1" ht="17.399999999999999">
      <c r="C845" t="s">
        <v>460</v>
      </c>
      <c r="D845" t="s">
        <v>3392</v>
      </c>
      <c r="E845" t="s">
        <v>2417</v>
      </c>
    </row>
    <row r="846" spans="3:5" customFormat="1" ht="17.399999999999999">
      <c r="C846" t="s">
        <v>461</v>
      </c>
      <c r="D846" t="s">
        <v>3394</v>
      </c>
      <c r="E846" t="s">
        <v>3393</v>
      </c>
    </row>
    <row r="847" spans="3:5" customFormat="1" ht="17.399999999999999">
      <c r="C847" t="s">
        <v>2211</v>
      </c>
      <c r="D847" t="s">
        <v>3396</v>
      </c>
      <c r="E847" t="s">
        <v>3395</v>
      </c>
    </row>
    <row r="848" spans="3:5" customFormat="1" ht="17.399999999999999">
      <c r="C848" t="s">
        <v>462</v>
      </c>
      <c r="D848" t="s">
        <v>3398</v>
      </c>
      <c r="E848" t="s">
        <v>3397</v>
      </c>
    </row>
    <row r="849" spans="3:5" customFormat="1" ht="17.399999999999999">
      <c r="C849" t="s">
        <v>463</v>
      </c>
      <c r="D849" t="s">
        <v>283</v>
      </c>
      <c r="E849" t="s">
        <v>282</v>
      </c>
    </row>
    <row r="850" spans="3:5" customFormat="1" ht="17.399999999999999">
      <c r="C850" t="s">
        <v>464</v>
      </c>
      <c r="E850" t="s">
        <v>681</v>
      </c>
    </row>
    <row r="851" spans="3:5" customFormat="1" ht="17.399999999999999">
      <c r="C851" t="s">
        <v>281</v>
      </c>
      <c r="D851" t="s">
        <v>208</v>
      </c>
      <c r="E851" t="s">
        <v>3399</v>
      </c>
    </row>
    <row r="852" spans="3:5" customFormat="1" ht="17.399999999999999">
      <c r="C852" t="s">
        <v>3400</v>
      </c>
      <c r="E852" t="s">
        <v>3401</v>
      </c>
    </row>
    <row r="853" spans="3:5" customFormat="1" ht="17.399999999999999">
      <c r="C853" t="s">
        <v>2213</v>
      </c>
      <c r="E853" t="s">
        <v>2214</v>
      </c>
    </row>
    <row r="854" spans="3:5" customFormat="1" ht="17.399999999999999">
      <c r="C854" t="s">
        <v>250</v>
      </c>
      <c r="E854" t="s">
        <v>3402</v>
      </c>
    </row>
    <row r="855" spans="3:5" customFormat="1" ht="17.399999999999999">
      <c r="C855" t="s">
        <v>2215</v>
      </c>
      <c r="E855" t="s">
        <v>3403</v>
      </c>
    </row>
    <row r="856" spans="3:5" customFormat="1" ht="17.399999999999999">
      <c r="C856" t="s">
        <v>2216</v>
      </c>
      <c r="E856" t="s">
        <v>2217</v>
      </c>
    </row>
    <row r="857" spans="3:5" customFormat="1" ht="17.399999999999999">
      <c r="C857" t="s">
        <v>2218</v>
      </c>
      <c r="E857" t="s">
        <v>3404</v>
      </c>
    </row>
    <row r="858" spans="3:5" customFormat="1" ht="17.399999999999999">
      <c r="C858" t="s">
        <v>2219</v>
      </c>
      <c r="E858" t="s">
        <v>2720</v>
      </c>
    </row>
    <row r="859" spans="3:5" customFormat="1" ht="17.399999999999999">
      <c r="C859" t="s">
        <v>2220</v>
      </c>
      <c r="E859" t="s">
        <v>3405</v>
      </c>
    </row>
    <row r="860" spans="3:5" customFormat="1" ht="17.399999999999999">
      <c r="C860" t="s">
        <v>2221</v>
      </c>
      <c r="E860" t="s">
        <v>223</v>
      </c>
    </row>
    <row r="861" spans="3:5" customFormat="1" ht="17.399999999999999">
      <c r="C861" t="s">
        <v>254</v>
      </c>
      <c r="E861" t="s">
        <v>1680</v>
      </c>
    </row>
    <row r="862" spans="3:5" customFormat="1" ht="17.399999999999999">
      <c r="C862" t="s">
        <v>3406</v>
      </c>
      <c r="E862" t="s">
        <v>3407</v>
      </c>
    </row>
    <row r="863" spans="3:5" customFormat="1" ht="17.399999999999999">
      <c r="C863" t="s">
        <v>255</v>
      </c>
      <c r="E863" t="s">
        <v>3408</v>
      </c>
    </row>
    <row r="864" spans="3:5" customFormat="1" ht="17.399999999999999">
      <c r="C864" t="s">
        <v>3409</v>
      </c>
      <c r="E864" t="s">
        <v>3410</v>
      </c>
    </row>
    <row r="865" spans="3:5" customFormat="1" ht="17.399999999999999">
      <c r="C865" t="s">
        <v>2222</v>
      </c>
      <c r="E865" t="s">
        <v>3411</v>
      </c>
    </row>
    <row r="866" spans="3:5" customFormat="1" ht="17.399999999999999">
      <c r="C866" t="s">
        <v>3412</v>
      </c>
      <c r="E866" t="s">
        <v>3413</v>
      </c>
    </row>
    <row r="867" spans="3:5" customFormat="1" ht="17.399999999999999">
      <c r="C867" t="s">
        <v>2223</v>
      </c>
      <c r="E867" t="s">
        <v>2224</v>
      </c>
    </row>
    <row r="868" spans="3:5" customFormat="1" ht="17.399999999999999">
      <c r="C868" t="s">
        <v>3414</v>
      </c>
      <c r="E868" t="s">
        <v>2735</v>
      </c>
    </row>
    <row r="869" spans="3:5" customFormat="1" ht="17.399999999999999">
      <c r="C869" t="s">
        <v>3415</v>
      </c>
      <c r="E869" t="s">
        <v>3416</v>
      </c>
    </row>
    <row r="870" spans="3:5" customFormat="1" ht="17.399999999999999">
      <c r="C870" t="s">
        <v>3417</v>
      </c>
      <c r="E870" t="s">
        <v>3418</v>
      </c>
    </row>
    <row r="871" spans="3:5" customFormat="1" ht="17.399999999999999">
      <c r="C871" t="s">
        <v>4406</v>
      </c>
      <c r="D871" t="s">
        <v>4407</v>
      </c>
      <c r="E871" t="s">
        <v>4407</v>
      </c>
    </row>
    <row r="872" spans="3:5" customFormat="1" ht="17.399999999999999">
      <c r="C872" t="s">
        <v>2226</v>
      </c>
      <c r="E872" t="s">
        <v>965</v>
      </c>
    </row>
    <row r="873" spans="3:5" customFormat="1" ht="17.399999999999999">
      <c r="C873" t="s">
        <v>256</v>
      </c>
      <c r="D873" t="s">
        <v>3419</v>
      </c>
      <c r="E873" t="s">
        <v>258</v>
      </c>
    </row>
    <row r="874" spans="3:5" customFormat="1" ht="17.399999999999999">
      <c r="C874" t="s">
        <v>257</v>
      </c>
      <c r="E874" t="s">
        <v>1502</v>
      </c>
    </row>
    <row r="875" spans="3:5" customFormat="1" ht="17.399999999999999">
      <c r="C875" t="s">
        <v>259</v>
      </c>
      <c r="E875" t="s">
        <v>260</v>
      </c>
    </row>
    <row r="876" spans="3:5" customFormat="1" ht="17.399999999999999">
      <c r="C876" t="s">
        <v>261</v>
      </c>
      <c r="D876" t="s">
        <v>2227</v>
      </c>
      <c r="E876" t="s">
        <v>2347</v>
      </c>
    </row>
    <row r="877" spans="3:5" customFormat="1" ht="17.399999999999999">
      <c r="C877" t="s">
        <v>262</v>
      </c>
      <c r="E877" t="s">
        <v>2747</v>
      </c>
    </row>
    <row r="878" spans="3:5" customFormat="1" ht="17.399999999999999">
      <c r="C878" t="s">
        <v>264</v>
      </c>
      <c r="E878" t="s">
        <v>3420</v>
      </c>
    </row>
    <row r="879" spans="3:5" customFormat="1" ht="17.399999999999999">
      <c r="C879" t="s">
        <v>3421</v>
      </c>
      <c r="E879" t="s">
        <v>3422</v>
      </c>
    </row>
    <row r="880" spans="3:5" customFormat="1" ht="17.399999999999999">
      <c r="C880" t="s">
        <v>3423</v>
      </c>
      <c r="E880" t="s">
        <v>3424</v>
      </c>
    </row>
    <row r="881" spans="3:5" customFormat="1" ht="17.399999999999999">
      <c r="C881" t="s">
        <v>3425</v>
      </c>
      <c r="E881" t="s">
        <v>3426</v>
      </c>
    </row>
    <row r="882" spans="3:5" customFormat="1" ht="17.399999999999999">
      <c r="C882" t="s">
        <v>267</v>
      </c>
      <c r="E882" t="s">
        <v>2229</v>
      </c>
    </row>
    <row r="883" spans="3:5" customFormat="1" ht="17.399999999999999">
      <c r="C883" t="s">
        <v>268</v>
      </c>
      <c r="E883" t="s">
        <v>2344</v>
      </c>
    </row>
    <row r="884" spans="3:5" customFormat="1" ht="17.399999999999999">
      <c r="C884" t="s">
        <v>269</v>
      </c>
      <c r="E884" t="s">
        <v>1557</v>
      </c>
    </row>
    <row r="885" spans="3:5" customFormat="1" ht="17.399999999999999">
      <c r="C885" t="s">
        <v>270</v>
      </c>
      <c r="E885" t="s">
        <v>2230</v>
      </c>
    </row>
    <row r="886" spans="3:5" customFormat="1" ht="17.399999999999999">
      <c r="C886" t="s">
        <v>272</v>
      </c>
      <c r="E886" t="s">
        <v>2138</v>
      </c>
    </row>
    <row r="887" spans="3:5" customFormat="1" ht="17.399999999999999">
      <c r="C887" t="s">
        <v>3427</v>
      </c>
      <c r="E887" t="s">
        <v>3428</v>
      </c>
    </row>
    <row r="888" spans="3:5" customFormat="1" ht="17.399999999999999">
      <c r="C888" t="s">
        <v>3429</v>
      </c>
      <c r="E888" t="s">
        <v>715</v>
      </c>
    </row>
    <row r="889" spans="3:5" customFormat="1" ht="17.399999999999999">
      <c r="C889" t="s">
        <v>3430</v>
      </c>
      <c r="E889" t="s">
        <v>3431</v>
      </c>
    </row>
    <row r="890" spans="3:5" customFormat="1" ht="17.399999999999999">
      <c r="C890" t="s">
        <v>273</v>
      </c>
      <c r="E890" t="s">
        <v>274</v>
      </c>
    </row>
    <row r="891" spans="3:5" customFormat="1" ht="17.399999999999999">
      <c r="C891" t="s">
        <v>2231</v>
      </c>
      <c r="E891" t="s">
        <v>2232</v>
      </c>
    </row>
    <row r="892" spans="3:5" customFormat="1" ht="17.399999999999999">
      <c r="C892" t="s">
        <v>275</v>
      </c>
      <c r="E892" t="s">
        <v>2233</v>
      </c>
    </row>
    <row r="893" spans="3:5" customFormat="1" ht="17.399999999999999">
      <c r="C893" t="s">
        <v>3432</v>
      </c>
      <c r="E893" t="s">
        <v>502</v>
      </c>
    </row>
    <row r="894" spans="3:5" customFormat="1" ht="17.399999999999999">
      <c r="C894" t="s">
        <v>276</v>
      </c>
      <c r="E894" t="s">
        <v>1626</v>
      </c>
    </row>
    <row r="895" spans="3:5" customFormat="1" ht="17.399999999999999">
      <c r="C895" t="s">
        <v>2234</v>
      </c>
      <c r="E895" t="s">
        <v>277</v>
      </c>
    </row>
    <row r="896" spans="3:5" customFormat="1" ht="17.399999999999999">
      <c r="C896" t="s">
        <v>108</v>
      </c>
      <c r="E896" t="s">
        <v>3433</v>
      </c>
    </row>
    <row r="897" spans="3:5" customFormat="1" ht="17.399999999999999">
      <c r="C897" t="s">
        <v>3434</v>
      </c>
      <c r="E897" t="s">
        <v>3435</v>
      </c>
    </row>
    <row r="898" spans="3:5" customFormat="1" ht="17.399999999999999">
      <c r="C898" t="s">
        <v>109</v>
      </c>
      <c r="E898" t="s">
        <v>2788</v>
      </c>
    </row>
    <row r="899" spans="3:5" customFormat="1" ht="17.399999999999999">
      <c r="C899" t="s">
        <v>110</v>
      </c>
      <c r="E899" t="s">
        <v>3436</v>
      </c>
    </row>
    <row r="900" spans="3:5" customFormat="1" ht="17.399999999999999">
      <c r="C900" t="s">
        <v>3437</v>
      </c>
      <c r="E900" t="s">
        <v>2722</v>
      </c>
    </row>
    <row r="901" spans="3:5" customFormat="1" ht="17.399999999999999">
      <c r="C901" t="s">
        <v>3438</v>
      </c>
      <c r="E901" t="s">
        <v>2730</v>
      </c>
    </row>
    <row r="902" spans="3:5" customFormat="1" ht="17.399999999999999">
      <c r="C902" t="s">
        <v>112</v>
      </c>
      <c r="E902" t="s">
        <v>69</v>
      </c>
    </row>
    <row r="903" spans="3:5" customFormat="1" ht="17.399999999999999">
      <c r="C903" t="s">
        <v>113</v>
      </c>
      <c r="E903" t="s">
        <v>2723</v>
      </c>
    </row>
    <row r="904" spans="3:5" customFormat="1" ht="17.399999999999999">
      <c r="C904" t="s">
        <v>3439</v>
      </c>
      <c r="D904" t="s">
        <v>2539</v>
      </c>
      <c r="E904" t="s">
        <v>2645</v>
      </c>
    </row>
    <row r="905" spans="3:5" customFormat="1" ht="17.399999999999999">
      <c r="C905" t="s">
        <v>114</v>
      </c>
      <c r="E905" t="s">
        <v>1611</v>
      </c>
    </row>
    <row r="906" spans="3:5" customFormat="1" ht="17.399999999999999">
      <c r="C906" t="s">
        <v>3440</v>
      </c>
      <c r="E906" t="s">
        <v>3441</v>
      </c>
    </row>
    <row r="907" spans="3:5" customFormat="1" ht="17.399999999999999">
      <c r="C907" t="s">
        <v>115</v>
      </c>
      <c r="E907" t="s">
        <v>3442</v>
      </c>
    </row>
    <row r="908" spans="3:5" customFormat="1" ht="17.399999999999999">
      <c r="C908" t="s">
        <v>116</v>
      </c>
      <c r="D908" t="s">
        <v>3444</v>
      </c>
      <c r="E908" t="s">
        <v>3443</v>
      </c>
    </row>
    <row r="909" spans="3:5" customFormat="1" ht="17.399999999999999">
      <c r="C909" t="s">
        <v>117</v>
      </c>
      <c r="E909" t="s">
        <v>1133</v>
      </c>
    </row>
    <row r="910" spans="3:5" customFormat="1" ht="17.399999999999999">
      <c r="C910" t="s">
        <v>2236</v>
      </c>
      <c r="E910" t="s">
        <v>2763</v>
      </c>
    </row>
    <row r="911" spans="3:5" customFormat="1" ht="17.399999999999999">
      <c r="C911" t="s">
        <v>119</v>
      </c>
      <c r="E911" t="s">
        <v>2297</v>
      </c>
    </row>
    <row r="912" spans="3:5" customFormat="1" ht="17.399999999999999">
      <c r="C912" t="s">
        <v>2237</v>
      </c>
      <c r="E912" t="s">
        <v>1917</v>
      </c>
    </row>
    <row r="913" spans="3:5" customFormat="1" ht="17.399999999999999">
      <c r="C913" t="s">
        <v>122</v>
      </c>
      <c r="E913" t="s">
        <v>1998</v>
      </c>
    </row>
    <row r="914" spans="3:5" customFormat="1" ht="17.399999999999999">
      <c r="C914" t="s">
        <v>124</v>
      </c>
      <c r="D914" t="s">
        <v>2238</v>
      </c>
      <c r="E914" t="s">
        <v>125</v>
      </c>
    </row>
    <row r="915" spans="3:5" customFormat="1" ht="17.399999999999999">
      <c r="C915" t="s">
        <v>127</v>
      </c>
      <c r="D915" t="s">
        <v>2604</v>
      </c>
      <c r="E915" t="s">
        <v>224</v>
      </c>
    </row>
    <row r="916" spans="3:5" customFormat="1" ht="17.399999999999999">
      <c r="C916" t="s">
        <v>215</v>
      </c>
      <c r="D916" t="s">
        <v>3445</v>
      </c>
      <c r="E916" t="s">
        <v>2146</v>
      </c>
    </row>
    <row r="917" spans="3:5" customFormat="1" ht="17.399999999999999">
      <c r="C917" t="s">
        <v>216</v>
      </c>
      <c r="E917" t="s">
        <v>217</v>
      </c>
    </row>
    <row r="918" spans="3:5" customFormat="1" ht="17.399999999999999">
      <c r="C918" t="s">
        <v>218</v>
      </c>
      <c r="E918" t="s">
        <v>2753</v>
      </c>
    </row>
    <row r="919" spans="3:5" customFormat="1" ht="17.399999999999999">
      <c r="C919" t="s">
        <v>219</v>
      </c>
      <c r="E919" t="s">
        <v>2210</v>
      </c>
    </row>
    <row r="920" spans="3:5" customFormat="1" ht="17.399999999999999">
      <c r="C920" t="s">
        <v>220</v>
      </c>
      <c r="E920" t="s">
        <v>3446</v>
      </c>
    </row>
    <row r="921" spans="3:5" customFormat="1" ht="17.399999999999999">
      <c r="C921" t="s">
        <v>2240</v>
      </c>
      <c r="E921" t="s">
        <v>1716</v>
      </c>
    </row>
    <row r="922" spans="3:5" customFormat="1" ht="17.399999999999999">
      <c r="C922" t="s">
        <v>2241</v>
      </c>
      <c r="E922" t="s">
        <v>2242</v>
      </c>
    </row>
    <row r="923" spans="3:5" customFormat="1" ht="17.399999999999999">
      <c r="C923" t="s">
        <v>3447</v>
      </c>
      <c r="E923" t="s">
        <v>3448</v>
      </c>
    </row>
    <row r="924" spans="3:5" customFormat="1" ht="17.399999999999999">
      <c r="C924" t="s">
        <v>2245</v>
      </c>
      <c r="E924" t="s">
        <v>2244</v>
      </c>
    </row>
    <row r="925" spans="3:5" customFormat="1" ht="17.399999999999999">
      <c r="C925" t="s">
        <v>2246</v>
      </c>
      <c r="E925" t="s">
        <v>2193</v>
      </c>
    </row>
    <row r="926" spans="3:5" customFormat="1" ht="17.399999999999999">
      <c r="C926" t="s">
        <v>340</v>
      </c>
      <c r="E926" t="s">
        <v>341</v>
      </c>
    </row>
    <row r="927" spans="3:5" customFormat="1" ht="17.399999999999999">
      <c r="C927" t="s">
        <v>2247</v>
      </c>
      <c r="E927" t="s">
        <v>2248</v>
      </c>
    </row>
    <row r="928" spans="3:5" customFormat="1" ht="17.399999999999999">
      <c r="C928" t="s">
        <v>342</v>
      </c>
      <c r="E928" t="s">
        <v>2249</v>
      </c>
    </row>
    <row r="929" spans="3:5" customFormat="1" ht="17.399999999999999">
      <c r="C929" t="s">
        <v>2251</v>
      </c>
      <c r="E929" t="s">
        <v>2252</v>
      </c>
    </row>
    <row r="930" spans="3:5" customFormat="1" ht="17.399999999999999">
      <c r="C930" t="s">
        <v>343</v>
      </c>
      <c r="E930" t="s">
        <v>73</v>
      </c>
    </row>
    <row r="931" spans="3:5" customFormat="1" ht="17.399999999999999">
      <c r="C931" t="s">
        <v>344</v>
      </c>
      <c r="E931" t="s">
        <v>345</v>
      </c>
    </row>
    <row r="932" spans="3:5" customFormat="1" ht="17.399999999999999">
      <c r="C932" t="s">
        <v>2253</v>
      </c>
      <c r="E932" t="s">
        <v>3449</v>
      </c>
    </row>
    <row r="933" spans="3:5" customFormat="1" ht="17.399999999999999">
      <c r="C933" t="s">
        <v>347</v>
      </c>
      <c r="E933" t="s">
        <v>3450</v>
      </c>
    </row>
    <row r="934" spans="3:5" customFormat="1" ht="17.399999999999999">
      <c r="C934" t="s">
        <v>3451</v>
      </c>
      <c r="E934" t="s">
        <v>1357</v>
      </c>
    </row>
    <row r="935" spans="3:5" customFormat="1" ht="17.399999999999999">
      <c r="C935" t="s">
        <v>348</v>
      </c>
      <c r="E935" t="s">
        <v>349</v>
      </c>
    </row>
    <row r="936" spans="3:5" customFormat="1" ht="17.399999999999999">
      <c r="C936" t="s">
        <v>3452</v>
      </c>
      <c r="D936" t="s">
        <v>3453</v>
      </c>
      <c r="E936" t="s">
        <v>524</v>
      </c>
    </row>
    <row r="937" spans="3:5" customFormat="1" ht="17.399999999999999">
      <c r="C937" t="s">
        <v>351</v>
      </c>
      <c r="E937" t="s">
        <v>1080</v>
      </c>
    </row>
    <row r="938" spans="3:5" customFormat="1" ht="17.399999999999999">
      <c r="C938" t="s">
        <v>3454</v>
      </c>
      <c r="E938" t="s">
        <v>3455</v>
      </c>
    </row>
    <row r="939" spans="3:5" customFormat="1" ht="17.399999999999999">
      <c r="C939" t="s">
        <v>352</v>
      </c>
      <c r="E939" t="s">
        <v>126</v>
      </c>
    </row>
    <row r="940" spans="3:5" customFormat="1" ht="17.399999999999999">
      <c r="C940" t="s">
        <v>353</v>
      </c>
      <c r="E940" t="s">
        <v>354</v>
      </c>
    </row>
    <row r="941" spans="3:5" customFormat="1" ht="17.399999999999999">
      <c r="C941" t="s">
        <v>355</v>
      </c>
      <c r="E941" t="s">
        <v>1629</v>
      </c>
    </row>
    <row r="942" spans="3:5" customFormat="1" ht="17.399999999999999">
      <c r="C942" t="s">
        <v>356</v>
      </c>
      <c r="E942" t="s">
        <v>3456</v>
      </c>
    </row>
    <row r="943" spans="3:5" customFormat="1" ht="17.399999999999999">
      <c r="C943" t="s">
        <v>357</v>
      </c>
      <c r="E943" t="s">
        <v>3457</v>
      </c>
    </row>
    <row r="944" spans="3:5" customFormat="1" ht="17.399999999999999">
      <c r="C944" t="s">
        <v>3458</v>
      </c>
      <c r="E944" t="s">
        <v>3459</v>
      </c>
    </row>
    <row r="945" spans="3:5" customFormat="1" ht="17.399999999999999">
      <c r="C945" t="s">
        <v>2254</v>
      </c>
      <c r="E945" t="s">
        <v>3460</v>
      </c>
    </row>
    <row r="946" spans="3:5" customFormat="1" ht="17.399999999999999">
      <c r="C946" t="s">
        <v>358</v>
      </c>
      <c r="E946" t="s">
        <v>359</v>
      </c>
    </row>
    <row r="947" spans="3:5" customFormat="1" ht="17.399999999999999">
      <c r="C947" t="s">
        <v>362</v>
      </c>
      <c r="D947" t="s">
        <v>2257</v>
      </c>
      <c r="E947" t="s">
        <v>1827</v>
      </c>
    </row>
    <row r="948" spans="3:5" customFormat="1" ht="17.399999999999999">
      <c r="C948" t="s">
        <v>363</v>
      </c>
      <c r="E948" t="s">
        <v>364</v>
      </c>
    </row>
    <row r="949" spans="3:5" customFormat="1" ht="17.399999999999999">
      <c r="C949" t="s">
        <v>366</v>
      </c>
      <c r="E949" t="s">
        <v>3461</v>
      </c>
    </row>
    <row r="950" spans="3:5" customFormat="1" ht="17.399999999999999">
      <c r="C950" t="s">
        <v>3462</v>
      </c>
      <c r="E950" t="s">
        <v>3463</v>
      </c>
    </row>
    <row r="951" spans="3:5" customFormat="1" ht="17.399999999999999">
      <c r="C951" t="s">
        <v>2259</v>
      </c>
      <c r="E951" t="s">
        <v>2807</v>
      </c>
    </row>
    <row r="952" spans="3:5" customFormat="1" ht="17.399999999999999">
      <c r="C952" t="s">
        <v>3464</v>
      </c>
      <c r="E952" t="s">
        <v>3465</v>
      </c>
    </row>
    <row r="953" spans="3:5" customFormat="1" ht="17.399999999999999">
      <c r="C953" t="s">
        <v>3466</v>
      </c>
      <c r="E953" t="s">
        <v>3467</v>
      </c>
    </row>
    <row r="954" spans="3:5" customFormat="1" ht="17.399999999999999">
      <c r="C954" t="s">
        <v>3468</v>
      </c>
      <c r="E954" t="s">
        <v>3469</v>
      </c>
    </row>
    <row r="955" spans="3:5" customFormat="1" ht="17.399999999999999">
      <c r="C955" t="s">
        <v>802</v>
      </c>
      <c r="E955" t="s">
        <v>1194</v>
      </c>
    </row>
    <row r="956" spans="3:5" customFormat="1" ht="17.399999999999999">
      <c r="C956" t="s">
        <v>803</v>
      </c>
      <c r="E956" t="s">
        <v>804</v>
      </c>
    </row>
    <row r="957" spans="3:5" customFormat="1" ht="17.399999999999999">
      <c r="C957" t="s">
        <v>2261</v>
      </c>
      <c r="D957" t="s">
        <v>4409</v>
      </c>
      <c r="E957" t="s">
        <v>4408</v>
      </c>
    </row>
    <row r="958" spans="3:5" customFormat="1" ht="17.399999999999999">
      <c r="C958" t="s">
        <v>805</v>
      </c>
      <c r="E958" t="s">
        <v>3470</v>
      </c>
    </row>
    <row r="959" spans="3:5" customFormat="1" ht="17.399999999999999">
      <c r="C959" t="s">
        <v>3471</v>
      </c>
      <c r="E959" t="s">
        <v>426</v>
      </c>
    </row>
    <row r="960" spans="3:5" customFormat="1" ht="17.399999999999999">
      <c r="C960" t="s">
        <v>3472</v>
      </c>
      <c r="E960" t="s">
        <v>3473</v>
      </c>
    </row>
    <row r="961" spans="3:5" customFormat="1" ht="17.399999999999999">
      <c r="C961" t="s">
        <v>427</v>
      </c>
      <c r="E961" t="s">
        <v>2262</v>
      </c>
    </row>
    <row r="962" spans="3:5" customFormat="1" ht="17.399999999999999">
      <c r="C962" t="s">
        <v>2263</v>
      </c>
      <c r="E962" t="s">
        <v>2264</v>
      </c>
    </row>
    <row r="963" spans="3:5" customFormat="1" ht="17.399999999999999">
      <c r="C963" t="s">
        <v>429</v>
      </c>
      <c r="D963" t="s">
        <v>3475</v>
      </c>
      <c r="E963" t="s">
        <v>3474</v>
      </c>
    </row>
    <row r="964" spans="3:5" customFormat="1" ht="17.399999999999999">
      <c r="C964" t="s">
        <v>429</v>
      </c>
      <c r="D964" t="s">
        <v>3475</v>
      </c>
      <c r="E964" t="s">
        <v>2265</v>
      </c>
    </row>
    <row r="965" spans="3:5" customFormat="1" ht="17.399999999999999">
      <c r="C965" t="s">
        <v>3476</v>
      </c>
      <c r="E965" t="s">
        <v>3477</v>
      </c>
    </row>
    <row r="966" spans="3:5" customFormat="1" ht="17.399999999999999">
      <c r="C966" t="s">
        <v>431</v>
      </c>
      <c r="E966" t="s">
        <v>432</v>
      </c>
    </row>
    <row r="967" spans="3:5" customFormat="1" ht="17.399999999999999">
      <c r="C967" t="s">
        <v>433</v>
      </c>
      <c r="D967" t="s">
        <v>435</v>
      </c>
      <c r="E967" t="s">
        <v>434</v>
      </c>
    </row>
    <row r="968" spans="3:5" customFormat="1" ht="17.399999999999999">
      <c r="C968" t="s">
        <v>436</v>
      </c>
      <c r="D968" t="s">
        <v>3478</v>
      </c>
      <c r="E968" t="s">
        <v>1222</v>
      </c>
    </row>
    <row r="969" spans="3:5" customFormat="1" ht="17.399999999999999">
      <c r="C969" t="s">
        <v>437</v>
      </c>
      <c r="E969" t="s">
        <v>3479</v>
      </c>
    </row>
    <row r="970" spans="3:5" customFormat="1" ht="17.399999999999999">
      <c r="C970" t="s">
        <v>438</v>
      </c>
      <c r="E970" t="s">
        <v>3480</v>
      </c>
    </row>
    <row r="971" spans="3:5" customFormat="1" ht="17.399999999999999">
      <c r="C971" t="s">
        <v>2266</v>
      </c>
      <c r="E971" t="s">
        <v>3481</v>
      </c>
    </row>
    <row r="972" spans="3:5" customFormat="1" ht="17.399999999999999">
      <c r="C972" t="s">
        <v>439</v>
      </c>
      <c r="D972" t="s">
        <v>3483</v>
      </c>
      <c r="E972" t="s">
        <v>3482</v>
      </c>
    </row>
    <row r="973" spans="3:5" customFormat="1" ht="17.399999999999999">
      <c r="C973" t="s">
        <v>2267</v>
      </c>
      <c r="E973" t="s">
        <v>3484</v>
      </c>
    </row>
    <row r="974" spans="3:5" customFormat="1" ht="17.399999999999999">
      <c r="C974" t="s">
        <v>440</v>
      </c>
      <c r="D974" t="s">
        <v>442</v>
      </c>
      <c r="E974" t="s">
        <v>441</v>
      </c>
    </row>
    <row r="975" spans="3:5" customFormat="1" ht="17.399999999999999">
      <c r="C975" t="s">
        <v>444</v>
      </c>
      <c r="D975" t="s">
        <v>445</v>
      </c>
      <c r="E975" t="s">
        <v>3485</v>
      </c>
    </row>
    <row r="976" spans="3:5" customFormat="1" ht="17.399999999999999">
      <c r="C976" t="s">
        <v>444</v>
      </c>
      <c r="D976" t="s">
        <v>445</v>
      </c>
      <c r="E976" t="s">
        <v>3486</v>
      </c>
    </row>
    <row r="977" spans="3:5" customFormat="1" ht="17.399999999999999">
      <c r="C977" t="s">
        <v>446</v>
      </c>
      <c r="D977" t="s">
        <v>3487</v>
      </c>
      <c r="E977" t="s">
        <v>1916</v>
      </c>
    </row>
    <row r="978" spans="3:5" customFormat="1" ht="17.399999999999999">
      <c r="C978" t="s">
        <v>447</v>
      </c>
      <c r="E978" t="s">
        <v>1079</v>
      </c>
    </row>
    <row r="979" spans="3:5" customFormat="1" ht="17.399999999999999">
      <c r="C979" t="s">
        <v>448</v>
      </c>
      <c r="D979" t="s">
        <v>449</v>
      </c>
      <c r="E979" t="s">
        <v>1040</v>
      </c>
    </row>
    <row r="980" spans="3:5" customFormat="1" ht="17.399999999999999">
      <c r="C980" t="s">
        <v>2269</v>
      </c>
      <c r="E980" t="s">
        <v>3488</v>
      </c>
    </row>
    <row r="981" spans="3:5" customFormat="1" ht="17.399999999999999">
      <c r="C981" t="s">
        <v>22</v>
      </c>
      <c r="D981" t="s">
        <v>451</v>
      </c>
      <c r="E981" t="s">
        <v>2758</v>
      </c>
    </row>
    <row r="982" spans="3:5" customFormat="1" ht="17.399999999999999">
      <c r="C982" t="s">
        <v>22</v>
      </c>
      <c r="D982" t="s">
        <v>451</v>
      </c>
      <c r="E982" t="s">
        <v>450</v>
      </c>
    </row>
    <row r="983" spans="3:5" customFormat="1" ht="17.399999999999999">
      <c r="C983" t="s">
        <v>452</v>
      </c>
      <c r="E983" t="s">
        <v>453</v>
      </c>
    </row>
    <row r="984" spans="3:5" customFormat="1" ht="17.399999999999999">
      <c r="C984" t="s">
        <v>454</v>
      </c>
      <c r="E984" t="s">
        <v>2271</v>
      </c>
    </row>
    <row r="985" spans="3:5" customFormat="1" ht="17.399999999999999">
      <c r="C985" t="s">
        <v>456</v>
      </c>
      <c r="D985" t="s">
        <v>4410</v>
      </c>
      <c r="E985" t="s">
        <v>3489</v>
      </c>
    </row>
    <row r="986" spans="3:5" customFormat="1" ht="17.399999999999999">
      <c r="C986" t="s">
        <v>457</v>
      </c>
      <c r="E986" t="s">
        <v>1868</v>
      </c>
    </row>
    <row r="987" spans="3:5" customFormat="1" ht="17.399999999999999">
      <c r="C987" t="s">
        <v>882</v>
      </c>
      <c r="E987" t="s">
        <v>2272</v>
      </c>
    </row>
    <row r="988" spans="3:5" customFormat="1" ht="17.399999999999999">
      <c r="C988" t="s">
        <v>883</v>
      </c>
      <c r="E988" t="s">
        <v>2376</v>
      </c>
    </row>
    <row r="989" spans="3:5" customFormat="1" ht="17.399999999999999">
      <c r="C989" t="s">
        <v>885</v>
      </c>
      <c r="E989" t="s">
        <v>1068</v>
      </c>
    </row>
    <row r="990" spans="3:5" customFormat="1" ht="17.399999999999999">
      <c r="C990" t="s">
        <v>3490</v>
      </c>
      <c r="E990" t="s">
        <v>3491</v>
      </c>
    </row>
    <row r="991" spans="3:5" customFormat="1" ht="17.399999999999999">
      <c r="C991" t="s">
        <v>887</v>
      </c>
      <c r="D991" t="s">
        <v>2760</v>
      </c>
      <c r="E991" t="s">
        <v>4411</v>
      </c>
    </row>
    <row r="992" spans="3:5" customFormat="1" ht="17.399999999999999">
      <c r="C992" t="s">
        <v>2273</v>
      </c>
      <c r="E992" t="s">
        <v>3492</v>
      </c>
    </row>
    <row r="993" spans="3:5" customFormat="1" ht="17.399999999999999">
      <c r="C993" t="s">
        <v>888</v>
      </c>
      <c r="D993" t="s">
        <v>890</v>
      </c>
      <c r="E993" t="s">
        <v>889</v>
      </c>
    </row>
    <row r="994" spans="3:5" customFormat="1" ht="17.399999999999999">
      <c r="C994" t="s">
        <v>2274</v>
      </c>
      <c r="D994" t="s">
        <v>3494</v>
      </c>
      <c r="E994" t="s">
        <v>3493</v>
      </c>
    </row>
    <row r="995" spans="3:5" customFormat="1" ht="17.399999999999999">
      <c r="C995" t="s">
        <v>2275</v>
      </c>
      <c r="E995" t="s">
        <v>3495</v>
      </c>
    </row>
    <row r="996" spans="3:5" customFormat="1" ht="17.399999999999999">
      <c r="C996" t="s">
        <v>891</v>
      </c>
      <c r="E996" t="s">
        <v>2276</v>
      </c>
    </row>
    <row r="997" spans="3:5" customFormat="1" ht="17.399999999999999">
      <c r="C997" t="s">
        <v>2278</v>
      </c>
      <c r="E997" t="s">
        <v>430</v>
      </c>
    </row>
    <row r="998" spans="3:5" customFormat="1" ht="17.399999999999999">
      <c r="C998" t="s">
        <v>3496</v>
      </c>
      <c r="E998" t="s">
        <v>3497</v>
      </c>
    </row>
    <row r="999" spans="3:5" customFormat="1" ht="17.399999999999999">
      <c r="C999" t="s">
        <v>893</v>
      </c>
      <c r="E999" t="s">
        <v>1215</v>
      </c>
    </row>
    <row r="1000" spans="3:5" customFormat="1" ht="17.399999999999999">
      <c r="C1000" t="s">
        <v>894</v>
      </c>
      <c r="E1000" t="s">
        <v>905</v>
      </c>
    </row>
    <row r="1001" spans="3:5" customFormat="1" ht="17.399999999999999">
      <c r="C1001" t="s">
        <v>3498</v>
      </c>
      <c r="E1001" t="s">
        <v>3499</v>
      </c>
    </row>
    <row r="1002" spans="3:5" customFormat="1" ht="17.399999999999999">
      <c r="C1002" t="s">
        <v>3500</v>
      </c>
      <c r="E1002" t="s">
        <v>3501</v>
      </c>
    </row>
    <row r="1003" spans="3:5" customFormat="1" ht="17.399999999999999">
      <c r="C1003" t="s">
        <v>3502</v>
      </c>
      <c r="E1003" t="s">
        <v>3503</v>
      </c>
    </row>
    <row r="1004" spans="3:5" customFormat="1" ht="17.399999999999999">
      <c r="C1004" t="s">
        <v>3504</v>
      </c>
      <c r="E1004" t="s">
        <v>3505</v>
      </c>
    </row>
    <row r="1005" spans="3:5" customFormat="1" ht="17.399999999999999">
      <c r="C1005" t="s">
        <v>2282</v>
      </c>
      <c r="E1005" t="s">
        <v>3506</v>
      </c>
    </row>
    <row r="1006" spans="3:5" customFormat="1" ht="17.399999999999999">
      <c r="C1006" t="s">
        <v>898</v>
      </c>
      <c r="E1006" t="s">
        <v>2621</v>
      </c>
    </row>
    <row r="1007" spans="3:5" customFormat="1" ht="17.399999999999999">
      <c r="C1007" t="s">
        <v>899</v>
      </c>
      <c r="E1007" t="s">
        <v>1289</v>
      </c>
    </row>
    <row r="1008" spans="3:5" customFormat="1" ht="17.399999999999999">
      <c r="C1008" t="s">
        <v>899</v>
      </c>
      <c r="D1008" t="s">
        <v>284</v>
      </c>
      <c r="E1008" t="s">
        <v>2100</v>
      </c>
    </row>
    <row r="1009" spans="3:5" customFormat="1" ht="17.399999999999999">
      <c r="C1009" t="s">
        <v>2284</v>
      </c>
      <c r="E1009" t="s">
        <v>1758</v>
      </c>
    </row>
    <row r="1010" spans="3:5" customFormat="1" ht="17.399999999999999">
      <c r="C1010" t="s">
        <v>900</v>
      </c>
      <c r="E1010" t="s">
        <v>3507</v>
      </c>
    </row>
    <row r="1011" spans="3:5" customFormat="1" ht="17.399999999999999">
      <c r="C1011" t="s">
        <v>901</v>
      </c>
      <c r="D1011" t="s">
        <v>4412</v>
      </c>
      <c r="E1011" t="s">
        <v>3508</v>
      </c>
    </row>
    <row r="1012" spans="3:5" customFormat="1" ht="17.399999999999999">
      <c r="C1012" t="s">
        <v>902</v>
      </c>
      <c r="E1012" t="s">
        <v>3509</v>
      </c>
    </row>
    <row r="1013" spans="3:5" customFormat="1" ht="17.399999999999999">
      <c r="C1013" t="s">
        <v>16</v>
      </c>
      <c r="D1013" t="s">
        <v>917</v>
      </c>
      <c r="E1013" t="s">
        <v>903</v>
      </c>
    </row>
    <row r="1014" spans="3:5" customFormat="1" ht="17.399999999999999">
      <c r="C1014" t="s">
        <v>904</v>
      </c>
      <c r="D1014" t="s">
        <v>3511</v>
      </c>
      <c r="E1014" t="s">
        <v>3510</v>
      </c>
    </row>
    <row r="1015" spans="3:5" customFormat="1" ht="17.399999999999999">
      <c r="C1015" t="s">
        <v>906</v>
      </c>
      <c r="E1015" t="s">
        <v>2285</v>
      </c>
    </row>
    <row r="1016" spans="3:5" customFormat="1" ht="17.399999999999999">
      <c r="C1016" t="s">
        <v>908</v>
      </c>
      <c r="E1016" t="s">
        <v>705</v>
      </c>
    </row>
    <row r="1017" spans="3:5" customFormat="1" ht="17.399999999999999">
      <c r="C1017" t="s">
        <v>908</v>
      </c>
      <c r="D1017" t="s">
        <v>3513</v>
      </c>
      <c r="E1017" t="s">
        <v>3512</v>
      </c>
    </row>
    <row r="1018" spans="3:5" customFormat="1" ht="17.399999999999999">
      <c r="C1018" t="s">
        <v>909</v>
      </c>
      <c r="E1018" t="s">
        <v>1858</v>
      </c>
    </row>
    <row r="1019" spans="3:5" customFormat="1" ht="17.399999999999999">
      <c r="C1019" t="s">
        <v>3514</v>
      </c>
      <c r="E1019" t="s">
        <v>3515</v>
      </c>
    </row>
    <row r="1020" spans="3:5" customFormat="1" ht="17.399999999999999">
      <c r="C1020" t="s">
        <v>59</v>
      </c>
      <c r="E1020" t="s">
        <v>2761</v>
      </c>
    </row>
    <row r="1021" spans="3:5" customFormat="1" ht="17.399999999999999">
      <c r="C1021" t="s">
        <v>910</v>
      </c>
      <c r="D1021" t="s">
        <v>579</v>
      </c>
      <c r="E1021" t="s">
        <v>911</v>
      </c>
    </row>
    <row r="1022" spans="3:5" customFormat="1" ht="17.399999999999999">
      <c r="C1022" t="s">
        <v>1105</v>
      </c>
      <c r="E1022" t="s">
        <v>2291</v>
      </c>
    </row>
    <row r="1023" spans="3:5" customFormat="1" ht="17.399999999999999">
      <c r="C1023" t="s">
        <v>1106</v>
      </c>
      <c r="E1023" t="s">
        <v>3516</v>
      </c>
    </row>
    <row r="1024" spans="3:5" customFormat="1" ht="17.399999999999999">
      <c r="C1024" t="s">
        <v>1107</v>
      </c>
      <c r="E1024" t="s">
        <v>1108</v>
      </c>
    </row>
    <row r="1025" spans="3:5" customFormat="1" ht="17.399999999999999">
      <c r="C1025" t="s">
        <v>1109</v>
      </c>
      <c r="D1025" t="s">
        <v>3518</v>
      </c>
      <c r="E1025" t="s">
        <v>3517</v>
      </c>
    </row>
    <row r="1026" spans="3:5" customFormat="1" ht="17.399999999999999">
      <c r="C1026" t="s">
        <v>1110</v>
      </c>
      <c r="D1026" t="s">
        <v>2016</v>
      </c>
      <c r="E1026" t="s">
        <v>3519</v>
      </c>
    </row>
    <row r="1027" spans="3:5" customFormat="1" ht="17.399999999999999">
      <c r="C1027" t="s">
        <v>3520</v>
      </c>
      <c r="E1027" t="s">
        <v>1876</v>
      </c>
    </row>
    <row r="1028" spans="3:5" customFormat="1" ht="17.399999999999999">
      <c r="C1028" t="s">
        <v>3521</v>
      </c>
      <c r="E1028" t="s">
        <v>2393</v>
      </c>
    </row>
    <row r="1029" spans="3:5" customFormat="1" ht="17.399999999999999">
      <c r="C1029" t="s">
        <v>1112</v>
      </c>
      <c r="E1029" t="s">
        <v>3522</v>
      </c>
    </row>
    <row r="1030" spans="3:5" customFormat="1" ht="17.399999999999999">
      <c r="C1030" t="s">
        <v>1113</v>
      </c>
      <c r="D1030" t="s">
        <v>3524</v>
      </c>
      <c r="E1030" t="s">
        <v>3523</v>
      </c>
    </row>
    <row r="1031" spans="3:5" customFormat="1" ht="17.399999999999999">
      <c r="C1031" t="s">
        <v>1114</v>
      </c>
      <c r="D1031" t="s">
        <v>1115</v>
      </c>
      <c r="E1031" t="s">
        <v>2813</v>
      </c>
    </row>
    <row r="1032" spans="3:5" customFormat="1" ht="17.399999999999999">
      <c r="C1032" t="s">
        <v>1114</v>
      </c>
      <c r="D1032" t="s">
        <v>1115</v>
      </c>
      <c r="E1032" t="s">
        <v>75</v>
      </c>
    </row>
    <row r="1033" spans="3:5" customFormat="1" ht="17.399999999999999">
      <c r="C1033" t="s">
        <v>2292</v>
      </c>
      <c r="E1033" t="s">
        <v>2293</v>
      </c>
    </row>
    <row r="1034" spans="3:5" customFormat="1" ht="17.399999999999999">
      <c r="C1034" t="s">
        <v>1117</v>
      </c>
      <c r="E1034" t="s">
        <v>2279</v>
      </c>
    </row>
    <row r="1035" spans="3:5" customFormat="1" ht="17.399999999999999">
      <c r="C1035" t="s">
        <v>4413</v>
      </c>
      <c r="E1035" t="s">
        <v>4414</v>
      </c>
    </row>
    <row r="1036" spans="3:5" customFormat="1" ht="17.399999999999999">
      <c r="C1036" t="s">
        <v>1119</v>
      </c>
      <c r="E1036" t="s">
        <v>339</v>
      </c>
    </row>
    <row r="1037" spans="3:5" customFormat="1" ht="17.399999999999999">
      <c r="C1037" t="s">
        <v>2295</v>
      </c>
      <c r="E1037" t="s">
        <v>3525</v>
      </c>
    </row>
    <row r="1038" spans="3:5" customFormat="1" ht="17.399999999999999">
      <c r="C1038" t="s">
        <v>1120</v>
      </c>
      <c r="E1038" t="s">
        <v>2296</v>
      </c>
    </row>
    <row r="1039" spans="3:5" customFormat="1" ht="17.399999999999999">
      <c r="C1039" t="s">
        <v>3526</v>
      </c>
      <c r="E1039" t="s">
        <v>3527</v>
      </c>
    </row>
    <row r="1040" spans="3:5" customFormat="1" ht="17.399999999999999">
      <c r="C1040" t="s">
        <v>1121</v>
      </c>
      <c r="D1040" t="s">
        <v>2235</v>
      </c>
      <c r="E1040" t="s">
        <v>1122</v>
      </c>
    </row>
    <row r="1041" spans="3:5" customFormat="1" ht="17.399999999999999">
      <c r="C1041" t="s">
        <v>1123</v>
      </c>
      <c r="D1041" t="s">
        <v>4416</v>
      </c>
      <c r="E1041" t="s">
        <v>4415</v>
      </c>
    </row>
    <row r="1042" spans="3:5" customFormat="1" ht="17.399999999999999">
      <c r="C1042" t="s">
        <v>4417</v>
      </c>
      <c r="D1042" t="s">
        <v>4419</v>
      </c>
      <c r="E1042" t="s">
        <v>4418</v>
      </c>
    </row>
    <row r="1043" spans="3:5" customFormat="1" ht="17.399999999999999">
      <c r="C1043" t="s">
        <v>2302</v>
      </c>
      <c r="E1043" t="s">
        <v>143</v>
      </c>
    </row>
    <row r="1044" spans="3:5" customFormat="1" ht="17.399999999999999">
      <c r="C1044" t="s">
        <v>1125</v>
      </c>
      <c r="E1044" t="s">
        <v>65</v>
      </c>
    </row>
    <row r="1045" spans="3:5" customFormat="1" ht="17.399999999999999">
      <c r="C1045" t="s">
        <v>2304</v>
      </c>
      <c r="E1045" t="s">
        <v>2740</v>
      </c>
    </row>
    <row r="1046" spans="3:5" customFormat="1" ht="17.399999999999999">
      <c r="C1046" t="s">
        <v>847</v>
      </c>
      <c r="D1046" t="s">
        <v>2286</v>
      </c>
      <c r="E1046" t="s">
        <v>4420</v>
      </c>
    </row>
    <row r="1047" spans="3:5" customFormat="1" ht="17.399999999999999">
      <c r="C1047" t="s">
        <v>849</v>
      </c>
      <c r="D1047" t="s">
        <v>693</v>
      </c>
      <c r="E1047" t="s">
        <v>2307</v>
      </c>
    </row>
    <row r="1048" spans="3:5" customFormat="1" ht="17.399999999999999">
      <c r="C1048" t="s">
        <v>3528</v>
      </c>
      <c r="E1048" t="s">
        <v>3529</v>
      </c>
    </row>
    <row r="1049" spans="3:5" customFormat="1" ht="17.399999999999999">
      <c r="C1049" t="s">
        <v>2308</v>
      </c>
      <c r="E1049" t="s">
        <v>3530</v>
      </c>
    </row>
    <row r="1050" spans="3:5" customFormat="1" ht="17.399999999999999">
      <c r="C1050" t="s">
        <v>851</v>
      </c>
      <c r="D1050" t="s">
        <v>850</v>
      </c>
      <c r="E1050" t="s">
        <v>3531</v>
      </c>
    </row>
    <row r="1051" spans="3:5" customFormat="1" ht="17.399999999999999">
      <c r="C1051" t="s">
        <v>851</v>
      </c>
      <c r="D1051" t="s">
        <v>850</v>
      </c>
      <c r="E1051" t="s">
        <v>3532</v>
      </c>
    </row>
    <row r="1052" spans="3:5" customFormat="1" ht="17.399999999999999">
      <c r="C1052" t="s">
        <v>3533</v>
      </c>
      <c r="E1052" t="s">
        <v>3534</v>
      </c>
    </row>
    <row r="1053" spans="3:5" customFormat="1" ht="17.399999999999999">
      <c r="C1053" t="s">
        <v>853</v>
      </c>
      <c r="D1053" t="s">
        <v>1494</v>
      </c>
      <c r="E1053" t="s">
        <v>3535</v>
      </c>
    </row>
    <row r="1054" spans="3:5" customFormat="1" ht="17.399999999999999">
      <c r="C1054" t="s">
        <v>854</v>
      </c>
      <c r="E1054" t="s">
        <v>855</v>
      </c>
    </row>
    <row r="1055" spans="3:5" customFormat="1" ht="17.399999999999999">
      <c r="C1055" t="s">
        <v>856</v>
      </c>
      <c r="D1055" t="s">
        <v>2186</v>
      </c>
      <c r="E1055" t="s">
        <v>857</v>
      </c>
    </row>
    <row r="1056" spans="3:5" customFormat="1" ht="17.399999999999999">
      <c r="C1056" t="s">
        <v>858</v>
      </c>
      <c r="D1056" t="s">
        <v>3537</v>
      </c>
      <c r="E1056" t="s">
        <v>3536</v>
      </c>
    </row>
    <row r="1057" spans="3:5" customFormat="1" ht="17.399999999999999">
      <c r="C1057" t="s">
        <v>858</v>
      </c>
      <c r="D1057" t="s">
        <v>3537</v>
      </c>
      <c r="E1057" t="s">
        <v>2290</v>
      </c>
    </row>
    <row r="1058" spans="3:5" customFormat="1" ht="17.399999999999999">
      <c r="C1058" t="s">
        <v>859</v>
      </c>
      <c r="D1058" t="s">
        <v>860</v>
      </c>
      <c r="E1058" t="s">
        <v>1512</v>
      </c>
    </row>
    <row r="1059" spans="3:5" customFormat="1" ht="17.399999999999999">
      <c r="C1059" t="s">
        <v>3538</v>
      </c>
      <c r="E1059" t="s">
        <v>3539</v>
      </c>
    </row>
    <row r="1060" spans="3:5" customFormat="1" ht="17.399999999999999">
      <c r="C1060" t="s">
        <v>2310</v>
      </c>
      <c r="E1060" t="s">
        <v>2311</v>
      </c>
    </row>
    <row r="1061" spans="3:5" customFormat="1" ht="17.399999999999999">
      <c r="C1061" t="s">
        <v>861</v>
      </c>
      <c r="D1061" t="s">
        <v>863</v>
      </c>
      <c r="E1061" t="s">
        <v>862</v>
      </c>
    </row>
    <row r="1062" spans="3:5" customFormat="1" ht="17.399999999999999">
      <c r="C1062" t="s">
        <v>864</v>
      </c>
      <c r="E1062" t="s">
        <v>721</v>
      </c>
    </row>
    <row r="1063" spans="3:5" customFormat="1" ht="17.399999999999999">
      <c r="C1063" t="s">
        <v>2312</v>
      </c>
      <c r="E1063" t="s">
        <v>3540</v>
      </c>
    </row>
    <row r="1064" spans="3:5" customFormat="1" ht="17.399999999999999">
      <c r="C1064" t="s">
        <v>865</v>
      </c>
      <c r="D1064" t="s">
        <v>867</v>
      </c>
      <c r="E1064" t="s">
        <v>866</v>
      </c>
    </row>
    <row r="1065" spans="3:5" customFormat="1" ht="17.399999999999999">
      <c r="C1065" t="s">
        <v>868</v>
      </c>
      <c r="E1065" t="s">
        <v>869</v>
      </c>
    </row>
    <row r="1066" spans="3:5" customFormat="1" ht="17.399999999999999">
      <c r="C1066" t="s">
        <v>2313</v>
      </c>
      <c r="E1066" t="s">
        <v>1395</v>
      </c>
    </row>
    <row r="1067" spans="3:5" customFormat="1" ht="17.399999999999999">
      <c r="C1067" t="s">
        <v>2314</v>
      </c>
      <c r="E1067" t="s">
        <v>3541</v>
      </c>
    </row>
    <row r="1068" spans="3:5" customFormat="1" ht="17.399999999999999">
      <c r="C1068" t="s">
        <v>3542</v>
      </c>
      <c r="E1068" t="s">
        <v>3543</v>
      </c>
    </row>
    <row r="1069" spans="3:5" customFormat="1" ht="17.399999999999999">
      <c r="C1069" t="s">
        <v>870</v>
      </c>
      <c r="E1069" t="s">
        <v>528</v>
      </c>
    </row>
    <row r="1070" spans="3:5" customFormat="1" ht="17.399999999999999">
      <c r="C1070" t="s">
        <v>871</v>
      </c>
      <c r="E1070" t="s">
        <v>2315</v>
      </c>
    </row>
    <row r="1071" spans="3:5" customFormat="1" ht="17.399999999999999">
      <c r="C1071" t="s">
        <v>2317</v>
      </c>
      <c r="E1071" t="s">
        <v>3544</v>
      </c>
    </row>
    <row r="1072" spans="3:5" customFormat="1" ht="17.399999999999999">
      <c r="C1072" t="s">
        <v>912</v>
      </c>
      <c r="D1072" t="s">
        <v>3546</v>
      </c>
      <c r="E1072" t="s">
        <v>3545</v>
      </c>
    </row>
    <row r="1073" spans="3:5" customFormat="1" ht="17.399999999999999">
      <c r="C1073" t="s">
        <v>914</v>
      </c>
      <c r="E1073" t="s">
        <v>3547</v>
      </c>
    </row>
    <row r="1074" spans="3:5" customFormat="1" ht="17.399999999999999">
      <c r="C1074" t="s">
        <v>915</v>
      </c>
      <c r="D1074" t="s">
        <v>2104</v>
      </c>
      <c r="E1074" t="s">
        <v>970</v>
      </c>
    </row>
    <row r="1075" spans="3:5" customFormat="1" ht="17.399999999999999">
      <c r="C1075" t="s">
        <v>2318</v>
      </c>
      <c r="E1075" t="s">
        <v>2775</v>
      </c>
    </row>
    <row r="1076" spans="3:5" customFormat="1" ht="17.399999999999999">
      <c r="C1076" t="s">
        <v>1061</v>
      </c>
      <c r="E1076" t="s">
        <v>3548</v>
      </c>
    </row>
    <row r="1077" spans="3:5" customFormat="1" ht="17.399999999999999">
      <c r="C1077" t="s">
        <v>807</v>
      </c>
      <c r="E1077" t="s">
        <v>2319</v>
      </c>
    </row>
    <row r="1078" spans="3:5" customFormat="1" ht="17.399999999999999">
      <c r="C1078" t="s">
        <v>3549</v>
      </c>
      <c r="E1078" t="s">
        <v>3550</v>
      </c>
    </row>
    <row r="1079" spans="3:5" customFormat="1" ht="17.399999999999999">
      <c r="C1079" t="s">
        <v>3551</v>
      </c>
      <c r="E1079" t="s">
        <v>1315</v>
      </c>
    </row>
    <row r="1080" spans="3:5" customFormat="1" ht="17.399999999999999">
      <c r="C1080" t="s">
        <v>808</v>
      </c>
      <c r="E1080" t="s">
        <v>2316</v>
      </c>
    </row>
    <row r="1081" spans="3:5" customFormat="1" ht="17.399999999999999">
      <c r="C1081" t="s">
        <v>3552</v>
      </c>
      <c r="E1081" t="s">
        <v>2280</v>
      </c>
    </row>
    <row r="1082" spans="3:5" customFormat="1" ht="17.399999999999999">
      <c r="C1082" t="s">
        <v>2320</v>
      </c>
      <c r="E1082" t="s">
        <v>2321</v>
      </c>
    </row>
    <row r="1083" spans="3:5" customFormat="1" ht="17.399999999999999">
      <c r="C1083" t="s">
        <v>2322</v>
      </c>
      <c r="E1083" t="s">
        <v>2256</v>
      </c>
    </row>
    <row r="1084" spans="3:5" customFormat="1" ht="17.399999999999999">
      <c r="C1084" t="s">
        <v>809</v>
      </c>
      <c r="E1084" t="s">
        <v>3553</v>
      </c>
    </row>
    <row r="1085" spans="3:5" customFormat="1" ht="17.399999999999999">
      <c r="C1085" t="s">
        <v>2323</v>
      </c>
      <c r="E1085" t="s">
        <v>3554</v>
      </c>
    </row>
    <row r="1086" spans="3:5" customFormat="1" ht="17.399999999999999">
      <c r="C1086" t="s">
        <v>1005</v>
      </c>
      <c r="E1086" t="s">
        <v>1323</v>
      </c>
    </row>
    <row r="1087" spans="3:5" customFormat="1" ht="17.399999999999999">
      <c r="C1087" t="s">
        <v>2325</v>
      </c>
      <c r="E1087" t="s">
        <v>1085</v>
      </c>
    </row>
    <row r="1088" spans="3:5" customFormat="1" ht="17.399999999999999">
      <c r="C1088" t="s">
        <v>1126</v>
      </c>
      <c r="E1088" t="s">
        <v>3555</v>
      </c>
    </row>
    <row r="1089" spans="3:5" customFormat="1" ht="17.399999999999999">
      <c r="C1089" t="s">
        <v>1127</v>
      </c>
      <c r="E1089" t="s">
        <v>2326</v>
      </c>
    </row>
    <row r="1090" spans="3:5" customFormat="1" ht="17.399999999999999">
      <c r="C1090" t="s">
        <v>1128</v>
      </c>
      <c r="D1090" t="s">
        <v>3557</v>
      </c>
      <c r="E1090" t="s">
        <v>3556</v>
      </c>
    </row>
    <row r="1091" spans="3:5" customFormat="1" ht="17.399999999999999">
      <c r="C1091" t="s">
        <v>1129</v>
      </c>
      <c r="E1091" t="s">
        <v>374</v>
      </c>
    </row>
    <row r="1092" spans="3:5" customFormat="1" ht="17.399999999999999">
      <c r="C1092" t="s">
        <v>2327</v>
      </c>
      <c r="D1092" t="s">
        <v>2411</v>
      </c>
      <c r="E1092" t="s">
        <v>3558</v>
      </c>
    </row>
    <row r="1093" spans="3:5" customFormat="1" ht="17.399999999999999">
      <c r="C1093" t="s">
        <v>1130</v>
      </c>
      <c r="E1093" t="s">
        <v>3559</v>
      </c>
    </row>
    <row r="1094" spans="3:5" customFormat="1" ht="17.399999999999999">
      <c r="C1094" t="s">
        <v>1130</v>
      </c>
      <c r="D1094" t="s">
        <v>1131</v>
      </c>
      <c r="E1094" t="s">
        <v>1017</v>
      </c>
    </row>
    <row r="1095" spans="3:5" customFormat="1" ht="17.399999999999999">
      <c r="C1095" t="s">
        <v>1132</v>
      </c>
      <c r="E1095" t="s">
        <v>3560</v>
      </c>
    </row>
    <row r="1096" spans="3:5" customFormat="1" ht="17.399999999999999">
      <c r="C1096" t="s">
        <v>873</v>
      </c>
      <c r="E1096" t="s">
        <v>3561</v>
      </c>
    </row>
    <row r="1097" spans="3:5" customFormat="1" ht="17.399999999999999">
      <c r="C1097" t="s">
        <v>873</v>
      </c>
      <c r="D1097" t="s">
        <v>875</v>
      </c>
      <c r="E1097" t="s">
        <v>874</v>
      </c>
    </row>
    <row r="1098" spans="3:5" customFormat="1" ht="17.399999999999999">
      <c r="C1098" t="s">
        <v>2328</v>
      </c>
      <c r="E1098" t="s">
        <v>3562</v>
      </c>
    </row>
    <row r="1099" spans="3:5" customFormat="1" ht="17.399999999999999">
      <c r="C1099" t="s">
        <v>876</v>
      </c>
      <c r="E1099" t="s">
        <v>2500</v>
      </c>
    </row>
    <row r="1100" spans="3:5" customFormat="1" ht="17.399999999999999">
      <c r="C1100" t="s">
        <v>977</v>
      </c>
      <c r="E1100" t="s">
        <v>978</v>
      </c>
    </row>
    <row r="1101" spans="3:5" customFormat="1" ht="17.399999999999999">
      <c r="C1101" t="s">
        <v>877</v>
      </c>
      <c r="D1101" t="s">
        <v>3563</v>
      </c>
      <c r="E1101" t="s">
        <v>2724</v>
      </c>
    </row>
    <row r="1102" spans="3:5" customFormat="1" ht="17.399999999999999">
      <c r="C1102" t="s">
        <v>878</v>
      </c>
      <c r="E1102" t="s">
        <v>3564</v>
      </c>
    </row>
    <row r="1103" spans="3:5" customFormat="1" ht="17.399999999999999">
      <c r="C1103" t="s">
        <v>3565</v>
      </c>
      <c r="E1103" t="s">
        <v>3566</v>
      </c>
    </row>
    <row r="1104" spans="3:5" customFormat="1" ht="17.399999999999999">
      <c r="C1104" t="s">
        <v>1143</v>
      </c>
      <c r="E1104" t="s">
        <v>2287</v>
      </c>
    </row>
    <row r="1105" spans="3:5" customFormat="1" ht="17.399999999999999">
      <c r="C1105" t="s">
        <v>1144</v>
      </c>
      <c r="E1105" t="s">
        <v>387</v>
      </c>
    </row>
    <row r="1106" spans="3:5" customFormat="1" ht="17.399999999999999">
      <c r="C1106" t="s">
        <v>1146</v>
      </c>
      <c r="D1106" t="s">
        <v>1148</v>
      </c>
      <c r="E1106" t="s">
        <v>1147</v>
      </c>
    </row>
    <row r="1107" spans="3:5" customFormat="1" ht="17.399999999999999">
      <c r="C1107" t="s">
        <v>2329</v>
      </c>
      <c r="E1107" t="s">
        <v>1164</v>
      </c>
    </row>
    <row r="1108" spans="3:5" customFormat="1" ht="17.399999999999999">
      <c r="C1108" t="s">
        <v>2330</v>
      </c>
      <c r="E1108" t="s">
        <v>3567</v>
      </c>
    </row>
    <row r="1109" spans="3:5" customFormat="1" ht="17.399999999999999">
      <c r="C1109" t="s">
        <v>3568</v>
      </c>
      <c r="E1109" t="s">
        <v>3569</v>
      </c>
    </row>
    <row r="1110" spans="3:5" customFormat="1" ht="17.399999999999999">
      <c r="C1110" t="s">
        <v>1150</v>
      </c>
      <c r="E1110" t="s">
        <v>3570</v>
      </c>
    </row>
    <row r="1111" spans="3:5" customFormat="1" ht="17.399999999999999">
      <c r="C1111" t="s">
        <v>1153</v>
      </c>
      <c r="E1111" t="s">
        <v>3571</v>
      </c>
    </row>
    <row r="1112" spans="3:5" customFormat="1" ht="17.399999999999999">
      <c r="C1112" t="s">
        <v>1154</v>
      </c>
      <c r="E1112" t="s">
        <v>2765</v>
      </c>
    </row>
    <row r="1113" spans="3:5" customFormat="1" ht="17.399999999999999">
      <c r="C1113" t="s">
        <v>1154</v>
      </c>
      <c r="D1113" t="s">
        <v>3573</v>
      </c>
      <c r="E1113" t="s">
        <v>3572</v>
      </c>
    </row>
    <row r="1114" spans="3:5" customFormat="1" ht="17.399999999999999">
      <c r="C1114" t="s">
        <v>1155</v>
      </c>
      <c r="D1114" t="s">
        <v>3574</v>
      </c>
      <c r="E1114" t="s">
        <v>1152</v>
      </c>
    </row>
    <row r="1115" spans="3:5" customFormat="1" ht="17.399999999999999">
      <c r="C1115" t="s">
        <v>1156</v>
      </c>
      <c r="E1115" t="s">
        <v>2156</v>
      </c>
    </row>
    <row r="1116" spans="3:5" customFormat="1" ht="17.399999999999999">
      <c r="C1116" t="s">
        <v>1157</v>
      </c>
      <c r="E1116" t="s">
        <v>1840</v>
      </c>
    </row>
    <row r="1117" spans="3:5" customFormat="1" ht="17.399999999999999">
      <c r="C1117" t="s">
        <v>1159</v>
      </c>
      <c r="D1117" t="s">
        <v>474</v>
      </c>
      <c r="E1117" t="s">
        <v>3575</v>
      </c>
    </row>
    <row r="1118" spans="3:5" customFormat="1" ht="17.399999999999999">
      <c r="C1118" t="s">
        <v>1160</v>
      </c>
      <c r="E1118" t="s">
        <v>1989</v>
      </c>
    </row>
    <row r="1119" spans="3:5" customFormat="1" ht="17.399999999999999">
      <c r="C1119" t="s">
        <v>1163</v>
      </c>
      <c r="E1119" t="s">
        <v>3576</v>
      </c>
    </row>
    <row r="1120" spans="3:5" customFormat="1" ht="17.399999999999999">
      <c r="C1120" t="s">
        <v>1163</v>
      </c>
      <c r="D1120" t="s">
        <v>1165</v>
      </c>
      <c r="E1120" t="s">
        <v>1164</v>
      </c>
    </row>
    <row r="1121" spans="3:5" customFormat="1" ht="17.399999999999999">
      <c r="C1121" t="s">
        <v>1166</v>
      </c>
      <c r="E1121" t="s">
        <v>1448</v>
      </c>
    </row>
    <row r="1122" spans="3:5" customFormat="1" ht="17.399999999999999">
      <c r="C1122" t="s">
        <v>3577</v>
      </c>
      <c r="E1122" t="s">
        <v>3578</v>
      </c>
    </row>
    <row r="1123" spans="3:5" customFormat="1" ht="17.399999999999999">
      <c r="C1123" t="s">
        <v>1167</v>
      </c>
      <c r="E1123" t="s">
        <v>838</v>
      </c>
    </row>
    <row r="1124" spans="3:5" customFormat="1" ht="17.399999999999999">
      <c r="C1124" t="s">
        <v>1167</v>
      </c>
      <c r="D1124" t="s">
        <v>1385</v>
      </c>
      <c r="E1124" t="s">
        <v>2412</v>
      </c>
    </row>
    <row r="1125" spans="3:5" customFormat="1" ht="17.399999999999999">
      <c r="C1125" t="s">
        <v>1171</v>
      </c>
      <c r="D1125" t="s">
        <v>1138</v>
      </c>
      <c r="E1125" t="s">
        <v>111</v>
      </c>
    </row>
    <row r="1126" spans="3:5" customFormat="1" ht="17.399999999999999">
      <c r="C1126" t="s">
        <v>1172</v>
      </c>
      <c r="E1126" t="s">
        <v>1173</v>
      </c>
    </row>
    <row r="1127" spans="3:5" customFormat="1" ht="17.399999999999999">
      <c r="C1127" t="s">
        <v>2334</v>
      </c>
      <c r="E1127" t="s">
        <v>2789</v>
      </c>
    </row>
    <row r="1128" spans="3:5" customFormat="1" ht="17.399999999999999">
      <c r="C1128" t="s">
        <v>1174</v>
      </c>
      <c r="E1128" t="s">
        <v>3579</v>
      </c>
    </row>
    <row r="1129" spans="3:5" customFormat="1" ht="17.399999999999999">
      <c r="C1129" t="s">
        <v>881</v>
      </c>
      <c r="D1129" t="s">
        <v>3580</v>
      </c>
      <c r="E1129" t="s">
        <v>1006</v>
      </c>
    </row>
    <row r="1130" spans="3:5" customFormat="1" ht="17.399999999999999">
      <c r="C1130" t="s">
        <v>15</v>
      </c>
      <c r="E1130" t="s">
        <v>3581</v>
      </c>
    </row>
    <row r="1131" spans="3:5" customFormat="1" ht="17.399999999999999">
      <c r="C1131" t="s">
        <v>15</v>
      </c>
      <c r="D1131" t="s">
        <v>3583</v>
      </c>
      <c r="E1131" t="s">
        <v>3582</v>
      </c>
    </row>
    <row r="1132" spans="3:5" customFormat="1" ht="17.399999999999999">
      <c r="C1132" t="s">
        <v>2335</v>
      </c>
      <c r="D1132" t="s">
        <v>3585</v>
      </c>
      <c r="E1132" t="s">
        <v>3584</v>
      </c>
    </row>
    <row r="1133" spans="3:5" customFormat="1" ht="17.399999999999999">
      <c r="C1133" t="s">
        <v>1134</v>
      </c>
      <c r="E1133" t="s">
        <v>1135</v>
      </c>
    </row>
    <row r="1134" spans="3:5" customFormat="1" ht="17.399999999999999">
      <c r="C1134" t="s">
        <v>1136</v>
      </c>
      <c r="D1134" t="s">
        <v>1599</v>
      </c>
      <c r="E1134" t="s">
        <v>1598</v>
      </c>
    </row>
    <row r="1135" spans="3:5" customFormat="1" ht="17.399999999999999">
      <c r="C1135" t="s">
        <v>1137</v>
      </c>
      <c r="E1135" t="s">
        <v>3586</v>
      </c>
    </row>
    <row r="1136" spans="3:5" customFormat="1" ht="17.399999999999999">
      <c r="C1136" t="s">
        <v>1139</v>
      </c>
    </row>
    <row r="1137" spans="3:5" customFormat="1" ht="17.399999999999999">
      <c r="C1137" t="s">
        <v>1140</v>
      </c>
      <c r="E1137" t="s">
        <v>1141</v>
      </c>
    </row>
    <row r="1138" spans="3:5" customFormat="1" ht="17.399999999999999">
      <c r="C1138" t="s">
        <v>3587</v>
      </c>
      <c r="D1138" t="s">
        <v>3588</v>
      </c>
      <c r="E1138" t="s">
        <v>2454</v>
      </c>
    </row>
    <row r="1139" spans="3:5" customFormat="1" ht="17.399999999999999">
      <c r="C1139" t="s">
        <v>2336</v>
      </c>
      <c r="E1139" t="s">
        <v>3589</v>
      </c>
    </row>
    <row r="1140" spans="3:5" customFormat="1" ht="17.399999999999999">
      <c r="C1140" t="s">
        <v>1142</v>
      </c>
      <c r="E1140" t="s">
        <v>2687</v>
      </c>
    </row>
    <row r="1141" spans="3:5" customFormat="1" ht="17.399999999999999">
      <c r="C1141" t="s">
        <v>1817</v>
      </c>
      <c r="E1141" t="s">
        <v>2337</v>
      </c>
    </row>
    <row r="1142" spans="3:5" customFormat="1" ht="17.399999999999999">
      <c r="C1142" t="s">
        <v>943</v>
      </c>
      <c r="E1142" t="s">
        <v>1307</v>
      </c>
    </row>
    <row r="1143" spans="3:5" customFormat="1" ht="17.399999999999999">
      <c r="C1143" t="s">
        <v>944</v>
      </c>
      <c r="E1143" t="s">
        <v>945</v>
      </c>
    </row>
    <row r="1144" spans="3:5" customFormat="1" ht="17.399999999999999">
      <c r="C1144" t="s">
        <v>3590</v>
      </c>
      <c r="E1144" t="s">
        <v>1577</v>
      </c>
    </row>
    <row r="1145" spans="3:5" customFormat="1" ht="17.399999999999999">
      <c r="C1145" t="s">
        <v>2338</v>
      </c>
      <c r="E1145" t="s">
        <v>1746</v>
      </c>
    </row>
    <row r="1146" spans="3:5" customFormat="1" ht="17.399999999999999">
      <c r="C1146" t="s">
        <v>872</v>
      </c>
      <c r="D1146" t="s">
        <v>2340</v>
      </c>
      <c r="E1146" t="s">
        <v>2340</v>
      </c>
    </row>
    <row r="1147" spans="3:5" customFormat="1" ht="17.399999999999999">
      <c r="C1147" t="s">
        <v>3591</v>
      </c>
      <c r="E1147" t="s">
        <v>1382</v>
      </c>
    </row>
    <row r="1148" spans="3:5" customFormat="1" ht="17.399999999999999">
      <c r="C1148" t="s">
        <v>2342</v>
      </c>
      <c r="E1148" t="s">
        <v>2343</v>
      </c>
    </row>
    <row r="1149" spans="3:5" customFormat="1" ht="17.399999999999999">
      <c r="C1149" t="s">
        <v>719</v>
      </c>
      <c r="E1149" t="s">
        <v>2624</v>
      </c>
    </row>
    <row r="1150" spans="3:5" customFormat="1" ht="17.399999999999999">
      <c r="C1150" t="s">
        <v>719</v>
      </c>
      <c r="D1150" t="s">
        <v>701</v>
      </c>
      <c r="E1150" t="s">
        <v>720</v>
      </c>
    </row>
    <row r="1151" spans="3:5" customFormat="1" ht="17.399999999999999">
      <c r="C1151" t="s">
        <v>2345</v>
      </c>
      <c r="E1151" t="s">
        <v>3592</v>
      </c>
    </row>
    <row r="1152" spans="3:5" customFormat="1" ht="17.399999999999999">
      <c r="C1152" t="s">
        <v>723</v>
      </c>
      <c r="D1152" t="s">
        <v>725</v>
      </c>
      <c r="E1152" t="s">
        <v>1264</v>
      </c>
    </row>
    <row r="1153" spans="3:5" customFormat="1" ht="17.399999999999999">
      <c r="C1153" t="s">
        <v>726</v>
      </c>
      <c r="D1153" t="s">
        <v>3593</v>
      </c>
      <c r="E1153" t="s">
        <v>2475</v>
      </c>
    </row>
    <row r="1154" spans="3:5" customFormat="1" ht="17.399999999999999">
      <c r="C1154" t="s">
        <v>727</v>
      </c>
      <c r="E1154" t="s">
        <v>728</v>
      </c>
    </row>
    <row r="1155" spans="3:5" customFormat="1" ht="17.399999999999999">
      <c r="C1155" t="s">
        <v>729</v>
      </c>
      <c r="D1155" t="s">
        <v>3595</v>
      </c>
      <c r="E1155" t="s">
        <v>3594</v>
      </c>
    </row>
    <row r="1156" spans="3:5" customFormat="1" ht="17.399999999999999">
      <c r="C1156" t="s">
        <v>4421</v>
      </c>
      <c r="D1156" t="s">
        <v>4423</v>
      </c>
      <c r="E1156" t="s">
        <v>4422</v>
      </c>
    </row>
    <row r="1157" spans="3:5" customFormat="1" ht="17.399999999999999">
      <c r="C1157" t="s">
        <v>730</v>
      </c>
      <c r="E1157" t="s">
        <v>2346</v>
      </c>
    </row>
    <row r="1158" spans="3:5" customFormat="1" ht="17.399999999999999">
      <c r="C1158" t="s">
        <v>731</v>
      </c>
      <c r="E1158" t="s">
        <v>3596</v>
      </c>
    </row>
    <row r="1159" spans="3:5" customFormat="1" ht="17.399999999999999">
      <c r="C1159" t="s">
        <v>731</v>
      </c>
      <c r="D1159" t="s">
        <v>3598</v>
      </c>
      <c r="E1159" t="s">
        <v>3597</v>
      </c>
    </row>
    <row r="1160" spans="3:5" customFormat="1" ht="17.399999999999999">
      <c r="C1160" t="s">
        <v>4424</v>
      </c>
      <c r="D1160" t="s">
        <v>4425</v>
      </c>
      <c r="E1160" t="s">
        <v>1471</v>
      </c>
    </row>
    <row r="1161" spans="3:5" customFormat="1" ht="17.399999999999999">
      <c r="C1161" t="s">
        <v>3599</v>
      </c>
      <c r="E1161" t="s">
        <v>1071</v>
      </c>
    </row>
    <row r="1162" spans="3:5" customFormat="1" ht="17.399999999999999">
      <c r="C1162" t="s">
        <v>732</v>
      </c>
      <c r="E1162" t="s">
        <v>2348</v>
      </c>
    </row>
    <row r="1163" spans="3:5" customFormat="1" ht="17.399999999999999">
      <c r="C1163" t="s">
        <v>733</v>
      </c>
      <c r="E1163" t="s">
        <v>734</v>
      </c>
    </row>
    <row r="1164" spans="3:5" customFormat="1" ht="17.399999999999999">
      <c r="C1164" t="s">
        <v>735</v>
      </c>
      <c r="E1164" t="s">
        <v>1955</v>
      </c>
    </row>
    <row r="1165" spans="3:5" customFormat="1" ht="17.399999999999999">
      <c r="C1165" t="s">
        <v>3600</v>
      </c>
      <c r="D1165" t="s">
        <v>3602</v>
      </c>
      <c r="E1165" t="s">
        <v>3601</v>
      </c>
    </row>
    <row r="1166" spans="3:5" customFormat="1" ht="17.399999999999999">
      <c r="C1166" t="s">
        <v>736</v>
      </c>
      <c r="D1166" t="s">
        <v>2349</v>
      </c>
      <c r="E1166" t="s">
        <v>4426</v>
      </c>
    </row>
    <row r="1167" spans="3:5" customFormat="1" ht="17.399999999999999">
      <c r="C1167" t="s">
        <v>3603</v>
      </c>
      <c r="E1167" t="s">
        <v>3604</v>
      </c>
    </row>
    <row r="1168" spans="3:5" customFormat="1" ht="17.399999999999999">
      <c r="C1168" t="s">
        <v>18</v>
      </c>
      <c r="E1168" t="s">
        <v>3605</v>
      </c>
    </row>
    <row r="1169" spans="3:5" customFormat="1" ht="17.399999999999999">
      <c r="C1169" t="s">
        <v>18</v>
      </c>
      <c r="D1169" t="s">
        <v>392</v>
      </c>
      <c r="E1169" t="s">
        <v>3606</v>
      </c>
    </row>
    <row r="1170" spans="3:5" customFormat="1" ht="17.399999999999999">
      <c r="C1170" t="s">
        <v>946</v>
      </c>
      <c r="E1170" t="s">
        <v>3607</v>
      </c>
    </row>
    <row r="1171" spans="3:5" customFormat="1" ht="17.399999999999999">
      <c r="C1171" t="s">
        <v>947</v>
      </c>
      <c r="D1171" t="s">
        <v>948</v>
      </c>
      <c r="E1171" t="s">
        <v>443</v>
      </c>
    </row>
    <row r="1172" spans="3:5" customFormat="1" ht="17.399999999999999">
      <c r="C1172" t="s">
        <v>949</v>
      </c>
      <c r="E1172" t="s">
        <v>1640</v>
      </c>
    </row>
    <row r="1173" spans="3:5" customFormat="1" ht="17.399999999999999">
      <c r="C1173" t="s">
        <v>2350</v>
      </c>
      <c r="E1173" t="s">
        <v>2354</v>
      </c>
    </row>
    <row r="1174" spans="3:5" customFormat="1" ht="17.399999999999999">
      <c r="C1174" t="s">
        <v>950</v>
      </c>
      <c r="D1174" t="s">
        <v>2352</v>
      </c>
      <c r="E1174" t="s">
        <v>951</v>
      </c>
    </row>
    <row r="1175" spans="3:5" customFormat="1" ht="17.399999999999999">
      <c r="C1175" t="s">
        <v>2353</v>
      </c>
      <c r="E1175" t="s">
        <v>2449</v>
      </c>
    </row>
    <row r="1176" spans="3:5" customFormat="1" ht="17.399999999999999">
      <c r="C1176" t="s">
        <v>3608</v>
      </c>
      <c r="E1176" t="s">
        <v>3609</v>
      </c>
    </row>
    <row r="1177" spans="3:5" customFormat="1" ht="17.399999999999999">
      <c r="C1177" t="s">
        <v>3610</v>
      </c>
      <c r="E1177" t="s">
        <v>2351</v>
      </c>
    </row>
    <row r="1178" spans="3:5" customFormat="1" ht="17.399999999999999">
      <c r="C1178" t="s">
        <v>952</v>
      </c>
      <c r="E1178" t="s">
        <v>3611</v>
      </c>
    </row>
    <row r="1179" spans="3:5" customFormat="1" ht="17.399999999999999">
      <c r="C1179" t="s">
        <v>954</v>
      </c>
      <c r="E1179" t="s">
        <v>955</v>
      </c>
    </row>
    <row r="1180" spans="3:5" customFormat="1" ht="17.399999999999999">
      <c r="C1180" t="s">
        <v>2355</v>
      </c>
      <c r="E1180" t="s">
        <v>2356</v>
      </c>
    </row>
    <row r="1181" spans="3:5" customFormat="1" ht="17.399999999999999">
      <c r="C1181" t="s">
        <v>4427</v>
      </c>
      <c r="E1181" t="s">
        <v>4428</v>
      </c>
    </row>
    <row r="1182" spans="3:5" customFormat="1" ht="17.399999999999999">
      <c r="C1182" t="s">
        <v>957</v>
      </c>
      <c r="D1182" t="s">
        <v>959</v>
      </c>
      <c r="E1182" t="s">
        <v>958</v>
      </c>
    </row>
    <row r="1183" spans="3:5" customFormat="1" ht="17.399999999999999">
      <c r="C1183" t="s">
        <v>2358</v>
      </c>
      <c r="D1183" t="s">
        <v>3612</v>
      </c>
      <c r="E1183" t="s">
        <v>2764</v>
      </c>
    </row>
    <row r="1184" spans="3:5" customFormat="1" ht="17.399999999999999">
      <c r="C1184" t="s">
        <v>3613</v>
      </c>
      <c r="E1184" t="s">
        <v>3614</v>
      </c>
    </row>
    <row r="1185" spans="3:5" customFormat="1" ht="17.399999999999999">
      <c r="C1185" t="s">
        <v>961</v>
      </c>
      <c r="D1185" t="s">
        <v>956</v>
      </c>
      <c r="E1185" t="s">
        <v>962</v>
      </c>
    </row>
    <row r="1186" spans="3:5" customFormat="1" ht="17.399999999999999">
      <c r="C1186" t="s">
        <v>963</v>
      </c>
      <c r="E1186" t="s">
        <v>2769</v>
      </c>
    </row>
    <row r="1187" spans="3:5" customFormat="1" ht="17.399999999999999">
      <c r="C1187" t="s">
        <v>2359</v>
      </c>
      <c r="E1187" t="s">
        <v>3615</v>
      </c>
    </row>
    <row r="1188" spans="3:5" customFormat="1" ht="17.399999999999999">
      <c r="C1188" t="s">
        <v>964</v>
      </c>
      <c r="E1188" t="s">
        <v>1686</v>
      </c>
    </row>
    <row r="1189" spans="3:5" customFormat="1" ht="17.399999999999999">
      <c r="C1189" t="s">
        <v>2360</v>
      </c>
      <c r="E1189" t="s">
        <v>3616</v>
      </c>
    </row>
    <row r="1190" spans="3:5" customFormat="1" ht="17.399999999999999">
      <c r="C1190" t="s">
        <v>2361</v>
      </c>
      <c r="E1190" t="s">
        <v>1835</v>
      </c>
    </row>
    <row r="1191" spans="3:5" customFormat="1" ht="17.399999999999999">
      <c r="C1191" t="s">
        <v>2362</v>
      </c>
      <c r="E1191" t="s">
        <v>3617</v>
      </c>
    </row>
    <row r="1192" spans="3:5" customFormat="1" ht="17.399999999999999">
      <c r="C1192" t="s">
        <v>966</v>
      </c>
      <c r="D1192" t="s">
        <v>968</v>
      </c>
      <c r="E1192" t="s">
        <v>967</v>
      </c>
    </row>
    <row r="1193" spans="3:5" customFormat="1" ht="17.399999999999999">
      <c r="C1193" t="s">
        <v>969</v>
      </c>
      <c r="E1193" t="s">
        <v>3618</v>
      </c>
    </row>
    <row r="1194" spans="3:5" customFormat="1" ht="17.399999999999999">
      <c r="C1194" t="s">
        <v>971</v>
      </c>
      <c r="E1194" t="s">
        <v>1558</v>
      </c>
    </row>
    <row r="1195" spans="3:5" customFormat="1" ht="17.399999999999999">
      <c r="C1195" t="s">
        <v>971</v>
      </c>
      <c r="D1195" t="s">
        <v>1515</v>
      </c>
      <c r="E1195" t="s">
        <v>1514</v>
      </c>
    </row>
    <row r="1196" spans="3:5" customFormat="1" ht="17.399999999999999">
      <c r="C1196" t="s">
        <v>2364</v>
      </c>
      <c r="E1196" t="s">
        <v>3619</v>
      </c>
    </row>
    <row r="1197" spans="3:5" customFormat="1" ht="17.399999999999999">
      <c r="C1197" t="s">
        <v>2364</v>
      </c>
      <c r="D1197" t="s">
        <v>960</v>
      </c>
      <c r="E1197" t="s">
        <v>2357</v>
      </c>
    </row>
    <row r="1198" spans="3:5" customFormat="1" ht="17.399999999999999">
      <c r="C1198" t="s">
        <v>973</v>
      </c>
      <c r="E1198" t="s">
        <v>2180</v>
      </c>
    </row>
    <row r="1199" spans="3:5" customFormat="1" ht="17.399999999999999">
      <c r="C1199" t="s">
        <v>2365</v>
      </c>
      <c r="D1199" t="s">
        <v>4429</v>
      </c>
      <c r="E1199" t="s">
        <v>413</v>
      </c>
    </row>
    <row r="1200" spans="3:5" customFormat="1" ht="17.399999999999999">
      <c r="C1200" t="s">
        <v>3620</v>
      </c>
      <c r="E1200" t="s">
        <v>1932</v>
      </c>
    </row>
    <row r="1201" spans="3:5" customFormat="1" ht="17.399999999999999">
      <c r="C1201" t="s">
        <v>976</v>
      </c>
      <c r="D1201" t="s">
        <v>2366</v>
      </c>
      <c r="E1201" t="s">
        <v>3621</v>
      </c>
    </row>
    <row r="1202" spans="3:5" customFormat="1" ht="17.399999999999999">
      <c r="C1202" t="s">
        <v>979</v>
      </c>
      <c r="E1202" t="s">
        <v>986</v>
      </c>
    </row>
    <row r="1203" spans="3:5" customFormat="1" ht="17.399999999999999">
      <c r="C1203" t="s">
        <v>980</v>
      </c>
      <c r="E1203" t="s">
        <v>677</v>
      </c>
    </row>
    <row r="1204" spans="3:5" customFormat="1" ht="17.399999999999999">
      <c r="C1204" t="s">
        <v>981</v>
      </c>
      <c r="E1204" t="s">
        <v>982</v>
      </c>
    </row>
    <row r="1205" spans="3:5" customFormat="1" ht="17.399999999999999">
      <c r="C1205" t="s">
        <v>983</v>
      </c>
      <c r="E1205" t="s">
        <v>142</v>
      </c>
    </row>
    <row r="1206" spans="3:5" customFormat="1" ht="17.399999999999999">
      <c r="C1206" t="s">
        <v>984</v>
      </c>
      <c r="E1206" t="s">
        <v>3622</v>
      </c>
    </row>
    <row r="1207" spans="3:5" customFormat="1" ht="17.399999999999999">
      <c r="C1207" t="s">
        <v>985</v>
      </c>
      <c r="D1207" t="s">
        <v>987</v>
      </c>
      <c r="E1207" t="s">
        <v>593</v>
      </c>
    </row>
    <row r="1208" spans="3:5" customFormat="1" ht="17.399999999999999">
      <c r="C1208" t="s">
        <v>2367</v>
      </c>
      <c r="E1208" t="s">
        <v>2368</v>
      </c>
    </row>
    <row r="1209" spans="3:5" customFormat="1" ht="17.399999999999999">
      <c r="C1209" t="s">
        <v>2369</v>
      </c>
      <c r="E1209" t="s">
        <v>85</v>
      </c>
    </row>
    <row r="1210" spans="3:5" customFormat="1" ht="17.399999999999999">
      <c r="C1210" t="s">
        <v>988</v>
      </c>
      <c r="E1210" t="s">
        <v>3623</v>
      </c>
    </row>
    <row r="1211" spans="3:5" customFormat="1" ht="17.399999999999999">
      <c r="C1211" t="s">
        <v>989</v>
      </c>
      <c r="E1211" t="s">
        <v>3624</v>
      </c>
    </row>
    <row r="1212" spans="3:5" customFormat="1" ht="17.399999999999999">
      <c r="C1212" t="s">
        <v>989</v>
      </c>
      <c r="D1212" t="s">
        <v>907</v>
      </c>
      <c r="E1212" t="s">
        <v>3625</v>
      </c>
    </row>
    <row r="1213" spans="3:5" customFormat="1" ht="17.399999999999999">
      <c r="C1213" t="s">
        <v>990</v>
      </c>
      <c r="E1213" t="s">
        <v>991</v>
      </c>
    </row>
    <row r="1214" spans="3:5" customFormat="1" ht="17.399999999999999">
      <c r="C1214" t="s">
        <v>992</v>
      </c>
      <c r="D1214" t="s">
        <v>994</v>
      </c>
      <c r="E1214" t="s">
        <v>993</v>
      </c>
    </row>
    <row r="1215" spans="3:5" customFormat="1" ht="17.399999999999999">
      <c r="C1215" t="s">
        <v>2370</v>
      </c>
      <c r="E1215" t="s">
        <v>2371</v>
      </c>
    </row>
    <row r="1216" spans="3:5" customFormat="1" ht="17.399999999999999">
      <c r="C1216" t="s">
        <v>3626</v>
      </c>
      <c r="E1216" t="s">
        <v>3627</v>
      </c>
    </row>
    <row r="1217" spans="3:5" customFormat="1" ht="17.399999999999999">
      <c r="C1217" t="s">
        <v>3628</v>
      </c>
      <c r="E1217" t="s">
        <v>3629</v>
      </c>
    </row>
    <row r="1218" spans="3:5" customFormat="1" ht="17.399999999999999">
      <c r="C1218" t="s">
        <v>2372</v>
      </c>
      <c r="E1218" t="s">
        <v>2373</v>
      </c>
    </row>
    <row r="1219" spans="3:5" customFormat="1" ht="17.399999999999999">
      <c r="C1219" t="s">
        <v>3630</v>
      </c>
      <c r="E1219" t="s">
        <v>3631</v>
      </c>
    </row>
    <row r="1220" spans="3:5" customFormat="1" ht="17.399999999999999">
      <c r="C1220" t="s">
        <v>995</v>
      </c>
      <c r="E1220" t="s">
        <v>996</v>
      </c>
    </row>
    <row r="1221" spans="3:5" customFormat="1" ht="17.399999999999999">
      <c r="C1221" t="s">
        <v>2374</v>
      </c>
      <c r="E1221" t="s">
        <v>1284</v>
      </c>
    </row>
    <row r="1222" spans="3:5" customFormat="1" ht="17.399999999999999">
      <c r="C1222" t="s">
        <v>3632</v>
      </c>
      <c r="E1222" t="s">
        <v>3633</v>
      </c>
    </row>
    <row r="1223" spans="3:5" customFormat="1" ht="17.399999999999999">
      <c r="C1223" t="s">
        <v>3634</v>
      </c>
      <c r="E1223" t="s">
        <v>3635</v>
      </c>
    </row>
    <row r="1224" spans="3:5" customFormat="1" ht="17.399999999999999">
      <c r="C1224" t="s">
        <v>3636</v>
      </c>
      <c r="E1224" t="s">
        <v>3637</v>
      </c>
    </row>
    <row r="1225" spans="3:5" customFormat="1" ht="17.399999999999999">
      <c r="C1225" t="s">
        <v>3638</v>
      </c>
      <c r="E1225" t="s">
        <v>3639</v>
      </c>
    </row>
    <row r="1226" spans="3:5" customFormat="1" ht="17.399999999999999">
      <c r="C1226" t="s">
        <v>997</v>
      </c>
      <c r="E1226" t="s">
        <v>1374</v>
      </c>
    </row>
    <row r="1227" spans="3:5" customFormat="1" ht="17.399999999999999">
      <c r="C1227" t="s">
        <v>998</v>
      </c>
      <c r="E1227" t="s">
        <v>999</v>
      </c>
    </row>
    <row r="1228" spans="3:5" customFormat="1" ht="17.399999999999999">
      <c r="C1228" t="s">
        <v>3640</v>
      </c>
      <c r="E1228" t="s">
        <v>3641</v>
      </c>
    </row>
    <row r="1229" spans="3:5" customFormat="1" ht="17.399999999999999">
      <c r="C1229" t="s">
        <v>3642</v>
      </c>
      <c r="E1229" t="s">
        <v>3643</v>
      </c>
    </row>
    <row r="1230" spans="3:5" customFormat="1" ht="17.399999999999999">
      <c r="C1230" t="s">
        <v>2377</v>
      </c>
      <c r="E1230" t="s">
        <v>3644</v>
      </c>
    </row>
    <row r="1231" spans="3:5" customFormat="1" ht="17.399999999999999">
      <c r="C1231" t="s">
        <v>3645</v>
      </c>
      <c r="E1231" t="s">
        <v>3646</v>
      </c>
    </row>
    <row r="1232" spans="3:5" customFormat="1" ht="17.399999999999999">
      <c r="C1232" t="s">
        <v>4430</v>
      </c>
      <c r="D1232" t="s">
        <v>4432</v>
      </c>
      <c r="E1232" t="s">
        <v>4431</v>
      </c>
    </row>
    <row r="1233" spans="3:5" customFormat="1" ht="17.399999999999999">
      <c r="C1233" t="s">
        <v>2378</v>
      </c>
      <c r="E1233" t="s">
        <v>2379</v>
      </c>
    </row>
    <row r="1234" spans="3:5" customFormat="1" ht="17.399999999999999">
      <c r="C1234" t="s">
        <v>2380</v>
      </c>
      <c r="E1234" t="s">
        <v>3647</v>
      </c>
    </row>
    <row r="1235" spans="3:5" customFormat="1" ht="17.399999999999999">
      <c r="C1235" t="s">
        <v>2381</v>
      </c>
      <c r="E1235" t="s">
        <v>1461</v>
      </c>
    </row>
    <row r="1236" spans="3:5" customFormat="1" ht="17.399999999999999">
      <c r="C1236" t="s">
        <v>1000</v>
      </c>
      <c r="D1236" t="s">
        <v>2260</v>
      </c>
      <c r="E1236" t="s">
        <v>2756</v>
      </c>
    </row>
    <row r="1237" spans="3:5" customFormat="1" ht="17.399999999999999">
      <c r="C1237" t="s">
        <v>1002</v>
      </c>
      <c r="E1237" t="s">
        <v>1491</v>
      </c>
    </row>
    <row r="1238" spans="3:5" customFormat="1" ht="17.399999999999999">
      <c r="C1238" t="s">
        <v>1003</v>
      </c>
      <c r="D1238" t="s">
        <v>1004</v>
      </c>
      <c r="E1238" t="s">
        <v>2382</v>
      </c>
    </row>
    <row r="1239" spans="3:5" customFormat="1" ht="17.399999999999999">
      <c r="C1239" t="s">
        <v>3648</v>
      </c>
      <c r="E1239" t="s">
        <v>3649</v>
      </c>
    </row>
    <row r="1240" spans="3:5" customFormat="1" ht="17.399999999999999">
      <c r="C1240" t="s">
        <v>1552</v>
      </c>
      <c r="E1240" t="s">
        <v>3650</v>
      </c>
    </row>
    <row r="1241" spans="3:5" customFormat="1" ht="17.399999999999999">
      <c r="C1241" t="s">
        <v>3651</v>
      </c>
      <c r="E1241" t="s">
        <v>3652</v>
      </c>
    </row>
    <row r="1242" spans="3:5" customFormat="1" ht="17.399999999999999">
      <c r="C1242" t="s">
        <v>2383</v>
      </c>
      <c r="E1242" t="s">
        <v>2659</v>
      </c>
    </row>
    <row r="1243" spans="3:5" customFormat="1" ht="17.399999999999999">
      <c r="C1243" t="s">
        <v>2384</v>
      </c>
      <c r="E1243" t="s">
        <v>2225</v>
      </c>
    </row>
    <row r="1244" spans="3:5" customFormat="1" ht="17.399999999999999">
      <c r="C1244" t="s">
        <v>1553</v>
      </c>
      <c r="E1244" t="s">
        <v>722</v>
      </c>
    </row>
    <row r="1245" spans="3:5" customFormat="1" ht="17.399999999999999">
      <c r="C1245" t="s">
        <v>1554</v>
      </c>
      <c r="E1245" t="s">
        <v>2771</v>
      </c>
    </row>
    <row r="1246" spans="3:5" customFormat="1" ht="17.399999999999999">
      <c r="C1246" t="s">
        <v>2385</v>
      </c>
      <c r="E1246" t="s">
        <v>3653</v>
      </c>
    </row>
    <row r="1247" spans="3:5" customFormat="1" ht="17.399999999999999">
      <c r="C1247" t="s">
        <v>3654</v>
      </c>
      <c r="E1247" t="s">
        <v>3655</v>
      </c>
    </row>
    <row r="1248" spans="3:5" customFormat="1" ht="17.399999999999999">
      <c r="C1248" t="s">
        <v>3656</v>
      </c>
      <c r="E1248" t="s">
        <v>3657</v>
      </c>
    </row>
    <row r="1249" spans="3:5" customFormat="1" ht="17.399999999999999">
      <c r="C1249" t="s">
        <v>2389</v>
      </c>
      <c r="E1249" t="s">
        <v>2390</v>
      </c>
    </row>
    <row r="1250" spans="3:5" customFormat="1" ht="17.399999999999999">
      <c r="C1250" t="s">
        <v>1890</v>
      </c>
      <c r="E1250" t="s">
        <v>191</v>
      </c>
    </row>
    <row r="1251" spans="3:5" customFormat="1" ht="17.399999999999999">
      <c r="C1251" t="s">
        <v>21</v>
      </c>
      <c r="D1251" t="s">
        <v>2392</v>
      </c>
      <c r="E1251" t="s">
        <v>3658</v>
      </c>
    </row>
    <row r="1252" spans="3:5" customFormat="1" ht="17.399999999999999">
      <c r="C1252" t="s">
        <v>1559</v>
      </c>
      <c r="E1252" t="s">
        <v>3659</v>
      </c>
    </row>
    <row r="1253" spans="3:5" customFormat="1" ht="17.399999999999999">
      <c r="C1253" t="s">
        <v>3660</v>
      </c>
      <c r="E1253" t="s">
        <v>1262</v>
      </c>
    </row>
    <row r="1254" spans="3:5" customFormat="1" ht="17.399999999999999">
      <c r="C1254" t="s">
        <v>1560</v>
      </c>
      <c r="E1254" t="s">
        <v>892</v>
      </c>
    </row>
    <row r="1255" spans="3:5" customFormat="1" ht="17.399999999999999">
      <c r="C1255" t="s">
        <v>1561</v>
      </c>
      <c r="E1255" t="s">
        <v>3661</v>
      </c>
    </row>
    <row r="1256" spans="3:5" customFormat="1" ht="17.399999999999999">
      <c r="C1256" t="s">
        <v>2395</v>
      </c>
      <c r="E1256" t="s">
        <v>2396</v>
      </c>
    </row>
    <row r="1257" spans="3:5" customFormat="1" ht="17.399999999999999">
      <c r="C1257" t="s">
        <v>810</v>
      </c>
      <c r="D1257" t="s">
        <v>2397</v>
      </c>
      <c r="E1257" t="s">
        <v>2397</v>
      </c>
    </row>
    <row r="1258" spans="3:5" customFormat="1" ht="17.399999999999999">
      <c r="C1258" t="s">
        <v>811</v>
      </c>
      <c r="E1258" t="s">
        <v>3662</v>
      </c>
    </row>
    <row r="1259" spans="3:5" customFormat="1" ht="17.399999999999999">
      <c r="C1259" t="s">
        <v>2399</v>
      </c>
      <c r="D1259" t="s">
        <v>3663</v>
      </c>
      <c r="E1259" t="s">
        <v>2752</v>
      </c>
    </row>
    <row r="1260" spans="3:5" customFormat="1" ht="17.399999999999999">
      <c r="C1260" t="s">
        <v>812</v>
      </c>
      <c r="D1260" t="s">
        <v>3664</v>
      </c>
      <c r="E1260" t="s">
        <v>813</v>
      </c>
    </row>
    <row r="1261" spans="3:5" customFormat="1" ht="17.399999999999999">
      <c r="C1261" t="s">
        <v>814</v>
      </c>
      <c r="E1261" t="s">
        <v>1198</v>
      </c>
    </row>
    <row r="1262" spans="3:5" customFormat="1" ht="17.399999999999999">
      <c r="C1262" t="s">
        <v>815</v>
      </c>
      <c r="E1262" t="s">
        <v>3665</v>
      </c>
    </row>
    <row r="1263" spans="3:5" customFormat="1" ht="17.399999999999999">
      <c r="C1263" t="s">
        <v>2401</v>
      </c>
      <c r="E1263" t="s">
        <v>3666</v>
      </c>
    </row>
    <row r="1264" spans="3:5" customFormat="1" ht="17.399999999999999">
      <c r="C1264" t="s">
        <v>817</v>
      </c>
      <c r="E1264" t="s">
        <v>2402</v>
      </c>
    </row>
    <row r="1265" spans="3:5" customFormat="1" ht="17.399999999999999">
      <c r="C1265" t="s">
        <v>818</v>
      </c>
      <c r="E1265" t="s">
        <v>3667</v>
      </c>
    </row>
    <row r="1266" spans="3:5" customFormat="1" ht="17.399999999999999">
      <c r="C1266" t="s">
        <v>819</v>
      </c>
      <c r="E1266" t="s">
        <v>1387</v>
      </c>
    </row>
    <row r="1267" spans="3:5" customFormat="1" ht="17.399999999999999">
      <c r="C1267" t="s">
        <v>819</v>
      </c>
      <c r="D1267" t="s">
        <v>155</v>
      </c>
      <c r="E1267" t="s">
        <v>154</v>
      </c>
    </row>
    <row r="1268" spans="3:5" customFormat="1" ht="17.399999999999999">
      <c r="C1268" t="s">
        <v>2403</v>
      </c>
      <c r="E1268" t="s">
        <v>3668</v>
      </c>
    </row>
    <row r="1269" spans="3:5" customFormat="1" ht="17.399999999999999">
      <c r="C1269" t="s">
        <v>820</v>
      </c>
      <c r="E1269" t="s">
        <v>2031</v>
      </c>
    </row>
    <row r="1270" spans="3:5" customFormat="1" ht="17.399999999999999">
      <c r="C1270" t="s">
        <v>821</v>
      </c>
      <c r="E1270" t="s">
        <v>3669</v>
      </c>
    </row>
    <row r="1271" spans="3:5" customFormat="1" ht="17.399999999999999">
      <c r="C1271" t="s">
        <v>822</v>
      </c>
      <c r="E1271" t="s">
        <v>933</v>
      </c>
    </row>
    <row r="1272" spans="3:5" customFormat="1" ht="17.399999999999999">
      <c r="C1272" t="s">
        <v>826</v>
      </c>
      <c r="E1272" t="s">
        <v>1520</v>
      </c>
    </row>
    <row r="1273" spans="3:5" customFormat="1" ht="17.399999999999999">
      <c r="C1273" t="s">
        <v>827</v>
      </c>
      <c r="E1273" t="s">
        <v>3670</v>
      </c>
    </row>
    <row r="1274" spans="3:5" customFormat="1" ht="17.399999999999999">
      <c r="C1274" t="s">
        <v>3671</v>
      </c>
      <c r="E1274" t="s">
        <v>2803</v>
      </c>
    </row>
    <row r="1275" spans="3:5" customFormat="1" ht="17.399999999999999">
      <c r="C1275" t="s">
        <v>835</v>
      </c>
      <c r="E1275" t="s">
        <v>2139</v>
      </c>
    </row>
    <row r="1276" spans="3:5" customFormat="1" ht="17.399999999999999">
      <c r="C1276" t="s">
        <v>837</v>
      </c>
      <c r="D1276" t="s">
        <v>3672</v>
      </c>
      <c r="E1276" t="s">
        <v>2404</v>
      </c>
    </row>
    <row r="1277" spans="3:5" customFormat="1" ht="17.399999999999999">
      <c r="C1277" t="s">
        <v>2405</v>
      </c>
      <c r="D1277" t="s">
        <v>3674</v>
      </c>
      <c r="E1277" t="s">
        <v>3673</v>
      </c>
    </row>
    <row r="1278" spans="3:5" customFormat="1" ht="17.399999999999999">
      <c r="C1278" t="s">
        <v>3675</v>
      </c>
      <c r="D1278" t="s">
        <v>3677</v>
      </c>
      <c r="E1278" t="s">
        <v>3676</v>
      </c>
    </row>
    <row r="1279" spans="3:5" customFormat="1" ht="17.399999999999999">
      <c r="C1279" t="s">
        <v>840</v>
      </c>
      <c r="E1279" t="s">
        <v>3678</v>
      </c>
    </row>
    <row r="1280" spans="3:5" customFormat="1" ht="17.399999999999999">
      <c r="C1280" t="s">
        <v>2406</v>
      </c>
      <c r="E1280" t="s">
        <v>3679</v>
      </c>
    </row>
    <row r="1281" spans="3:5" customFormat="1" ht="17.399999999999999">
      <c r="C1281" t="s">
        <v>2407</v>
      </c>
      <c r="E1281" t="s">
        <v>2408</v>
      </c>
    </row>
    <row r="1282" spans="3:5" customFormat="1" ht="17.399999999999999">
      <c r="C1282" t="s">
        <v>2409</v>
      </c>
      <c r="E1282" t="s">
        <v>1060</v>
      </c>
    </row>
    <row r="1283" spans="3:5" customFormat="1" ht="17.399999999999999">
      <c r="C1283" t="s">
        <v>3680</v>
      </c>
      <c r="E1283" t="s">
        <v>3681</v>
      </c>
    </row>
    <row r="1284" spans="3:5" customFormat="1" ht="17.399999999999999">
      <c r="C1284" t="s">
        <v>4433</v>
      </c>
      <c r="D1284" t="s">
        <v>4435</v>
      </c>
      <c r="E1284" t="s">
        <v>4434</v>
      </c>
    </row>
    <row r="1285" spans="3:5" customFormat="1" ht="17.399999999999999">
      <c r="C1285" t="s">
        <v>3682</v>
      </c>
      <c r="E1285" t="s">
        <v>3683</v>
      </c>
    </row>
    <row r="1286" spans="3:5" customFormat="1" ht="17.399999999999999">
      <c r="C1286" t="s">
        <v>842</v>
      </c>
      <c r="E1286" t="s">
        <v>3684</v>
      </c>
    </row>
    <row r="1287" spans="3:5" customFormat="1" ht="17.399999999999999">
      <c r="C1287" t="s">
        <v>843</v>
      </c>
      <c r="E1287" t="s">
        <v>1366</v>
      </c>
    </row>
    <row r="1288" spans="3:5" customFormat="1" ht="17.399999999999999">
      <c r="C1288" t="s">
        <v>2410</v>
      </c>
      <c r="E1288" t="s">
        <v>2445</v>
      </c>
    </row>
    <row r="1289" spans="3:5" customFormat="1" ht="17.399999999999999">
      <c r="C1289" t="s">
        <v>845</v>
      </c>
      <c r="E1289" t="s">
        <v>3685</v>
      </c>
    </row>
    <row r="1290" spans="3:5" customFormat="1" ht="17.399999999999999">
      <c r="C1290" t="s">
        <v>846</v>
      </c>
      <c r="D1290" t="s">
        <v>560</v>
      </c>
      <c r="E1290" t="s">
        <v>2413</v>
      </c>
    </row>
    <row r="1291" spans="3:5" customFormat="1" ht="17.399999999999999">
      <c r="C1291" t="s">
        <v>703</v>
      </c>
      <c r="E1291" t="s">
        <v>2415</v>
      </c>
    </row>
    <row r="1292" spans="3:5" customFormat="1" ht="17.399999999999999">
      <c r="C1292" t="s">
        <v>704</v>
      </c>
      <c r="E1292" t="s">
        <v>3686</v>
      </c>
    </row>
    <row r="1293" spans="3:5" customFormat="1" ht="17.399999999999999">
      <c r="C1293" t="s">
        <v>707</v>
      </c>
      <c r="D1293" t="s">
        <v>708</v>
      </c>
      <c r="E1293" t="s">
        <v>2768</v>
      </c>
    </row>
    <row r="1294" spans="3:5" customFormat="1" ht="17.399999999999999">
      <c r="C1294" t="s">
        <v>707</v>
      </c>
      <c r="D1294" t="s">
        <v>708</v>
      </c>
      <c r="E1294" t="s">
        <v>2768</v>
      </c>
    </row>
    <row r="1295" spans="3:5" customFormat="1" ht="17.399999999999999">
      <c r="C1295" t="s">
        <v>709</v>
      </c>
      <c r="E1295" t="s">
        <v>712</v>
      </c>
    </row>
    <row r="1296" spans="3:5" customFormat="1" ht="17.399999999999999">
      <c r="C1296" t="s">
        <v>710</v>
      </c>
      <c r="E1296" t="s">
        <v>706</v>
      </c>
    </row>
    <row r="1297" spans="3:5" customFormat="1" ht="17.399999999999999">
      <c r="C1297" t="s">
        <v>710</v>
      </c>
      <c r="D1297" t="s">
        <v>263</v>
      </c>
      <c r="E1297" t="s">
        <v>3687</v>
      </c>
    </row>
    <row r="1298" spans="3:5" customFormat="1" ht="17.399999999999999">
      <c r="C1298" t="s">
        <v>711</v>
      </c>
      <c r="E1298" t="s">
        <v>1437</v>
      </c>
    </row>
    <row r="1299" spans="3:5" customFormat="1" ht="17.399999999999999">
      <c r="C1299" t="s">
        <v>713</v>
      </c>
      <c r="E1299" t="s">
        <v>3688</v>
      </c>
    </row>
    <row r="1300" spans="3:5" customFormat="1" ht="17.399999999999999">
      <c r="C1300" t="s">
        <v>3689</v>
      </c>
      <c r="E1300" t="s">
        <v>3690</v>
      </c>
    </row>
    <row r="1301" spans="3:5" customFormat="1" ht="17.399999999999999">
      <c r="C1301" t="s">
        <v>1052</v>
      </c>
      <c r="D1301" t="s">
        <v>1054</v>
      </c>
      <c r="E1301" t="s">
        <v>1053</v>
      </c>
    </row>
    <row r="1302" spans="3:5" customFormat="1" ht="17.399999999999999">
      <c r="C1302" t="s">
        <v>3691</v>
      </c>
      <c r="E1302" t="s">
        <v>3692</v>
      </c>
    </row>
    <row r="1303" spans="3:5" customFormat="1" ht="17.399999999999999">
      <c r="C1303" t="s">
        <v>1055</v>
      </c>
      <c r="E1303" t="s">
        <v>1056</v>
      </c>
    </row>
    <row r="1304" spans="3:5" customFormat="1" ht="17.399999999999999">
      <c r="C1304" t="s">
        <v>1057</v>
      </c>
      <c r="E1304" t="s">
        <v>3693</v>
      </c>
    </row>
    <row r="1305" spans="3:5" customFormat="1" ht="17.399999999999999">
      <c r="C1305" t="s">
        <v>1058</v>
      </c>
      <c r="E1305" t="s">
        <v>1059</v>
      </c>
    </row>
    <row r="1306" spans="3:5" customFormat="1" ht="17.399999999999999">
      <c r="C1306" t="s">
        <v>3694</v>
      </c>
      <c r="E1306" t="s">
        <v>2802</v>
      </c>
    </row>
    <row r="1307" spans="3:5" customFormat="1" ht="17.399999999999999">
      <c r="C1307" t="s">
        <v>2418</v>
      </c>
      <c r="E1307" t="s">
        <v>2482</v>
      </c>
    </row>
    <row r="1308" spans="3:5" customFormat="1" ht="17.399999999999999">
      <c r="C1308" t="s">
        <v>470</v>
      </c>
      <c r="E1308" t="s">
        <v>2478</v>
      </c>
    </row>
    <row r="1309" spans="3:5" customFormat="1" ht="17.399999999999999">
      <c r="C1309" t="s">
        <v>472</v>
      </c>
      <c r="D1309" t="s">
        <v>476</v>
      </c>
      <c r="E1309" t="s">
        <v>3695</v>
      </c>
    </row>
    <row r="1310" spans="3:5" customFormat="1" ht="17.399999999999999">
      <c r="C1310" t="s">
        <v>472</v>
      </c>
      <c r="D1310" t="s">
        <v>476</v>
      </c>
      <c r="E1310" t="s">
        <v>3696</v>
      </c>
    </row>
    <row r="1311" spans="3:5" customFormat="1" ht="17.399999999999999">
      <c r="C1311" t="s">
        <v>2419</v>
      </c>
      <c r="E1311" t="s">
        <v>1670</v>
      </c>
    </row>
    <row r="1312" spans="3:5" customFormat="1" ht="17.399999999999999">
      <c r="C1312" t="s">
        <v>2420</v>
      </c>
      <c r="E1312" t="s">
        <v>2421</v>
      </c>
    </row>
    <row r="1313" spans="3:5" customFormat="1" ht="17.399999999999999">
      <c r="C1313" t="s">
        <v>2422</v>
      </c>
      <c r="E1313" t="s">
        <v>1202</v>
      </c>
    </row>
    <row r="1314" spans="3:5" customFormat="1" ht="17.399999999999999">
      <c r="C1314" t="s">
        <v>479</v>
      </c>
      <c r="D1314" t="s">
        <v>480</v>
      </c>
      <c r="E1314" t="s">
        <v>478</v>
      </c>
    </row>
    <row r="1315" spans="3:5" customFormat="1" ht="17.399999999999999">
      <c r="C1315" t="s">
        <v>479</v>
      </c>
      <c r="D1315" t="s">
        <v>480</v>
      </c>
      <c r="E1315" t="s">
        <v>2423</v>
      </c>
    </row>
    <row r="1316" spans="3:5" customFormat="1" ht="17.399999999999999">
      <c r="C1316" t="s">
        <v>2424</v>
      </c>
      <c r="D1316" t="s">
        <v>3698</v>
      </c>
      <c r="E1316" t="s">
        <v>3697</v>
      </c>
    </row>
    <row r="1317" spans="3:5" customFormat="1" ht="17.399999999999999">
      <c r="C1317" t="s">
        <v>2425</v>
      </c>
      <c r="D1317" t="s">
        <v>2426</v>
      </c>
      <c r="E1317" t="s">
        <v>3699</v>
      </c>
    </row>
    <row r="1318" spans="3:5" customFormat="1" ht="17.399999999999999">
      <c r="C1318" t="s">
        <v>3700</v>
      </c>
      <c r="E1318" t="s">
        <v>2038</v>
      </c>
    </row>
    <row r="1319" spans="3:5" customFormat="1" ht="17.399999999999999">
      <c r="C1319" t="s">
        <v>481</v>
      </c>
      <c r="E1319" t="s">
        <v>3701</v>
      </c>
    </row>
    <row r="1320" spans="3:5" customFormat="1" ht="17.399999999999999">
      <c r="C1320" t="s">
        <v>3702</v>
      </c>
      <c r="E1320" t="s">
        <v>1652</v>
      </c>
    </row>
    <row r="1321" spans="3:5" customFormat="1" ht="17.399999999999999">
      <c r="C1321" t="s">
        <v>482</v>
      </c>
      <c r="E1321" t="s">
        <v>3703</v>
      </c>
    </row>
    <row r="1322" spans="3:5" customFormat="1" ht="17.399999999999999">
      <c r="C1322" t="s">
        <v>484</v>
      </c>
      <c r="D1322" t="s">
        <v>485</v>
      </c>
      <c r="E1322" t="s">
        <v>1021</v>
      </c>
    </row>
    <row r="1323" spans="3:5" customFormat="1" ht="17.399999999999999">
      <c r="C1323" t="s">
        <v>486</v>
      </c>
      <c r="E1323" t="s">
        <v>3704</v>
      </c>
    </row>
    <row r="1324" spans="3:5" customFormat="1" ht="17.399999999999999">
      <c r="C1324" t="s">
        <v>2427</v>
      </c>
      <c r="D1324" t="s">
        <v>1966</v>
      </c>
      <c r="E1324" t="s">
        <v>2548</v>
      </c>
    </row>
    <row r="1325" spans="3:5" customFormat="1" ht="17.399999999999999">
      <c r="C1325" t="s">
        <v>2428</v>
      </c>
      <c r="E1325" t="s">
        <v>2429</v>
      </c>
    </row>
    <row r="1326" spans="3:5" customFormat="1" ht="17.399999999999999">
      <c r="C1326" t="s">
        <v>2430</v>
      </c>
      <c r="E1326" t="s">
        <v>3705</v>
      </c>
    </row>
    <row r="1327" spans="3:5" customFormat="1" ht="17.399999999999999">
      <c r="C1327" t="s">
        <v>488</v>
      </c>
      <c r="E1327" t="s">
        <v>556</v>
      </c>
    </row>
    <row r="1328" spans="3:5" customFormat="1" ht="17.399999999999999">
      <c r="C1328" t="s">
        <v>489</v>
      </c>
      <c r="E1328" t="s">
        <v>2783</v>
      </c>
    </row>
    <row r="1329" spans="3:5" customFormat="1" ht="17.399999999999999">
      <c r="C1329" t="s">
        <v>490</v>
      </c>
      <c r="D1329" t="s">
        <v>1708</v>
      </c>
      <c r="E1329" t="s">
        <v>1755</v>
      </c>
    </row>
    <row r="1330" spans="3:5" customFormat="1" ht="17.399999999999999">
      <c r="C1330" t="s">
        <v>491</v>
      </c>
      <c r="E1330" t="s">
        <v>1017</v>
      </c>
    </row>
    <row r="1331" spans="3:5" customFormat="1" ht="17.399999999999999">
      <c r="C1331" t="s">
        <v>491</v>
      </c>
      <c r="D1331" t="s">
        <v>483</v>
      </c>
      <c r="E1331" t="s">
        <v>1854</v>
      </c>
    </row>
    <row r="1332" spans="3:5" customFormat="1" ht="17.399999999999999">
      <c r="C1332" t="s">
        <v>2431</v>
      </c>
      <c r="E1332" t="s">
        <v>2743</v>
      </c>
    </row>
    <row r="1333" spans="3:5" customFormat="1" ht="17.399999999999999">
      <c r="C1333" t="s">
        <v>3706</v>
      </c>
      <c r="E1333" t="s">
        <v>3707</v>
      </c>
    </row>
    <row r="1334" spans="3:5" customFormat="1" ht="17.399999999999999">
      <c r="C1334" t="s">
        <v>492</v>
      </c>
      <c r="E1334" t="s">
        <v>493</v>
      </c>
    </row>
    <row r="1335" spans="3:5" customFormat="1" ht="17.399999999999999">
      <c r="C1335" t="s">
        <v>548</v>
      </c>
      <c r="E1335" t="s">
        <v>2057</v>
      </c>
    </row>
    <row r="1336" spans="3:5" customFormat="1" ht="17.399999999999999">
      <c r="C1336" t="s">
        <v>2432</v>
      </c>
      <c r="D1336" t="s">
        <v>2037</v>
      </c>
      <c r="E1336" t="s">
        <v>3708</v>
      </c>
    </row>
    <row r="1337" spans="3:5" customFormat="1" ht="17.399999999999999">
      <c r="C1337" t="s">
        <v>3709</v>
      </c>
      <c r="E1337" t="s">
        <v>3710</v>
      </c>
    </row>
    <row r="1338" spans="3:5" customFormat="1" ht="17.399999999999999">
      <c r="C1338" t="s">
        <v>550</v>
      </c>
      <c r="E1338" t="s">
        <v>1396</v>
      </c>
    </row>
    <row r="1339" spans="3:5" customFormat="1" ht="17.399999999999999">
      <c r="C1339" t="s">
        <v>3711</v>
      </c>
      <c r="E1339" t="s">
        <v>3712</v>
      </c>
    </row>
    <row r="1340" spans="3:5" customFormat="1" ht="17.399999999999999">
      <c r="C1340" t="s">
        <v>551</v>
      </c>
      <c r="E1340" t="s">
        <v>2712</v>
      </c>
    </row>
    <row r="1341" spans="3:5" customFormat="1" ht="17.399999999999999">
      <c r="C1341" t="s">
        <v>3713</v>
      </c>
      <c r="E1341" t="s">
        <v>3714</v>
      </c>
    </row>
    <row r="1342" spans="3:5" customFormat="1" ht="17.399999999999999">
      <c r="C1342" t="s">
        <v>3715</v>
      </c>
      <c r="E1342" t="s">
        <v>3716</v>
      </c>
    </row>
    <row r="1343" spans="3:5" customFormat="1" ht="17.399999999999999">
      <c r="C1343" t="s">
        <v>3717</v>
      </c>
      <c r="E1343" t="s">
        <v>3718</v>
      </c>
    </row>
    <row r="1344" spans="3:5" customFormat="1" ht="17.399999999999999">
      <c r="C1344" t="s">
        <v>3719</v>
      </c>
      <c r="E1344" t="s">
        <v>3720</v>
      </c>
    </row>
    <row r="1345" spans="3:5" customFormat="1" ht="17.399999999999999">
      <c r="C1345" t="s">
        <v>553</v>
      </c>
      <c r="E1345" t="s">
        <v>2433</v>
      </c>
    </row>
    <row r="1346" spans="3:5" customFormat="1" ht="17.399999999999999">
      <c r="C1346" t="s">
        <v>554</v>
      </c>
      <c r="E1346" t="s">
        <v>555</v>
      </c>
    </row>
    <row r="1347" spans="3:5" customFormat="1" ht="17.399999999999999">
      <c r="C1347" t="s">
        <v>756</v>
      </c>
      <c r="D1347" t="s">
        <v>757</v>
      </c>
      <c r="E1347" t="s">
        <v>2434</v>
      </c>
    </row>
    <row r="1348" spans="3:5" customFormat="1" ht="17.399999999999999">
      <c r="C1348" t="s">
        <v>3721</v>
      </c>
      <c r="E1348" t="s">
        <v>3722</v>
      </c>
    </row>
    <row r="1349" spans="3:5" customFormat="1" ht="17.399999999999999">
      <c r="C1349" t="s">
        <v>2435</v>
      </c>
      <c r="E1349" t="s">
        <v>2812</v>
      </c>
    </row>
    <row r="1350" spans="3:5" customFormat="1" ht="17.399999999999999">
      <c r="C1350" t="s">
        <v>758</v>
      </c>
      <c r="D1350" t="s">
        <v>760</v>
      </c>
      <c r="E1350" t="s">
        <v>825</v>
      </c>
    </row>
    <row r="1351" spans="3:5" customFormat="1" ht="17.399999999999999">
      <c r="C1351" t="s">
        <v>758</v>
      </c>
      <c r="D1351" t="s">
        <v>760</v>
      </c>
      <c r="E1351" t="s">
        <v>1449</v>
      </c>
    </row>
    <row r="1352" spans="3:5" customFormat="1" ht="17.399999999999999">
      <c r="C1352" t="s">
        <v>3723</v>
      </c>
      <c r="D1352" t="s">
        <v>3724</v>
      </c>
      <c r="E1352" t="s">
        <v>626</v>
      </c>
    </row>
    <row r="1353" spans="3:5" customFormat="1" ht="17.399999999999999">
      <c r="C1353" t="s">
        <v>761</v>
      </c>
      <c r="E1353" t="s">
        <v>2145</v>
      </c>
    </row>
    <row r="1354" spans="3:5" customFormat="1" ht="17.399999999999999">
      <c r="C1354" t="s">
        <v>3725</v>
      </c>
      <c r="E1354" t="s">
        <v>3726</v>
      </c>
    </row>
    <row r="1355" spans="3:5" customFormat="1" ht="17.399999999999999">
      <c r="C1355" t="s">
        <v>372</v>
      </c>
      <c r="E1355" t="s">
        <v>2437</v>
      </c>
    </row>
    <row r="1356" spans="3:5" customFormat="1" ht="17.399999999999999">
      <c r="C1356" t="s">
        <v>3727</v>
      </c>
      <c r="E1356" t="s">
        <v>3728</v>
      </c>
    </row>
    <row r="1357" spans="3:5" customFormat="1" ht="17.399999999999999">
      <c r="C1357" t="s">
        <v>3729</v>
      </c>
      <c r="E1357" t="s">
        <v>3730</v>
      </c>
    </row>
    <row r="1358" spans="3:5" customFormat="1" ht="17.399999999999999">
      <c r="C1358" t="s">
        <v>3731</v>
      </c>
      <c r="D1358" t="s">
        <v>3733</v>
      </c>
      <c r="E1358" t="s">
        <v>3732</v>
      </c>
    </row>
    <row r="1359" spans="3:5" customFormat="1" ht="17.399999999999999">
      <c r="C1359" t="s">
        <v>3734</v>
      </c>
      <c r="E1359" t="s">
        <v>3735</v>
      </c>
    </row>
    <row r="1360" spans="3:5" customFormat="1" ht="17.399999999999999">
      <c r="C1360" t="s">
        <v>762</v>
      </c>
      <c r="D1360" t="s">
        <v>4437</v>
      </c>
      <c r="E1360" t="s">
        <v>4436</v>
      </c>
    </row>
    <row r="1361" spans="3:5" customFormat="1" ht="17.399999999999999">
      <c r="C1361" t="s">
        <v>763</v>
      </c>
      <c r="D1361" t="s">
        <v>3736</v>
      </c>
      <c r="E1361" t="s">
        <v>764</v>
      </c>
    </row>
    <row r="1362" spans="3:5" customFormat="1" ht="17.399999999999999">
      <c r="C1362" t="s">
        <v>3737</v>
      </c>
      <c r="E1362" t="s">
        <v>3738</v>
      </c>
    </row>
    <row r="1363" spans="3:5" customFormat="1" ht="17.399999999999999">
      <c r="C1363" t="s">
        <v>373</v>
      </c>
      <c r="E1363" t="s">
        <v>2776</v>
      </c>
    </row>
    <row r="1364" spans="3:5" customFormat="1" ht="17.399999999999999">
      <c r="C1364" t="s">
        <v>765</v>
      </c>
      <c r="E1364" t="s">
        <v>72</v>
      </c>
    </row>
    <row r="1365" spans="3:5" customFormat="1" ht="17.399999999999999">
      <c r="C1365" t="s">
        <v>766</v>
      </c>
      <c r="E1365" t="s">
        <v>3739</v>
      </c>
    </row>
    <row r="1366" spans="3:5" customFormat="1" ht="17.399999999999999">
      <c r="C1366" t="s">
        <v>767</v>
      </c>
      <c r="D1366" t="s">
        <v>769</v>
      </c>
      <c r="E1366" t="s">
        <v>768</v>
      </c>
    </row>
    <row r="1367" spans="3:5" customFormat="1" ht="17.399999999999999">
      <c r="C1367" t="s">
        <v>3740</v>
      </c>
      <c r="E1367" t="s">
        <v>3741</v>
      </c>
    </row>
    <row r="1368" spans="3:5" customFormat="1" ht="17.399999999999999">
      <c r="C1368" t="s">
        <v>2819</v>
      </c>
      <c r="E1368" t="s">
        <v>3742</v>
      </c>
    </row>
    <row r="1369" spans="3:5" customFormat="1" ht="17.399999999999999">
      <c r="C1369" t="s">
        <v>3743</v>
      </c>
      <c r="E1369" t="s">
        <v>3744</v>
      </c>
    </row>
    <row r="1370" spans="3:5" customFormat="1" ht="17.399999999999999">
      <c r="C1370" t="s">
        <v>770</v>
      </c>
      <c r="E1370" t="s">
        <v>771</v>
      </c>
    </row>
    <row r="1371" spans="3:5" customFormat="1" ht="17.399999999999999">
      <c r="C1371" t="s">
        <v>772</v>
      </c>
      <c r="D1371" t="s">
        <v>773</v>
      </c>
      <c r="E1371" t="s">
        <v>2734</v>
      </c>
    </row>
    <row r="1372" spans="3:5" customFormat="1" ht="17.399999999999999">
      <c r="C1372" t="s">
        <v>774</v>
      </c>
      <c r="E1372" t="s">
        <v>3745</v>
      </c>
    </row>
    <row r="1373" spans="3:5" customFormat="1" ht="17.399999999999999">
      <c r="C1373" t="s">
        <v>2438</v>
      </c>
      <c r="E1373" t="s">
        <v>3746</v>
      </c>
    </row>
    <row r="1374" spans="3:5" customFormat="1" ht="17.399999999999999">
      <c r="C1374" t="s">
        <v>3747</v>
      </c>
      <c r="E1374" t="s">
        <v>1229</v>
      </c>
    </row>
    <row r="1375" spans="3:5" customFormat="1" ht="17.399999999999999">
      <c r="C1375" t="s">
        <v>2439</v>
      </c>
      <c r="D1375" t="s">
        <v>3748</v>
      </c>
      <c r="E1375" t="s">
        <v>2440</v>
      </c>
    </row>
    <row r="1376" spans="3:5" customFormat="1" ht="17.399999999999999">
      <c r="C1376" t="s">
        <v>775</v>
      </c>
      <c r="E1376" t="s">
        <v>225</v>
      </c>
    </row>
    <row r="1377" spans="3:5" customFormat="1" ht="17.399999999999999">
      <c r="C1377" t="s">
        <v>776</v>
      </c>
      <c r="E1377" t="s">
        <v>974</v>
      </c>
    </row>
    <row r="1378" spans="3:5" customFormat="1" ht="17.399999999999999">
      <c r="C1378" t="s">
        <v>777</v>
      </c>
      <c r="E1378" t="s">
        <v>2462</v>
      </c>
    </row>
    <row r="1379" spans="3:5" customFormat="1" ht="17.399999999999999">
      <c r="C1379" t="s">
        <v>2441</v>
      </c>
      <c r="E1379" t="s">
        <v>2661</v>
      </c>
    </row>
    <row r="1380" spans="3:5" customFormat="1" ht="17.399999999999999">
      <c r="C1380" t="s">
        <v>3749</v>
      </c>
      <c r="E1380" t="s">
        <v>3750</v>
      </c>
    </row>
    <row r="1381" spans="3:5" customFormat="1" ht="17.399999999999999">
      <c r="C1381" t="s">
        <v>2442</v>
      </c>
      <c r="E1381" t="s">
        <v>3751</v>
      </c>
    </row>
    <row r="1382" spans="3:5" customFormat="1" ht="17.399999999999999">
      <c r="C1382" t="s">
        <v>778</v>
      </c>
      <c r="E1382" t="s">
        <v>1889</v>
      </c>
    </row>
    <row r="1383" spans="3:5" customFormat="1" ht="17.399999999999999">
      <c r="C1383" t="s">
        <v>2443</v>
      </c>
      <c r="E1383" t="s">
        <v>3752</v>
      </c>
    </row>
    <row r="1384" spans="3:5" customFormat="1" ht="17.399999999999999">
      <c r="C1384" t="s">
        <v>779</v>
      </c>
      <c r="D1384" t="s">
        <v>2550</v>
      </c>
      <c r="E1384" t="s">
        <v>2228</v>
      </c>
    </row>
    <row r="1385" spans="3:5" customFormat="1" ht="17.399999999999999">
      <c r="C1385" t="s">
        <v>2444</v>
      </c>
      <c r="E1385" t="s">
        <v>3753</v>
      </c>
    </row>
    <row r="1386" spans="3:5" customFormat="1" ht="17.399999999999999">
      <c r="C1386" t="s">
        <v>2446</v>
      </c>
      <c r="E1386" t="s">
        <v>1036</v>
      </c>
    </row>
    <row r="1387" spans="3:5" customFormat="1" ht="17.399999999999999">
      <c r="C1387" t="s">
        <v>829</v>
      </c>
      <c r="E1387" t="s">
        <v>830</v>
      </c>
    </row>
    <row r="1388" spans="3:5" customFormat="1" ht="17.399999999999999">
      <c r="C1388" t="s">
        <v>831</v>
      </c>
      <c r="E1388" t="s">
        <v>587</v>
      </c>
    </row>
    <row r="1389" spans="3:5" customFormat="1" ht="17.399999999999999">
      <c r="C1389" t="s">
        <v>832</v>
      </c>
      <c r="E1389" t="s">
        <v>1391</v>
      </c>
    </row>
    <row r="1390" spans="3:5" customFormat="1" ht="17.399999999999999">
      <c r="C1390" t="s">
        <v>833</v>
      </c>
      <c r="D1390" t="s">
        <v>1582</v>
      </c>
      <c r="E1390" t="s">
        <v>834</v>
      </c>
    </row>
    <row r="1391" spans="3:5" customFormat="1" ht="17.399999999999999">
      <c r="C1391" t="s">
        <v>2447</v>
      </c>
      <c r="E1391" t="s">
        <v>3754</v>
      </c>
    </row>
    <row r="1392" spans="3:5" customFormat="1" ht="17.399999999999999">
      <c r="C1392" t="s">
        <v>684</v>
      </c>
      <c r="D1392" t="s">
        <v>686</v>
      </c>
      <c r="E1392" t="s">
        <v>685</v>
      </c>
    </row>
    <row r="1393" spans="3:5" customFormat="1" ht="17.399999999999999">
      <c r="C1393" t="s">
        <v>801</v>
      </c>
      <c r="E1393" t="s">
        <v>2448</v>
      </c>
    </row>
    <row r="1394" spans="3:5" customFormat="1" ht="17.399999999999999">
      <c r="C1394" t="s">
        <v>1007</v>
      </c>
      <c r="E1394" t="s">
        <v>953</v>
      </c>
    </row>
    <row r="1395" spans="3:5" customFormat="1" ht="17.399999999999999">
      <c r="C1395" t="s">
        <v>3755</v>
      </c>
      <c r="E1395" t="s">
        <v>3756</v>
      </c>
    </row>
    <row r="1396" spans="3:5" customFormat="1" ht="17.399999999999999">
      <c r="C1396" t="s">
        <v>2450</v>
      </c>
      <c r="E1396" t="s">
        <v>3757</v>
      </c>
    </row>
    <row r="1397" spans="3:5" customFormat="1" ht="17.399999999999999">
      <c r="C1397" t="s">
        <v>1008</v>
      </c>
      <c r="D1397" t="s">
        <v>3758</v>
      </c>
      <c r="E1397" t="s">
        <v>1009</v>
      </c>
    </row>
    <row r="1398" spans="3:5" customFormat="1" ht="17.399999999999999">
      <c r="C1398" t="s">
        <v>2451</v>
      </c>
      <c r="E1398" t="s">
        <v>3759</v>
      </c>
    </row>
    <row r="1399" spans="3:5" customFormat="1" ht="17.399999999999999">
      <c r="C1399" t="s">
        <v>2452</v>
      </c>
      <c r="E1399" t="s">
        <v>2512</v>
      </c>
    </row>
    <row r="1400" spans="3:5" customFormat="1" ht="17.399999999999999">
      <c r="C1400" t="s">
        <v>1010</v>
      </c>
      <c r="E1400" t="s">
        <v>1605</v>
      </c>
    </row>
    <row r="1401" spans="3:5" customFormat="1" ht="17.399999999999999">
      <c r="C1401" t="s">
        <v>1010</v>
      </c>
      <c r="D1401" t="s">
        <v>1011</v>
      </c>
      <c r="E1401" t="s">
        <v>2453</v>
      </c>
    </row>
    <row r="1402" spans="3:5" customFormat="1" ht="17.399999999999999">
      <c r="C1402" t="s">
        <v>1012</v>
      </c>
      <c r="D1402" t="s">
        <v>4439</v>
      </c>
      <c r="E1402" t="s">
        <v>4438</v>
      </c>
    </row>
    <row r="1403" spans="3:5" customFormat="1" ht="17.399999999999999">
      <c r="C1403" t="s">
        <v>1014</v>
      </c>
      <c r="E1403" t="s">
        <v>748</v>
      </c>
    </row>
    <row r="1404" spans="3:5" customFormat="1" ht="17.399999999999999">
      <c r="C1404" t="s">
        <v>4440</v>
      </c>
      <c r="D1404" t="s">
        <v>4442</v>
      </c>
      <c r="E1404" t="s">
        <v>4441</v>
      </c>
    </row>
    <row r="1405" spans="3:5" customFormat="1" ht="17.399999999999999">
      <c r="C1405" t="s">
        <v>1016</v>
      </c>
      <c r="D1405" t="s">
        <v>1018</v>
      </c>
      <c r="E1405" t="s">
        <v>3760</v>
      </c>
    </row>
    <row r="1406" spans="3:5" customFormat="1" ht="17.399999999999999">
      <c r="C1406" t="s">
        <v>1019</v>
      </c>
      <c r="D1406" t="s">
        <v>2455</v>
      </c>
      <c r="E1406" t="s">
        <v>1249</v>
      </c>
    </row>
    <row r="1407" spans="3:5" customFormat="1" ht="17.399999999999999">
      <c r="C1407" t="s">
        <v>3761</v>
      </c>
      <c r="E1407" t="s">
        <v>3762</v>
      </c>
    </row>
    <row r="1408" spans="3:5" customFormat="1" ht="17.399999999999999">
      <c r="C1408" t="s">
        <v>2456</v>
      </c>
      <c r="E1408" t="s">
        <v>2457</v>
      </c>
    </row>
    <row r="1409" spans="3:5" customFormat="1" ht="17.399999999999999">
      <c r="C1409" t="s">
        <v>3763</v>
      </c>
      <c r="E1409" t="s">
        <v>2757</v>
      </c>
    </row>
    <row r="1410" spans="3:5" customFormat="1" ht="17.399999999999999">
      <c r="C1410" t="s">
        <v>1020</v>
      </c>
      <c r="E1410" t="s">
        <v>375</v>
      </c>
    </row>
    <row r="1411" spans="3:5" customFormat="1" ht="17.399999999999999">
      <c r="C1411" t="s">
        <v>3764</v>
      </c>
      <c r="E1411" t="s">
        <v>1814</v>
      </c>
    </row>
    <row r="1412" spans="3:5" customFormat="1" ht="17.399999999999999">
      <c r="C1412" t="s">
        <v>2458</v>
      </c>
      <c r="E1412" t="s">
        <v>3765</v>
      </c>
    </row>
    <row r="1413" spans="3:5" customFormat="1" ht="17.399999999999999">
      <c r="C1413" t="s">
        <v>2459</v>
      </c>
      <c r="E1413" t="s">
        <v>3766</v>
      </c>
    </row>
    <row r="1414" spans="3:5" customFormat="1" ht="17.399999999999999">
      <c r="C1414" t="s">
        <v>2460</v>
      </c>
      <c r="E1414" t="s">
        <v>3767</v>
      </c>
    </row>
    <row r="1415" spans="3:5" customFormat="1" ht="17.399999999999999">
      <c r="C1415" t="s">
        <v>2461</v>
      </c>
      <c r="E1415" t="s">
        <v>2583</v>
      </c>
    </row>
    <row r="1416" spans="3:5" customFormat="1" ht="17.399999999999999">
      <c r="C1416" t="s">
        <v>3768</v>
      </c>
      <c r="D1416" t="s">
        <v>2331</v>
      </c>
      <c r="E1416" t="s">
        <v>2331</v>
      </c>
    </row>
    <row r="1417" spans="3:5" customFormat="1" ht="17.399999999999999">
      <c r="C1417" t="s">
        <v>1022</v>
      </c>
      <c r="E1417" t="s">
        <v>1168</v>
      </c>
    </row>
    <row r="1418" spans="3:5" customFormat="1" ht="17.399999999999999">
      <c r="C1418" t="s">
        <v>3769</v>
      </c>
      <c r="E1418" t="s">
        <v>3770</v>
      </c>
    </row>
    <row r="1419" spans="3:5" customFormat="1" ht="17.399999999999999">
      <c r="C1419" t="s">
        <v>2463</v>
      </c>
      <c r="D1419" t="s">
        <v>2386</v>
      </c>
      <c r="E1419" t="s">
        <v>4443</v>
      </c>
    </row>
    <row r="1420" spans="3:5" customFormat="1" ht="17.399999999999999">
      <c r="C1420" t="s">
        <v>3771</v>
      </c>
      <c r="E1420" t="s">
        <v>3772</v>
      </c>
    </row>
    <row r="1421" spans="3:5" customFormat="1" ht="17.399999999999999">
      <c r="C1421" t="s">
        <v>2464</v>
      </c>
      <c r="E1421" t="s">
        <v>2465</v>
      </c>
    </row>
    <row r="1422" spans="3:5" customFormat="1" ht="17.399999999999999">
      <c r="C1422" t="s">
        <v>1023</v>
      </c>
      <c r="D1422" t="s">
        <v>312</v>
      </c>
      <c r="E1422" t="s">
        <v>2466</v>
      </c>
    </row>
    <row r="1423" spans="3:5" customFormat="1" ht="17.399999999999999">
      <c r="C1423" t="s">
        <v>1024</v>
      </c>
      <c r="D1423" t="s">
        <v>1026</v>
      </c>
      <c r="E1423" t="s">
        <v>2079</v>
      </c>
    </row>
    <row r="1424" spans="3:5" customFormat="1" ht="17.399999999999999">
      <c r="C1424" t="s">
        <v>1024</v>
      </c>
      <c r="D1424" t="s">
        <v>1026</v>
      </c>
      <c r="E1424" t="s">
        <v>1025</v>
      </c>
    </row>
    <row r="1425" spans="3:5" customFormat="1" ht="17.399999999999999">
      <c r="C1425" t="s">
        <v>1027</v>
      </c>
      <c r="E1425" t="s">
        <v>639</v>
      </c>
    </row>
    <row r="1426" spans="3:5" customFormat="1" ht="17.399999999999999">
      <c r="C1426" t="s">
        <v>1028</v>
      </c>
      <c r="D1426" t="s">
        <v>1030</v>
      </c>
      <c r="E1426" t="s">
        <v>1029</v>
      </c>
    </row>
    <row r="1427" spans="3:5" customFormat="1" ht="17.399999999999999">
      <c r="C1427" t="s">
        <v>1028</v>
      </c>
      <c r="D1427" t="s">
        <v>1030</v>
      </c>
      <c r="E1427" t="s">
        <v>2398</v>
      </c>
    </row>
    <row r="1428" spans="3:5" customFormat="1" ht="17.399999999999999">
      <c r="C1428" t="s">
        <v>1032</v>
      </c>
      <c r="E1428" t="s">
        <v>1033</v>
      </c>
    </row>
    <row r="1429" spans="3:5" customFormat="1" ht="17.399999999999999">
      <c r="C1429" t="s">
        <v>3773</v>
      </c>
      <c r="E1429" t="s">
        <v>3774</v>
      </c>
    </row>
    <row r="1430" spans="3:5" customFormat="1" ht="17.399999999999999">
      <c r="C1430" t="s">
        <v>1034</v>
      </c>
      <c r="E1430" t="s">
        <v>428</v>
      </c>
    </row>
    <row r="1431" spans="3:5" customFormat="1" ht="17.399999999999999">
      <c r="C1431" t="s">
        <v>1035</v>
      </c>
      <c r="E1431" t="s">
        <v>194</v>
      </c>
    </row>
    <row r="1432" spans="3:5" customFormat="1" ht="17.399999999999999">
      <c r="C1432" t="s">
        <v>1037</v>
      </c>
      <c r="E1432" t="s">
        <v>475</v>
      </c>
    </row>
    <row r="1433" spans="3:5" customFormat="1" ht="17.399999999999999">
      <c r="C1433" t="s">
        <v>1038</v>
      </c>
      <c r="E1433" t="s">
        <v>2648</v>
      </c>
    </row>
    <row r="1434" spans="3:5" customFormat="1" ht="17.399999999999999">
      <c r="C1434" t="s">
        <v>1039</v>
      </c>
      <c r="E1434" t="s">
        <v>3775</v>
      </c>
    </row>
    <row r="1435" spans="3:5" customFormat="1" ht="17.399999999999999">
      <c r="C1435" t="s">
        <v>2467</v>
      </c>
      <c r="E1435" t="s">
        <v>450</v>
      </c>
    </row>
    <row r="1436" spans="3:5" customFormat="1" ht="17.399999999999999">
      <c r="C1436" t="s">
        <v>1042</v>
      </c>
      <c r="D1436" t="s">
        <v>1044</v>
      </c>
      <c r="E1436" t="s">
        <v>1043</v>
      </c>
    </row>
    <row r="1437" spans="3:5" customFormat="1" ht="17.399999999999999">
      <c r="C1437" t="s">
        <v>1046</v>
      </c>
      <c r="E1437" t="s">
        <v>975</v>
      </c>
    </row>
    <row r="1438" spans="3:5" customFormat="1" ht="17.399999999999999">
      <c r="C1438" t="s">
        <v>1047</v>
      </c>
      <c r="E1438" t="s">
        <v>1048</v>
      </c>
    </row>
    <row r="1439" spans="3:5" customFormat="1" ht="17.399999999999999">
      <c r="C1439" t="s">
        <v>1049</v>
      </c>
      <c r="E1439" t="s">
        <v>3776</v>
      </c>
    </row>
    <row r="1440" spans="3:5" customFormat="1" ht="17.399999999999999">
      <c r="C1440" t="s">
        <v>1050</v>
      </c>
      <c r="E1440" t="s">
        <v>3777</v>
      </c>
    </row>
    <row r="1441" spans="3:5" customFormat="1" ht="17.399999999999999">
      <c r="C1441" t="s">
        <v>2470</v>
      </c>
      <c r="E1441" t="s">
        <v>2471</v>
      </c>
    </row>
    <row r="1442" spans="3:5" customFormat="1" ht="17.399999999999999">
      <c r="C1442" t="s">
        <v>3778</v>
      </c>
      <c r="E1442" t="s">
        <v>3779</v>
      </c>
    </row>
    <row r="1443" spans="3:5" customFormat="1" ht="17.399999999999999">
      <c r="C1443" t="s">
        <v>782</v>
      </c>
      <c r="E1443" t="s">
        <v>3780</v>
      </c>
    </row>
    <row r="1444" spans="3:5" customFormat="1" ht="17.399999999999999">
      <c r="C1444" t="s">
        <v>3781</v>
      </c>
      <c r="E1444" t="s">
        <v>3782</v>
      </c>
    </row>
    <row r="1445" spans="3:5" customFormat="1" ht="17.399999999999999">
      <c r="C1445" t="s">
        <v>2472</v>
      </c>
      <c r="E1445" t="s">
        <v>2473</v>
      </c>
    </row>
    <row r="1446" spans="3:5" customFormat="1" ht="17.399999999999999">
      <c r="C1446" t="s">
        <v>2474</v>
      </c>
      <c r="E1446" t="s">
        <v>3783</v>
      </c>
    </row>
    <row r="1447" spans="3:5" customFormat="1" ht="17.399999999999999">
      <c r="C1447" t="s">
        <v>784</v>
      </c>
      <c r="E1447" t="s">
        <v>2676</v>
      </c>
    </row>
    <row r="1448" spans="3:5" customFormat="1" ht="17.399999999999999">
      <c r="C1448" t="s">
        <v>785</v>
      </c>
      <c r="D1448" t="s">
        <v>787</v>
      </c>
      <c r="E1448" t="s">
        <v>3784</v>
      </c>
    </row>
    <row r="1449" spans="3:5" customFormat="1" ht="17.399999999999999">
      <c r="C1449" t="s">
        <v>3785</v>
      </c>
      <c r="E1449" t="s">
        <v>3786</v>
      </c>
    </row>
    <row r="1450" spans="3:5" customFormat="1" ht="17.399999999999999">
      <c r="C1450" t="s">
        <v>790</v>
      </c>
      <c r="D1450" t="s">
        <v>3788</v>
      </c>
      <c r="E1450" t="s">
        <v>3787</v>
      </c>
    </row>
    <row r="1451" spans="3:5" customFormat="1" ht="17.399999999999999">
      <c r="C1451" t="s">
        <v>792</v>
      </c>
      <c r="E1451" t="s">
        <v>3789</v>
      </c>
    </row>
    <row r="1452" spans="3:5" customFormat="1" ht="17.399999999999999">
      <c r="C1452" t="s">
        <v>793</v>
      </c>
      <c r="E1452" t="s">
        <v>3790</v>
      </c>
    </row>
    <row r="1453" spans="3:5" customFormat="1" ht="17.399999999999999">
      <c r="C1453" t="s">
        <v>794</v>
      </c>
      <c r="D1453" t="s">
        <v>3791</v>
      </c>
      <c r="E1453" t="s">
        <v>1345</v>
      </c>
    </row>
    <row r="1454" spans="3:5" customFormat="1" ht="17.399999999999999">
      <c r="C1454" t="s">
        <v>795</v>
      </c>
      <c r="D1454" t="s">
        <v>3791</v>
      </c>
      <c r="E1454" t="s">
        <v>3792</v>
      </c>
    </row>
    <row r="1455" spans="3:5" customFormat="1" ht="17.399999999999999">
      <c r="C1455" t="s">
        <v>796</v>
      </c>
      <c r="E1455" t="s">
        <v>788</v>
      </c>
    </row>
    <row r="1456" spans="3:5" customFormat="1" ht="17.399999999999999">
      <c r="C1456" t="s">
        <v>798</v>
      </c>
      <c r="E1456" t="s">
        <v>2782</v>
      </c>
    </row>
    <row r="1457" spans="3:5" customFormat="1" ht="17.399999999999999">
      <c r="C1457" t="s">
        <v>799</v>
      </c>
      <c r="E1457" t="s">
        <v>800</v>
      </c>
    </row>
    <row r="1458" spans="3:5" customFormat="1" ht="17.399999999999999">
      <c r="C1458" t="s">
        <v>702</v>
      </c>
      <c r="E1458" t="s">
        <v>3793</v>
      </c>
    </row>
    <row r="1459" spans="3:5" customFormat="1" ht="17.399999999999999">
      <c r="C1459" t="s">
        <v>536</v>
      </c>
      <c r="E1459" t="s">
        <v>535</v>
      </c>
    </row>
    <row r="1460" spans="3:5" customFormat="1" ht="17.399999999999999">
      <c r="C1460" t="s">
        <v>536</v>
      </c>
      <c r="D1460" t="s">
        <v>3794</v>
      </c>
      <c r="E1460" t="s">
        <v>2337</v>
      </c>
    </row>
    <row r="1461" spans="3:5" customFormat="1" ht="17.399999999999999">
      <c r="C1461" t="s">
        <v>537</v>
      </c>
      <c r="E1461" t="s">
        <v>913</v>
      </c>
    </row>
    <row r="1462" spans="3:5" customFormat="1" ht="17.399999999999999">
      <c r="C1462" t="s">
        <v>3795</v>
      </c>
      <c r="E1462" t="s">
        <v>3796</v>
      </c>
    </row>
    <row r="1463" spans="3:5" customFormat="1" ht="17.399999999999999">
      <c r="C1463" t="s">
        <v>538</v>
      </c>
      <c r="E1463" t="s">
        <v>3797</v>
      </c>
    </row>
    <row r="1464" spans="3:5" customFormat="1" ht="17.399999999999999">
      <c r="C1464" t="s">
        <v>539</v>
      </c>
      <c r="E1464" t="s">
        <v>2001</v>
      </c>
    </row>
    <row r="1465" spans="3:5" customFormat="1" ht="17.399999999999999">
      <c r="C1465" t="s">
        <v>540</v>
      </c>
      <c r="D1465" t="s">
        <v>3798</v>
      </c>
      <c r="E1465" t="s">
        <v>1564</v>
      </c>
    </row>
    <row r="1466" spans="3:5" customFormat="1" ht="17.399999999999999">
      <c r="C1466" t="s">
        <v>4444</v>
      </c>
      <c r="D1466" t="s">
        <v>4446</v>
      </c>
      <c r="E1466" t="s">
        <v>4445</v>
      </c>
    </row>
    <row r="1467" spans="3:5" customFormat="1" ht="17.399999999999999">
      <c r="C1467" t="s">
        <v>542</v>
      </c>
      <c r="E1467" t="s">
        <v>543</v>
      </c>
    </row>
    <row r="1468" spans="3:5" customFormat="1" ht="17.399999999999999">
      <c r="C1468" t="s">
        <v>544</v>
      </c>
      <c r="E1468" t="s">
        <v>545</v>
      </c>
    </row>
    <row r="1469" spans="3:5" customFormat="1" ht="17.399999999999999">
      <c r="C1469" t="s">
        <v>546</v>
      </c>
      <c r="E1469" t="s">
        <v>1062</v>
      </c>
    </row>
    <row r="1470" spans="3:5" customFormat="1" ht="17.399999999999999">
      <c r="C1470" t="s">
        <v>1563</v>
      </c>
      <c r="E1470" t="s">
        <v>3799</v>
      </c>
    </row>
    <row r="1471" spans="3:5" customFormat="1" ht="17.399999999999999">
      <c r="C1471" t="s">
        <v>1563</v>
      </c>
      <c r="D1471" t="s">
        <v>3800</v>
      </c>
      <c r="E1471" t="s">
        <v>2729</v>
      </c>
    </row>
    <row r="1472" spans="3:5" customFormat="1" ht="17.399999999999999">
      <c r="C1472" t="s">
        <v>1565</v>
      </c>
      <c r="E1472" t="s">
        <v>714</v>
      </c>
    </row>
    <row r="1473" spans="3:5" customFormat="1" ht="17.399999999999999">
      <c r="C1473" t="s">
        <v>1566</v>
      </c>
      <c r="E1473" t="s">
        <v>2479</v>
      </c>
    </row>
    <row r="1474" spans="3:5" customFormat="1" ht="17.399999999999999">
      <c r="C1474" t="s">
        <v>2480</v>
      </c>
      <c r="E1474" t="s">
        <v>2755</v>
      </c>
    </row>
    <row r="1475" spans="3:5" customFormat="1" ht="17.399999999999999">
      <c r="C1475" t="s">
        <v>3801</v>
      </c>
      <c r="E1475" t="s">
        <v>3802</v>
      </c>
    </row>
    <row r="1476" spans="3:5" customFormat="1" ht="17.399999999999999">
      <c r="C1476" t="s">
        <v>2481</v>
      </c>
      <c r="E1476" t="s">
        <v>3803</v>
      </c>
    </row>
    <row r="1477" spans="3:5" customFormat="1" ht="17.399999999999999">
      <c r="C1477" t="s">
        <v>3804</v>
      </c>
      <c r="E1477" t="s">
        <v>3805</v>
      </c>
    </row>
    <row r="1478" spans="3:5" customFormat="1" ht="17.399999999999999">
      <c r="C1478" t="s">
        <v>3806</v>
      </c>
      <c r="E1478" t="s">
        <v>3807</v>
      </c>
    </row>
    <row r="1479" spans="3:5" customFormat="1" ht="17.399999999999999">
      <c r="C1479" t="s">
        <v>1568</v>
      </c>
      <c r="D1479" t="s">
        <v>253</v>
      </c>
      <c r="E1479" t="s">
        <v>1569</v>
      </c>
    </row>
    <row r="1480" spans="3:5" customFormat="1" ht="17.399999999999999">
      <c r="C1480" t="s">
        <v>1568</v>
      </c>
      <c r="D1480" t="s">
        <v>253</v>
      </c>
      <c r="E1480" t="s">
        <v>2482</v>
      </c>
    </row>
    <row r="1481" spans="3:5" customFormat="1" ht="17.399999999999999">
      <c r="C1481" t="s">
        <v>2483</v>
      </c>
      <c r="E1481" t="s">
        <v>2059</v>
      </c>
    </row>
    <row r="1482" spans="3:5" customFormat="1" ht="17.399999999999999">
      <c r="C1482" t="s">
        <v>3808</v>
      </c>
      <c r="E1482" t="s">
        <v>3809</v>
      </c>
    </row>
    <row r="1483" spans="3:5" customFormat="1" ht="17.399999999999999">
      <c r="C1483" t="s">
        <v>3810</v>
      </c>
      <c r="E1483" t="s">
        <v>3811</v>
      </c>
    </row>
    <row r="1484" spans="3:5" customFormat="1" ht="17.399999999999999">
      <c r="C1484" t="s">
        <v>3812</v>
      </c>
      <c r="E1484" t="s">
        <v>3813</v>
      </c>
    </row>
    <row r="1485" spans="3:5" customFormat="1" ht="17.399999999999999">
      <c r="C1485" t="s">
        <v>3814</v>
      </c>
      <c r="E1485" t="s">
        <v>3815</v>
      </c>
    </row>
    <row r="1486" spans="3:5" customFormat="1" ht="17.399999999999999">
      <c r="C1486" t="s">
        <v>3816</v>
      </c>
      <c r="E1486" t="s">
        <v>3817</v>
      </c>
    </row>
    <row r="1487" spans="3:5" customFormat="1" ht="17.399999999999999">
      <c r="C1487" t="s">
        <v>3818</v>
      </c>
      <c r="E1487" t="s">
        <v>3819</v>
      </c>
    </row>
    <row r="1488" spans="3:5" customFormat="1" ht="17.399999999999999">
      <c r="C1488" t="s">
        <v>3820</v>
      </c>
      <c r="E1488" t="s">
        <v>3821</v>
      </c>
    </row>
    <row r="1489" spans="3:5" customFormat="1" ht="17.399999999999999">
      <c r="C1489" t="s">
        <v>3822</v>
      </c>
      <c r="E1489" t="s">
        <v>3823</v>
      </c>
    </row>
    <row r="1490" spans="3:5" customFormat="1" ht="17.399999999999999">
      <c r="C1490" t="s">
        <v>3824</v>
      </c>
      <c r="E1490" t="s">
        <v>3825</v>
      </c>
    </row>
    <row r="1491" spans="3:5" customFormat="1" ht="17.399999999999999">
      <c r="C1491" t="s">
        <v>3826</v>
      </c>
      <c r="E1491" t="s">
        <v>3827</v>
      </c>
    </row>
    <row r="1492" spans="3:5" customFormat="1" ht="17.399999999999999">
      <c r="C1492" t="s">
        <v>3828</v>
      </c>
      <c r="E1492" t="s">
        <v>3829</v>
      </c>
    </row>
    <row r="1493" spans="3:5" customFormat="1" ht="17.399999999999999">
      <c r="C1493" t="s">
        <v>3830</v>
      </c>
      <c r="E1493" t="s">
        <v>3831</v>
      </c>
    </row>
    <row r="1494" spans="3:5" customFormat="1" ht="17.399999999999999">
      <c r="C1494" t="s">
        <v>3832</v>
      </c>
      <c r="E1494" t="s">
        <v>3833</v>
      </c>
    </row>
    <row r="1495" spans="3:5" customFormat="1" ht="17.399999999999999">
      <c r="C1495" t="s">
        <v>3834</v>
      </c>
      <c r="E1495" t="s">
        <v>3835</v>
      </c>
    </row>
    <row r="1496" spans="3:5" customFormat="1" ht="17.399999999999999">
      <c r="C1496" t="s">
        <v>3836</v>
      </c>
      <c r="E1496" t="s">
        <v>3837</v>
      </c>
    </row>
    <row r="1497" spans="3:5" customFormat="1" ht="17.399999999999999">
      <c r="C1497" t="s">
        <v>3838</v>
      </c>
      <c r="E1497" t="s">
        <v>3839</v>
      </c>
    </row>
    <row r="1498" spans="3:5" customFormat="1" ht="17.399999999999999">
      <c r="C1498" t="s">
        <v>3840</v>
      </c>
      <c r="E1498" t="s">
        <v>3841</v>
      </c>
    </row>
    <row r="1499" spans="3:5" customFormat="1" ht="17.399999999999999">
      <c r="C1499" t="s">
        <v>3842</v>
      </c>
      <c r="E1499" t="s">
        <v>3843</v>
      </c>
    </row>
    <row r="1500" spans="3:5" customFormat="1" ht="17.399999999999999">
      <c r="C1500" t="s">
        <v>3844</v>
      </c>
      <c r="E1500" t="s">
        <v>3845</v>
      </c>
    </row>
    <row r="1501" spans="3:5" customFormat="1" ht="17.399999999999999">
      <c r="C1501" t="s">
        <v>3846</v>
      </c>
      <c r="E1501" t="s">
        <v>3847</v>
      </c>
    </row>
    <row r="1502" spans="3:5" customFormat="1" ht="17.399999999999999">
      <c r="C1502" t="s">
        <v>3848</v>
      </c>
      <c r="E1502" t="s">
        <v>3849</v>
      </c>
    </row>
    <row r="1503" spans="3:5" customFormat="1" ht="17.399999999999999">
      <c r="C1503" t="s">
        <v>3850</v>
      </c>
      <c r="E1503" t="s">
        <v>3851</v>
      </c>
    </row>
    <row r="1504" spans="3:5" customFormat="1" ht="17.399999999999999">
      <c r="C1504" t="s">
        <v>3852</v>
      </c>
      <c r="E1504" t="s">
        <v>3853</v>
      </c>
    </row>
    <row r="1505" spans="3:5" customFormat="1" ht="17.399999999999999">
      <c r="C1505" t="s">
        <v>3854</v>
      </c>
      <c r="E1505" t="s">
        <v>3855</v>
      </c>
    </row>
    <row r="1506" spans="3:5" customFormat="1" ht="17.399999999999999">
      <c r="C1506" t="s">
        <v>3856</v>
      </c>
      <c r="E1506" t="s">
        <v>3857</v>
      </c>
    </row>
    <row r="1507" spans="3:5" customFormat="1" ht="17.399999999999999">
      <c r="C1507" t="s">
        <v>3858</v>
      </c>
      <c r="E1507" t="s">
        <v>1790</v>
      </c>
    </row>
    <row r="1508" spans="3:5" customFormat="1" ht="17.399999999999999">
      <c r="C1508" t="s">
        <v>3859</v>
      </c>
      <c r="E1508" t="s">
        <v>3860</v>
      </c>
    </row>
    <row r="1509" spans="3:5" customFormat="1" ht="17.399999999999999">
      <c r="C1509" t="s">
        <v>3861</v>
      </c>
      <c r="E1509" t="s">
        <v>3862</v>
      </c>
    </row>
    <row r="1510" spans="3:5" customFormat="1" ht="17.399999999999999">
      <c r="C1510" t="s">
        <v>3863</v>
      </c>
      <c r="E1510" t="s">
        <v>3864</v>
      </c>
    </row>
    <row r="1511" spans="3:5" customFormat="1" ht="17.399999999999999">
      <c r="C1511" t="s">
        <v>3865</v>
      </c>
      <c r="E1511" t="s">
        <v>3866</v>
      </c>
    </row>
    <row r="1512" spans="3:5" customFormat="1" ht="17.399999999999999">
      <c r="C1512" t="s">
        <v>3867</v>
      </c>
      <c r="E1512" t="s">
        <v>1556</v>
      </c>
    </row>
    <row r="1513" spans="3:5" customFormat="1" ht="17.399999999999999">
      <c r="C1513" t="s">
        <v>3868</v>
      </c>
      <c r="E1513" t="s">
        <v>3869</v>
      </c>
    </row>
    <row r="1514" spans="3:5" customFormat="1" ht="17.399999999999999">
      <c r="C1514" t="s">
        <v>3870</v>
      </c>
      <c r="E1514" t="s">
        <v>3871</v>
      </c>
    </row>
    <row r="1515" spans="3:5" customFormat="1" ht="17.399999999999999">
      <c r="C1515" t="s">
        <v>3872</v>
      </c>
      <c r="E1515" t="s">
        <v>3873</v>
      </c>
    </row>
    <row r="1516" spans="3:5" customFormat="1" ht="17.399999999999999">
      <c r="C1516" t="s">
        <v>3874</v>
      </c>
      <c r="E1516" t="s">
        <v>3875</v>
      </c>
    </row>
    <row r="1517" spans="3:5" customFormat="1" ht="17.399999999999999">
      <c r="C1517" t="s">
        <v>3876</v>
      </c>
      <c r="E1517" t="s">
        <v>3877</v>
      </c>
    </row>
    <row r="1518" spans="3:5" customFormat="1" ht="17.399999999999999">
      <c r="C1518" t="s">
        <v>3878</v>
      </c>
      <c r="E1518" t="s">
        <v>3879</v>
      </c>
    </row>
    <row r="1519" spans="3:5" customFormat="1" ht="17.399999999999999">
      <c r="C1519" t="s">
        <v>3880</v>
      </c>
      <c r="E1519" t="s">
        <v>3881</v>
      </c>
    </row>
    <row r="1520" spans="3:5" customFormat="1" ht="17.399999999999999">
      <c r="C1520" t="s">
        <v>3882</v>
      </c>
      <c r="E1520" t="s">
        <v>3883</v>
      </c>
    </row>
    <row r="1521" spans="3:5" customFormat="1" ht="17.399999999999999">
      <c r="C1521" t="s">
        <v>2484</v>
      </c>
      <c r="E1521" t="s">
        <v>2485</v>
      </c>
    </row>
    <row r="1522" spans="3:5" customFormat="1" ht="17.399999999999999">
      <c r="C1522" t="s">
        <v>3884</v>
      </c>
      <c r="E1522" t="s">
        <v>3885</v>
      </c>
    </row>
    <row r="1523" spans="3:5" customFormat="1" ht="17.399999999999999">
      <c r="C1523" t="s">
        <v>3886</v>
      </c>
      <c r="E1523" t="s">
        <v>3887</v>
      </c>
    </row>
    <row r="1524" spans="3:5" customFormat="1" ht="17.399999999999999">
      <c r="C1524" t="s">
        <v>1570</v>
      </c>
      <c r="E1524" t="s">
        <v>1985</v>
      </c>
    </row>
    <row r="1525" spans="3:5" customFormat="1" ht="17.399999999999999">
      <c r="C1525" t="s">
        <v>1570</v>
      </c>
      <c r="D1525" t="s">
        <v>1572</v>
      </c>
      <c r="E1525" t="s">
        <v>1571</v>
      </c>
    </row>
    <row r="1526" spans="3:5" customFormat="1" ht="17.399999999999999">
      <c r="C1526" t="s">
        <v>2488</v>
      </c>
      <c r="D1526" t="s">
        <v>3889</v>
      </c>
      <c r="E1526" t="s">
        <v>3888</v>
      </c>
    </row>
    <row r="1527" spans="3:5" customFormat="1" ht="17.399999999999999">
      <c r="C1527" t="s">
        <v>1573</v>
      </c>
      <c r="D1527" t="s">
        <v>1169</v>
      </c>
      <c r="E1527" t="s">
        <v>1427</v>
      </c>
    </row>
    <row r="1528" spans="3:5" customFormat="1" ht="17.399999999999999">
      <c r="C1528" t="s">
        <v>1574</v>
      </c>
      <c r="D1528" t="s">
        <v>1575</v>
      </c>
      <c r="E1528" t="s">
        <v>2647</v>
      </c>
    </row>
    <row r="1529" spans="3:5" customFormat="1" ht="17.399999999999999">
      <c r="C1529" t="s">
        <v>2489</v>
      </c>
      <c r="E1529" t="s">
        <v>3890</v>
      </c>
    </row>
    <row r="1530" spans="3:5" customFormat="1" ht="17.399999999999999">
      <c r="C1530" t="s">
        <v>1576</v>
      </c>
      <c r="E1530" t="s">
        <v>2490</v>
      </c>
    </row>
    <row r="1531" spans="3:5" customFormat="1" ht="17.399999999999999">
      <c r="C1531" t="s">
        <v>1576</v>
      </c>
      <c r="D1531" t="s">
        <v>3892</v>
      </c>
      <c r="E1531" t="s">
        <v>3891</v>
      </c>
    </row>
    <row r="1532" spans="3:5" customFormat="1" ht="17.399999999999999">
      <c r="C1532" t="s">
        <v>2491</v>
      </c>
      <c r="E1532" t="s">
        <v>2713</v>
      </c>
    </row>
    <row r="1533" spans="3:5" customFormat="1" ht="17.399999999999999">
      <c r="C1533" t="s">
        <v>1578</v>
      </c>
      <c r="E1533" t="s">
        <v>2711</v>
      </c>
    </row>
    <row r="1534" spans="3:5" customFormat="1" ht="17.399999999999999">
      <c r="C1534" t="s">
        <v>3893</v>
      </c>
      <c r="E1534" t="s">
        <v>3894</v>
      </c>
    </row>
    <row r="1535" spans="3:5" customFormat="1" ht="17.399999999999999">
      <c r="C1535" t="s">
        <v>1278</v>
      </c>
      <c r="E1535" t="s">
        <v>2487</v>
      </c>
    </row>
    <row r="1536" spans="3:5" customFormat="1" ht="17.399999999999999">
      <c r="C1536" t="s">
        <v>3895</v>
      </c>
      <c r="E1536" t="s">
        <v>3896</v>
      </c>
    </row>
    <row r="1537" spans="3:5" customFormat="1" ht="17.399999999999999">
      <c r="C1537" t="s">
        <v>1279</v>
      </c>
      <c r="D1537" t="s">
        <v>1281</v>
      </c>
      <c r="E1537" t="s">
        <v>3897</v>
      </c>
    </row>
    <row r="1538" spans="3:5" customFormat="1" ht="17.399999999999999">
      <c r="C1538" t="s">
        <v>1279</v>
      </c>
      <c r="D1538" t="s">
        <v>1281</v>
      </c>
      <c r="E1538" t="s">
        <v>1280</v>
      </c>
    </row>
    <row r="1539" spans="3:5" customFormat="1" ht="17.399999999999999">
      <c r="C1539" t="s">
        <v>2493</v>
      </c>
      <c r="E1539" t="s">
        <v>3898</v>
      </c>
    </row>
    <row r="1540" spans="3:5" customFormat="1" ht="17.399999999999999">
      <c r="C1540" t="s">
        <v>3899</v>
      </c>
      <c r="E1540" t="s">
        <v>3900</v>
      </c>
    </row>
    <row r="1541" spans="3:5" customFormat="1" ht="17.399999999999999">
      <c r="C1541" t="s">
        <v>3901</v>
      </c>
      <c r="E1541" t="s">
        <v>3902</v>
      </c>
    </row>
    <row r="1542" spans="3:5" customFormat="1" ht="17.399999999999999">
      <c r="C1542" t="s">
        <v>3903</v>
      </c>
      <c r="E1542" t="s">
        <v>2741</v>
      </c>
    </row>
    <row r="1543" spans="3:5" customFormat="1" ht="17.399999999999999">
      <c r="C1543" t="s">
        <v>3904</v>
      </c>
      <c r="E1543" t="s">
        <v>2811</v>
      </c>
    </row>
    <row r="1544" spans="3:5" customFormat="1" ht="17.399999999999999">
      <c r="C1544" t="s">
        <v>3905</v>
      </c>
      <c r="E1544" t="s">
        <v>3906</v>
      </c>
    </row>
    <row r="1545" spans="3:5" customFormat="1" ht="17.399999999999999">
      <c r="C1545" t="s">
        <v>3907</v>
      </c>
      <c r="E1545" t="s">
        <v>3908</v>
      </c>
    </row>
    <row r="1546" spans="3:5" customFormat="1" ht="17.399999999999999">
      <c r="C1546" t="s">
        <v>3909</v>
      </c>
      <c r="E1546" t="s">
        <v>3910</v>
      </c>
    </row>
    <row r="1547" spans="3:5" customFormat="1" ht="17.399999999999999">
      <c r="C1547" t="s">
        <v>3911</v>
      </c>
      <c r="E1547" t="s">
        <v>3912</v>
      </c>
    </row>
    <row r="1548" spans="3:5" customFormat="1" ht="17.399999999999999">
      <c r="C1548" t="s">
        <v>1282</v>
      </c>
      <c r="E1548" t="s">
        <v>2785</v>
      </c>
    </row>
    <row r="1549" spans="3:5" customFormat="1" ht="17.399999999999999">
      <c r="C1549" t="s">
        <v>1283</v>
      </c>
      <c r="E1549" t="s">
        <v>2190</v>
      </c>
    </row>
    <row r="1550" spans="3:5" customFormat="1" ht="17.399999999999999">
      <c r="C1550" t="s">
        <v>1285</v>
      </c>
      <c r="E1550" t="s">
        <v>2400</v>
      </c>
    </row>
    <row r="1551" spans="3:5" customFormat="1" ht="17.399999999999999">
      <c r="C1551" t="s">
        <v>3913</v>
      </c>
      <c r="D1551" t="s">
        <v>1822</v>
      </c>
      <c r="E1551" t="s">
        <v>3914</v>
      </c>
    </row>
    <row r="1552" spans="3:5" customFormat="1" ht="17.399999999999999">
      <c r="C1552" t="s">
        <v>1286</v>
      </c>
      <c r="D1552" t="s">
        <v>323</v>
      </c>
      <c r="E1552" t="s">
        <v>322</v>
      </c>
    </row>
    <row r="1553" spans="3:5" customFormat="1" ht="17.399999999999999">
      <c r="C1553" t="s">
        <v>3915</v>
      </c>
      <c r="E1553" t="s">
        <v>1001</v>
      </c>
    </row>
    <row r="1554" spans="3:5" customFormat="1" ht="17.399999999999999">
      <c r="C1554" t="s">
        <v>1288</v>
      </c>
      <c r="E1554" t="s">
        <v>2494</v>
      </c>
    </row>
    <row r="1555" spans="3:5" customFormat="1" ht="17.399999999999999">
      <c r="C1555" t="s">
        <v>3916</v>
      </c>
      <c r="E1555" t="s">
        <v>2084</v>
      </c>
    </row>
    <row r="1556" spans="3:5" customFormat="1" ht="17.399999999999999">
      <c r="C1556" t="s">
        <v>3917</v>
      </c>
      <c r="E1556" t="s">
        <v>3918</v>
      </c>
    </row>
    <row r="1557" spans="3:5" customFormat="1" ht="17.399999999999999">
      <c r="C1557" t="s">
        <v>2495</v>
      </c>
      <c r="E1557" t="s">
        <v>3919</v>
      </c>
    </row>
    <row r="1558" spans="3:5" customFormat="1" ht="17.399999999999999">
      <c r="C1558" t="s">
        <v>2496</v>
      </c>
      <c r="E1558" t="s">
        <v>3920</v>
      </c>
    </row>
    <row r="1559" spans="3:5" customFormat="1" ht="17.399999999999999">
      <c r="C1559" t="s">
        <v>1473</v>
      </c>
      <c r="E1559" t="s">
        <v>2773</v>
      </c>
    </row>
    <row r="1560" spans="3:5" customFormat="1" ht="17.399999999999999">
      <c r="C1560" t="s">
        <v>3921</v>
      </c>
      <c r="E1560" t="s">
        <v>3922</v>
      </c>
    </row>
    <row r="1561" spans="3:5" customFormat="1" ht="17.399999999999999">
      <c r="C1561" t="s">
        <v>1474</v>
      </c>
      <c r="E1561" t="s">
        <v>118</v>
      </c>
    </row>
    <row r="1562" spans="3:5" customFormat="1" ht="17.399999999999999">
      <c r="C1562" t="s">
        <v>1475</v>
      </c>
      <c r="D1562" t="s">
        <v>1310</v>
      </c>
      <c r="E1562" t="s">
        <v>1309</v>
      </c>
    </row>
    <row r="1563" spans="3:5" customFormat="1" ht="17.399999999999999">
      <c r="C1563" t="s">
        <v>2497</v>
      </c>
      <c r="E1563" t="s">
        <v>3923</v>
      </c>
    </row>
    <row r="1564" spans="3:5" customFormat="1" ht="17.399999999999999">
      <c r="C1564" t="s">
        <v>1476</v>
      </c>
      <c r="D1564" t="s">
        <v>1751</v>
      </c>
      <c r="E1564" t="s">
        <v>2332</v>
      </c>
    </row>
    <row r="1565" spans="3:5" customFormat="1" ht="17.399999999999999">
      <c r="C1565" t="s">
        <v>2498</v>
      </c>
      <c r="E1565" t="s">
        <v>2069</v>
      </c>
    </row>
    <row r="1566" spans="3:5" customFormat="1" ht="17.399999999999999">
      <c r="C1566" t="s">
        <v>1477</v>
      </c>
      <c r="E1566" t="s">
        <v>3924</v>
      </c>
    </row>
    <row r="1567" spans="3:5" customFormat="1" ht="17.399999999999999">
      <c r="C1567" t="s">
        <v>1477</v>
      </c>
      <c r="D1567" t="s">
        <v>1479</v>
      </c>
      <c r="E1567" t="s">
        <v>1478</v>
      </c>
    </row>
    <row r="1568" spans="3:5" customFormat="1" ht="17.399999999999999">
      <c r="C1568" t="s">
        <v>3925</v>
      </c>
      <c r="E1568" t="s">
        <v>3926</v>
      </c>
    </row>
    <row r="1569" spans="3:5" customFormat="1" ht="17.399999999999999">
      <c r="C1569" t="s">
        <v>3927</v>
      </c>
      <c r="E1569" t="s">
        <v>3928</v>
      </c>
    </row>
    <row r="1570" spans="3:5" customFormat="1" ht="17.399999999999999">
      <c r="C1570" t="s">
        <v>1481</v>
      </c>
      <c r="E1570" t="s">
        <v>2778</v>
      </c>
    </row>
    <row r="1571" spans="3:5" customFormat="1" ht="17.399999999999999">
      <c r="C1571" t="s">
        <v>2499</v>
      </c>
      <c r="E1571" t="s">
        <v>1864</v>
      </c>
    </row>
    <row r="1572" spans="3:5" customFormat="1" ht="17.399999999999999">
      <c r="C1572" t="s">
        <v>1482</v>
      </c>
      <c r="E1572" t="s">
        <v>150</v>
      </c>
    </row>
    <row r="1573" spans="3:5" customFormat="1" ht="17.399999999999999">
      <c r="C1573" t="s">
        <v>3929</v>
      </c>
      <c r="E1573" t="s">
        <v>3930</v>
      </c>
    </row>
    <row r="1574" spans="3:5" customFormat="1" ht="17.399999999999999">
      <c r="C1574" t="s">
        <v>1484</v>
      </c>
      <c r="E1574" t="s">
        <v>3931</v>
      </c>
    </row>
    <row r="1575" spans="3:5" customFormat="1" ht="17.399999999999999">
      <c r="C1575" t="s">
        <v>1485</v>
      </c>
      <c r="E1575" t="s">
        <v>1486</v>
      </c>
    </row>
    <row r="1576" spans="3:5" customFormat="1" ht="17.399999999999999">
      <c r="C1576" t="s">
        <v>1487</v>
      </c>
      <c r="D1576" t="s">
        <v>3933</v>
      </c>
      <c r="E1576" t="s">
        <v>3932</v>
      </c>
    </row>
    <row r="1577" spans="3:5" customFormat="1" ht="17.399999999999999">
      <c r="C1577" t="s">
        <v>1488</v>
      </c>
      <c r="D1577" t="s">
        <v>3934</v>
      </c>
      <c r="E1577" t="s">
        <v>3935</v>
      </c>
    </row>
    <row r="1578" spans="3:5" customFormat="1" ht="17.399999999999999">
      <c r="C1578" t="s">
        <v>1488</v>
      </c>
      <c r="E1578" t="s">
        <v>3935</v>
      </c>
    </row>
    <row r="1579" spans="3:5" customFormat="1" ht="17.399999999999999">
      <c r="C1579" t="s">
        <v>1489</v>
      </c>
      <c r="D1579" t="s">
        <v>3937</v>
      </c>
      <c r="E1579" t="s">
        <v>3936</v>
      </c>
    </row>
    <row r="1580" spans="3:5" customFormat="1" ht="17.399999999999999">
      <c r="C1580" t="s">
        <v>1918</v>
      </c>
      <c r="E1580" t="s">
        <v>1919</v>
      </c>
    </row>
    <row r="1581" spans="3:5" customFormat="1" ht="17.399999999999999">
      <c r="C1581" t="s">
        <v>3938</v>
      </c>
      <c r="E1581" t="s">
        <v>3939</v>
      </c>
    </row>
    <row r="1582" spans="3:5" customFormat="1" ht="17.399999999999999">
      <c r="C1582" t="s">
        <v>1492</v>
      </c>
      <c r="E1582" t="s">
        <v>783</v>
      </c>
    </row>
    <row r="1583" spans="3:5" customFormat="1" ht="17.399999999999999">
      <c r="C1583" t="s">
        <v>1493</v>
      </c>
      <c r="E1583" t="s">
        <v>2601</v>
      </c>
    </row>
    <row r="1584" spans="3:5" customFormat="1" ht="17.399999999999999">
      <c r="C1584" t="s">
        <v>1495</v>
      </c>
      <c r="E1584" t="s">
        <v>1496</v>
      </c>
    </row>
    <row r="1585" spans="3:5" customFormat="1" ht="17.399999999999999">
      <c r="C1585" t="s">
        <v>1498</v>
      </c>
      <c r="E1585" t="s">
        <v>1499</v>
      </c>
    </row>
    <row r="1586" spans="3:5" customFormat="1" ht="17.399999999999999">
      <c r="C1586" t="s">
        <v>1500</v>
      </c>
      <c r="E1586" t="s">
        <v>3940</v>
      </c>
    </row>
    <row r="1587" spans="3:5" customFormat="1" ht="17.399999999999999">
      <c r="C1587" t="s">
        <v>3941</v>
      </c>
      <c r="E1587" t="s">
        <v>3942</v>
      </c>
    </row>
    <row r="1588" spans="3:5" customFormat="1" ht="17.399999999999999">
      <c r="C1588" t="s">
        <v>1501</v>
      </c>
      <c r="E1588" t="s">
        <v>2502</v>
      </c>
    </row>
    <row r="1589" spans="3:5" customFormat="1" ht="17.399999999999999">
      <c r="C1589" t="s">
        <v>3943</v>
      </c>
      <c r="E1589" t="s">
        <v>3944</v>
      </c>
    </row>
    <row r="1590" spans="3:5" customFormat="1" ht="17.399999999999999">
      <c r="C1590" t="s">
        <v>1504</v>
      </c>
      <c r="E1590" t="s">
        <v>1831</v>
      </c>
    </row>
    <row r="1591" spans="3:5" customFormat="1" ht="17.399999999999999">
      <c r="C1591" t="s">
        <v>1505</v>
      </c>
      <c r="E1591" t="s">
        <v>2265</v>
      </c>
    </row>
    <row r="1592" spans="3:5" customFormat="1" ht="17.399999999999999">
      <c r="C1592" t="s">
        <v>3945</v>
      </c>
      <c r="E1592" t="s">
        <v>3946</v>
      </c>
    </row>
    <row r="1593" spans="3:5" customFormat="1" ht="17.399999999999999">
      <c r="C1593" t="s">
        <v>1506</v>
      </c>
      <c r="E1593" t="s">
        <v>3947</v>
      </c>
    </row>
    <row r="1594" spans="3:5" customFormat="1" ht="17.399999999999999">
      <c r="C1594" t="s">
        <v>2503</v>
      </c>
      <c r="E1594" t="s">
        <v>2504</v>
      </c>
    </row>
    <row r="1595" spans="3:5" customFormat="1" ht="17.399999999999999">
      <c r="C1595" t="s">
        <v>1507</v>
      </c>
      <c r="E1595" t="s">
        <v>1508</v>
      </c>
    </row>
    <row r="1596" spans="3:5" customFormat="1" ht="17.399999999999999">
      <c r="C1596" t="s">
        <v>2505</v>
      </c>
      <c r="D1596" t="s">
        <v>3948</v>
      </c>
      <c r="E1596" t="s">
        <v>2786</v>
      </c>
    </row>
    <row r="1597" spans="3:5" customFormat="1" ht="17.399999999999999">
      <c r="C1597" t="s">
        <v>1509</v>
      </c>
      <c r="D1597" t="s">
        <v>3949</v>
      </c>
      <c r="E1597" t="s">
        <v>1384</v>
      </c>
    </row>
    <row r="1598" spans="3:5" customFormat="1" ht="17.399999999999999">
      <c r="C1598" t="s">
        <v>1509</v>
      </c>
      <c r="D1598" t="s">
        <v>3949</v>
      </c>
      <c r="E1598" t="s">
        <v>1510</v>
      </c>
    </row>
    <row r="1599" spans="3:5" customFormat="1" ht="17.399999999999999">
      <c r="C1599" t="s">
        <v>4447</v>
      </c>
      <c r="D1599" t="s">
        <v>4449</v>
      </c>
      <c r="E1599" t="s">
        <v>4448</v>
      </c>
    </row>
    <row r="1600" spans="3:5" customFormat="1" ht="17.399999999999999">
      <c r="C1600" t="s">
        <v>2506</v>
      </c>
      <c r="E1600" t="s">
        <v>3950</v>
      </c>
    </row>
    <row r="1601" spans="3:5" customFormat="1" ht="17.399999999999999">
      <c r="C1601" t="s">
        <v>2507</v>
      </c>
      <c r="D1601" t="s">
        <v>3952</v>
      </c>
      <c r="E1601" t="s">
        <v>3951</v>
      </c>
    </row>
    <row r="1602" spans="3:5" customFormat="1" ht="17.399999999999999">
      <c r="C1602" t="s">
        <v>1513</v>
      </c>
      <c r="D1602" t="s">
        <v>972</v>
      </c>
      <c r="E1602" t="s">
        <v>897</v>
      </c>
    </row>
    <row r="1603" spans="3:5" customFormat="1" ht="17.399999999999999">
      <c r="C1603" t="s">
        <v>1513</v>
      </c>
      <c r="D1603" t="s">
        <v>972</v>
      </c>
      <c r="E1603" t="s">
        <v>3953</v>
      </c>
    </row>
    <row r="1604" spans="3:5" customFormat="1" ht="17.399999999999999">
      <c r="C1604" t="s">
        <v>2508</v>
      </c>
      <c r="E1604" t="s">
        <v>2509</v>
      </c>
    </row>
    <row r="1605" spans="3:5" customFormat="1" ht="17.399999999999999">
      <c r="C1605" t="s">
        <v>1516</v>
      </c>
      <c r="E1605" t="s">
        <v>1517</v>
      </c>
    </row>
    <row r="1606" spans="3:5" customFormat="1" ht="17.399999999999999">
      <c r="C1606" t="s">
        <v>1518</v>
      </c>
      <c r="D1606" t="s">
        <v>3954</v>
      </c>
      <c r="E1606" t="s">
        <v>2510</v>
      </c>
    </row>
    <row r="1607" spans="3:5" customFormat="1" ht="17.399999999999999">
      <c r="C1607" t="s">
        <v>2511</v>
      </c>
      <c r="E1607" t="s">
        <v>2780</v>
      </c>
    </row>
    <row r="1608" spans="3:5" customFormat="1" ht="17.399999999999999">
      <c r="C1608" t="s">
        <v>1519</v>
      </c>
      <c r="E1608" t="s">
        <v>2160</v>
      </c>
    </row>
    <row r="1609" spans="3:5" customFormat="1" ht="17.399999999999999">
      <c r="C1609" t="s">
        <v>2513</v>
      </c>
      <c r="D1609" t="s">
        <v>4451</v>
      </c>
      <c r="E1609" t="s">
        <v>4450</v>
      </c>
    </row>
    <row r="1610" spans="3:5" customFormat="1" ht="17.399999999999999">
      <c r="C1610" t="s">
        <v>1747</v>
      </c>
      <c r="E1610" t="s">
        <v>1265</v>
      </c>
    </row>
    <row r="1611" spans="3:5" customFormat="1" ht="17.399999999999999">
      <c r="C1611" t="s">
        <v>1748</v>
      </c>
      <c r="E1611" t="s">
        <v>2514</v>
      </c>
    </row>
    <row r="1612" spans="3:5" customFormat="1" ht="17.399999999999999">
      <c r="C1612" t="s">
        <v>1749</v>
      </c>
      <c r="E1612" t="s">
        <v>716</v>
      </c>
    </row>
    <row r="1613" spans="3:5" customFormat="1" ht="17.399999999999999">
      <c r="C1613" t="s">
        <v>3955</v>
      </c>
      <c r="E1613" t="s">
        <v>2268</v>
      </c>
    </row>
    <row r="1614" spans="3:5" customFormat="1" ht="17.399999999999999">
      <c r="C1614" t="s">
        <v>3956</v>
      </c>
      <c r="E1614" t="s">
        <v>2515</v>
      </c>
    </row>
    <row r="1615" spans="3:5" customFormat="1" ht="17.399999999999999">
      <c r="C1615" t="s">
        <v>3957</v>
      </c>
      <c r="E1615" t="s">
        <v>3958</v>
      </c>
    </row>
    <row r="1616" spans="3:5" customFormat="1" ht="17.399999999999999">
      <c r="C1616" t="s">
        <v>1752</v>
      </c>
      <c r="D1616" t="s">
        <v>1753</v>
      </c>
      <c r="E1616" t="s">
        <v>3959</v>
      </c>
    </row>
    <row r="1617" spans="3:5" customFormat="1" ht="17.399999999999999">
      <c r="C1617" t="s">
        <v>3960</v>
      </c>
      <c r="D1617" t="s">
        <v>2387</v>
      </c>
      <c r="E1617" t="s">
        <v>3961</v>
      </c>
    </row>
    <row r="1618" spans="3:5" customFormat="1" ht="17.399999999999999">
      <c r="C1618" t="s">
        <v>687</v>
      </c>
      <c r="E1618" t="s">
        <v>2516</v>
      </c>
    </row>
    <row r="1619" spans="3:5" customFormat="1" ht="17.399999999999999">
      <c r="C1619" t="s">
        <v>3962</v>
      </c>
      <c r="D1619" t="s">
        <v>3964</v>
      </c>
      <c r="E1619" t="s">
        <v>3963</v>
      </c>
    </row>
    <row r="1620" spans="3:5" customFormat="1" ht="17.399999999999999">
      <c r="C1620" t="s">
        <v>4452</v>
      </c>
      <c r="D1620" t="s">
        <v>2517</v>
      </c>
      <c r="E1620" t="s">
        <v>1081</v>
      </c>
    </row>
    <row r="1621" spans="3:5" customFormat="1" ht="17.399999999999999">
      <c r="C1621" t="s">
        <v>688</v>
      </c>
      <c r="D1621" t="s">
        <v>3965</v>
      </c>
      <c r="E1621" t="s">
        <v>689</v>
      </c>
    </row>
    <row r="1622" spans="3:5" customFormat="1" ht="17.399999999999999">
      <c r="C1622" t="s">
        <v>690</v>
      </c>
      <c r="E1622" t="s">
        <v>1197</v>
      </c>
    </row>
    <row r="1623" spans="3:5" customFormat="1" ht="17.399999999999999">
      <c r="C1623" t="s">
        <v>1031</v>
      </c>
      <c r="E1623" t="s">
        <v>3966</v>
      </c>
    </row>
    <row r="1624" spans="3:5" customFormat="1" ht="17.399999999999999">
      <c r="C1624" t="s">
        <v>691</v>
      </c>
      <c r="E1624" t="s">
        <v>1862</v>
      </c>
    </row>
    <row r="1625" spans="3:5" customFormat="1" ht="17.399999999999999">
      <c r="C1625" t="s">
        <v>692</v>
      </c>
      <c r="E1625" t="s">
        <v>2518</v>
      </c>
    </row>
    <row r="1626" spans="3:5" customFormat="1" ht="17.399999999999999">
      <c r="C1626" t="s">
        <v>694</v>
      </c>
      <c r="E1626" t="s">
        <v>695</v>
      </c>
    </row>
    <row r="1627" spans="3:5" customFormat="1" ht="17.399999999999999">
      <c r="C1627" t="s">
        <v>696</v>
      </c>
      <c r="D1627" t="s">
        <v>697</v>
      </c>
      <c r="E1627" t="s">
        <v>2519</v>
      </c>
    </row>
    <row r="1628" spans="3:5" customFormat="1" ht="17.399999999999999">
      <c r="C1628" t="s">
        <v>698</v>
      </c>
      <c r="E1628" t="s">
        <v>3967</v>
      </c>
    </row>
    <row r="1629" spans="3:5" customFormat="1" ht="17.399999999999999">
      <c r="C1629" t="s">
        <v>3968</v>
      </c>
      <c r="E1629" t="s">
        <v>2745</v>
      </c>
    </row>
    <row r="1630" spans="3:5" customFormat="1" ht="17.399999999999999">
      <c r="C1630" t="s">
        <v>1915</v>
      </c>
      <c r="E1630" t="s">
        <v>2520</v>
      </c>
    </row>
    <row r="1631" spans="3:5" customFormat="1" ht="17.399999999999999">
      <c r="C1631" t="s">
        <v>1380</v>
      </c>
      <c r="E1631" t="s">
        <v>1921</v>
      </c>
    </row>
    <row r="1632" spans="3:5" customFormat="1" ht="17.399999999999999">
      <c r="C1632" t="s">
        <v>1380</v>
      </c>
      <c r="D1632" t="s">
        <v>3969</v>
      </c>
      <c r="E1632" t="s">
        <v>2521</v>
      </c>
    </row>
    <row r="1633" spans="3:5" customFormat="1" ht="17.399999999999999">
      <c r="C1633" t="s">
        <v>1381</v>
      </c>
      <c r="E1633" t="s">
        <v>1880</v>
      </c>
    </row>
    <row r="1634" spans="3:5" customFormat="1" ht="17.399999999999999">
      <c r="C1634" t="s">
        <v>2522</v>
      </c>
      <c r="E1634" t="s">
        <v>2523</v>
      </c>
    </row>
    <row r="1635" spans="3:5" customFormat="1" ht="17.399999999999999">
      <c r="C1635" t="s">
        <v>2524</v>
      </c>
      <c r="E1635" t="s">
        <v>2525</v>
      </c>
    </row>
    <row r="1636" spans="3:5" customFormat="1" ht="17.399999999999999">
      <c r="C1636" t="s">
        <v>2527</v>
      </c>
      <c r="E1636" t="s">
        <v>2526</v>
      </c>
    </row>
    <row r="1637" spans="3:5" customFormat="1" ht="17.399999999999999">
      <c r="C1637" t="s">
        <v>1386</v>
      </c>
      <c r="D1637" t="s">
        <v>1388</v>
      </c>
      <c r="E1637" t="s">
        <v>610</v>
      </c>
    </row>
    <row r="1638" spans="3:5" customFormat="1" ht="17.399999999999999">
      <c r="C1638" t="s">
        <v>1389</v>
      </c>
      <c r="E1638" t="s">
        <v>786</v>
      </c>
    </row>
    <row r="1639" spans="3:5" customFormat="1" ht="17.399999999999999">
      <c r="C1639" t="s">
        <v>1389</v>
      </c>
      <c r="D1639" t="s">
        <v>839</v>
      </c>
      <c r="E1639" t="s">
        <v>1151</v>
      </c>
    </row>
    <row r="1640" spans="3:5" customFormat="1" ht="17.399999999999999">
      <c r="C1640" t="s">
        <v>1390</v>
      </c>
      <c r="D1640" t="s">
        <v>3970</v>
      </c>
      <c r="E1640" t="s">
        <v>2155</v>
      </c>
    </row>
    <row r="1641" spans="3:5" customFormat="1" ht="17.399999999999999">
      <c r="C1641" t="s">
        <v>2528</v>
      </c>
      <c r="E1641" t="s">
        <v>3971</v>
      </c>
    </row>
    <row r="1642" spans="3:5" customFormat="1" ht="17.399999999999999">
      <c r="C1642" t="s">
        <v>2530</v>
      </c>
      <c r="E1642" t="s">
        <v>159</v>
      </c>
    </row>
    <row r="1643" spans="3:5" customFormat="1" ht="17.399999999999999">
      <c r="C1643" t="s">
        <v>1521</v>
      </c>
      <c r="D1643" t="s">
        <v>4454</v>
      </c>
      <c r="E1643" t="s">
        <v>4453</v>
      </c>
    </row>
    <row r="1644" spans="3:5" customFormat="1" ht="17.399999999999999">
      <c r="C1644" t="s">
        <v>2531</v>
      </c>
      <c r="E1644" t="s">
        <v>3972</v>
      </c>
    </row>
    <row r="1645" spans="3:5" customFormat="1" ht="17.399999999999999">
      <c r="C1645" t="s">
        <v>1522</v>
      </c>
      <c r="E1645" t="s">
        <v>607</v>
      </c>
    </row>
    <row r="1646" spans="3:5" customFormat="1" ht="17.399999999999999">
      <c r="C1646" t="s">
        <v>1523</v>
      </c>
      <c r="E1646" t="s">
        <v>2532</v>
      </c>
    </row>
    <row r="1647" spans="3:5" customFormat="1" ht="17.399999999999999">
      <c r="C1647" t="s">
        <v>1524</v>
      </c>
      <c r="E1647" t="s">
        <v>132</v>
      </c>
    </row>
    <row r="1648" spans="3:5" customFormat="1" ht="17.399999999999999">
      <c r="C1648" t="s">
        <v>3973</v>
      </c>
      <c r="E1648" t="s">
        <v>3974</v>
      </c>
    </row>
    <row r="1649" spans="3:5" customFormat="1" ht="17.399999999999999">
      <c r="C1649" t="s">
        <v>1525</v>
      </c>
      <c r="E1649" t="s">
        <v>3975</v>
      </c>
    </row>
    <row r="1650" spans="3:5" customFormat="1" ht="17.399999999999999">
      <c r="C1650" t="s">
        <v>1526</v>
      </c>
      <c r="E1650" t="s">
        <v>2792</v>
      </c>
    </row>
    <row r="1651" spans="3:5" customFormat="1" ht="17.399999999999999">
      <c r="C1651" t="s">
        <v>3976</v>
      </c>
      <c r="E1651" t="s">
        <v>3977</v>
      </c>
    </row>
    <row r="1652" spans="3:5" customFormat="1" ht="17.399999999999999">
      <c r="C1652" t="s">
        <v>1527</v>
      </c>
      <c r="E1652" t="s">
        <v>3978</v>
      </c>
    </row>
    <row r="1653" spans="3:5" customFormat="1" ht="17.399999999999999">
      <c r="C1653" t="s">
        <v>1527</v>
      </c>
      <c r="D1653" t="s">
        <v>895</v>
      </c>
      <c r="E1653" t="s">
        <v>3979</v>
      </c>
    </row>
    <row r="1654" spans="3:5" customFormat="1" ht="17.399999999999999">
      <c r="C1654" t="s">
        <v>1528</v>
      </c>
      <c r="E1654" t="s">
        <v>2750</v>
      </c>
    </row>
    <row r="1655" spans="3:5" customFormat="1" ht="17.399999999999999">
      <c r="C1655" t="s">
        <v>2535</v>
      </c>
      <c r="E1655" t="s">
        <v>3980</v>
      </c>
    </row>
    <row r="1656" spans="3:5" customFormat="1" ht="17.399999999999999">
      <c r="C1656" t="s">
        <v>2536</v>
      </c>
      <c r="E1656" t="s">
        <v>3981</v>
      </c>
    </row>
    <row r="1657" spans="3:5" customFormat="1" ht="17.399999999999999">
      <c r="C1657" t="s">
        <v>3982</v>
      </c>
      <c r="D1657" t="s">
        <v>3983</v>
      </c>
      <c r="E1657" t="s">
        <v>1404</v>
      </c>
    </row>
    <row r="1658" spans="3:5" customFormat="1" ht="17.399999999999999">
      <c r="C1658" t="s">
        <v>3984</v>
      </c>
      <c r="E1658" t="s">
        <v>3985</v>
      </c>
    </row>
    <row r="1659" spans="3:5" customFormat="1" ht="17.399999999999999">
      <c r="C1659" t="s">
        <v>1529</v>
      </c>
      <c r="E1659" t="s">
        <v>1699</v>
      </c>
    </row>
    <row r="1660" spans="3:5" customFormat="1" ht="17.399999999999999">
      <c r="C1660" t="s">
        <v>1530</v>
      </c>
      <c r="E1660" t="s">
        <v>549</v>
      </c>
    </row>
    <row r="1661" spans="3:5" customFormat="1" ht="17.399999999999999">
      <c r="C1661" t="s">
        <v>56</v>
      </c>
      <c r="E1661" t="s">
        <v>1531</v>
      </c>
    </row>
    <row r="1662" spans="3:5" customFormat="1" ht="17.399999999999999">
      <c r="C1662" t="s">
        <v>2537</v>
      </c>
      <c r="E1662" t="s">
        <v>3986</v>
      </c>
    </row>
    <row r="1663" spans="3:5" customFormat="1" ht="17.399999999999999">
      <c r="C1663" t="s">
        <v>1534</v>
      </c>
      <c r="E1663" t="s">
        <v>3987</v>
      </c>
    </row>
    <row r="1664" spans="3:5" customFormat="1" ht="17.399999999999999">
      <c r="C1664" t="s">
        <v>3988</v>
      </c>
      <c r="D1664" t="s">
        <v>3990</v>
      </c>
      <c r="E1664" t="s">
        <v>3989</v>
      </c>
    </row>
    <row r="1665" spans="3:5" customFormat="1" ht="17.399999999999999">
      <c r="C1665" t="s">
        <v>1739</v>
      </c>
      <c r="E1665" t="s">
        <v>1742</v>
      </c>
    </row>
    <row r="1666" spans="3:5" customFormat="1" ht="17.399999999999999">
      <c r="C1666" t="s">
        <v>1739</v>
      </c>
      <c r="D1666" t="s">
        <v>1350</v>
      </c>
      <c r="E1666" t="s">
        <v>3991</v>
      </c>
    </row>
    <row r="1667" spans="3:5" customFormat="1" ht="17.399999999999999">
      <c r="C1667" t="s">
        <v>1741</v>
      </c>
      <c r="E1667" t="s">
        <v>3992</v>
      </c>
    </row>
    <row r="1668" spans="3:5" customFormat="1" ht="17.399999999999999">
      <c r="C1668" t="s">
        <v>1743</v>
      </c>
      <c r="E1668" t="s">
        <v>2794</v>
      </c>
    </row>
    <row r="1669" spans="3:5" customFormat="1" ht="17.399999999999999">
      <c r="C1669" t="s">
        <v>1744</v>
      </c>
      <c r="E1669" t="s">
        <v>3993</v>
      </c>
    </row>
    <row r="1670" spans="3:5" customFormat="1" ht="17.399999999999999">
      <c r="C1670" t="s">
        <v>3994</v>
      </c>
      <c r="E1670" t="s">
        <v>3995</v>
      </c>
    </row>
    <row r="1671" spans="3:5" customFormat="1" ht="17.399999999999999">
      <c r="C1671" t="s">
        <v>1436</v>
      </c>
      <c r="D1671" t="s">
        <v>594</v>
      </c>
      <c r="E1671" t="s">
        <v>552</v>
      </c>
    </row>
    <row r="1672" spans="3:5" customFormat="1" ht="17.399999999999999">
      <c r="C1672" t="s">
        <v>2538</v>
      </c>
      <c r="E1672" t="s">
        <v>1051</v>
      </c>
    </row>
    <row r="1673" spans="3:5" customFormat="1" ht="17.399999999999999">
      <c r="C1673" t="s">
        <v>1439</v>
      </c>
      <c r="E1673" t="s">
        <v>3996</v>
      </c>
    </row>
    <row r="1674" spans="3:5" customFormat="1" ht="17.399999999999999">
      <c r="C1674" t="s">
        <v>1440</v>
      </c>
      <c r="D1674" t="s">
        <v>3998</v>
      </c>
      <c r="E1674" t="s">
        <v>3997</v>
      </c>
    </row>
    <row r="1675" spans="3:5" customFormat="1" ht="17.399999999999999">
      <c r="C1675" t="s">
        <v>1441</v>
      </c>
      <c r="E1675" t="s">
        <v>717</v>
      </c>
    </row>
    <row r="1676" spans="3:5" customFormat="1" ht="17.399999999999999">
      <c r="C1676" t="s">
        <v>1441</v>
      </c>
      <c r="D1676" t="s">
        <v>4000</v>
      </c>
      <c r="E1676" t="s">
        <v>3999</v>
      </c>
    </row>
    <row r="1677" spans="3:5" customFormat="1" ht="17.399999999999999">
      <c r="C1677" t="s">
        <v>1442</v>
      </c>
      <c r="E1677" t="s">
        <v>1620</v>
      </c>
    </row>
    <row r="1678" spans="3:5" customFormat="1" ht="17.399999999999999">
      <c r="C1678" t="s">
        <v>1443</v>
      </c>
      <c r="E1678" t="s">
        <v>2670</v>
      </c>
    </row>
    <row r="1679" spans="3:5" customFormat="1" ht="17.399999999999999">
      <c r="C1679" t="s">
        <v>4001</v>
      </c>
      <c r="E1679" t="s">
        <v>4002</v>
      </c>
    </row>
    <row r="1680" spans="3:5" customFormat="1" ht="17.399999999999999">
      <c r="C1680" t="s">
        <v>2540</v>
      </c>
      <c r="E1680" t="s">
        <v>1786</v>
      </c>
    </row>
    <row r="1681" spans="3:5" customFormat="1" ht="17.399999999999999">
      <c r="C1681" t="s">
        <v>1444</v>
      </c>
      <c r="E1681" t="s">
        <v>4003</v>
      </c>
    </row>
    <row r="1682" spans="3:5" customFormat="1" ht="17.399999999999999">
      <c r="C1682" t="s">
        <v>1445</v>
      </c>
      <c r="E1682" t="s">
        <v>2697</v>
      </c>
    </row>
    <row r="1683" spans="3:5" customFormat="1" ht="17.399999999999999">
      <c r="C1683" t="s">
        <v>2541</v>
      </c>
      <c r="E1683" t="s">
        <v>2542</v>
      </c>
    </row>
    <row r="1684" spans="3:5" customFormat="1" ht="17.399999999999999">
      <c r="C1684" t="s">
        <v>4004</v>
      </c>
      <c r="E1684" t="s">
        <v>2543</v>
      </c>
    </row>
    <row r="1685" spans="3:5" customFormat="1" ht="17.399999999999999">
      <c r="C1685" t="s">
        <v>4005</v>
      </c>
      <c r="E1685" t="s">
        <v>4006</v>
      </c>
    </row>
    <row r="1686" spans="3:5" customFormat="1" ht="17.399999999999999">
      <c r="C1686" t="s">
        <v>153</v>
      </c>
      <c r="D1686" t="s">
        <v>4007</v>
      </c>
      <c r="E1686" t="s">
        <v>1191</v>
      </c>
    </row>
    <row r="1687" spans="3:5" customFormat="1" ht="17.399999999999999">
      <c r="C1687" t="s">
        <v>1446</v>
      </c>
      <c r="D1687" t="s">
        <v>4008</v>
      </c>
      <c r="E1687" t="s">
        <v>2544</v>
      </c>
    </row>
    <row r="1688" spans="3:5" customFormat="1" ht="17.399999999999999">
      <c r="C1688" t="s">
        <v>2545</v>
      </c>
      <c r="E1688" t="s">
        <v>1601</v>
      </c>
    </row>
    <row r="1689" spans="3:5" customFormat="1" ht="17.399999999999999">
      <c r="C1689" t="s">
        <v>4009</v>
      </c>
      <c r="E1689" t="s">
        <v>4010</v>
      </c>
    </row>
    <row r="1690" spans="3:5" customFormat="1" ht="17.399999999999999">
      <c r="C1690" t="s">
        <v>2546</v>
      </c>
      <c r="E1690" t="s">
        <v>4011</v>
      </c>
    </row>
    <row r="1691" spans="3:5" customFormat="1" ht="17.399999999999999">
      <c r="C1691" t="s">
        <v>4012</v>
      </c>
      <c r="E1691" t="s">
        <v>4013</v>
      </c>
    </row>
    <row r="1692" spans="3:5" customFormat="1" ht="17.399999999999999">
      <c r="C1692" t="s">
        <v>2547</v>
      </c>
      <c r="E1692" t="s">
        <v>499</v>
      </c>
    </row>
    <row r="1693" spans="3:5" customFormat="1" ht="17.399999999999999">
      <c r="C1693" t="s">
        <v>1450</v>
      </c>
      <c r="E1693" t="s">
        <v>1451</v>
      </c>
    </row>
    <row r="1694" spans="3:5" customFormat="1" ht="17.399999999999999">
      <c r="C1694" t="s">
        <v>1452</v>
      </c>
      <c r="D1694" t="s">
        <v>2011</v>
      </c>
      <c r="E1694" t="s">
        <v>4455</v>
      </c>
    </row>
    <row r="1695" spans="3:5" customFormat="1" ht="17.399999999999999">
      <c r="C1695" t="s">
        <v>1453</v>
      </c>
      <c r="E1695" t="s">
        <v>365</v>
      </c>
    </row>
    <row r="1696" spans="3:5" customFormat="1" ht="17.399999999999999">
      <c r="C1696" t="s">
        <v>1453</v>
      </c>
      <c r="D1696" t="s">
        <v>4014</v>
      </c>
      <c r="E1696" t="s">
        <v>1161</v>
      </c>
    </row>
    <row r="1697" spans="3:5" customFormat="1" ht="17.399999999999999">
      <c r="C1697" t="s">
        <v>1454</v>
      </c>
      <c r="E1697" t="s">
        <v>4015</v>
      </c>
    </row>
    <row r="1698" spans="3:5" customFormat="1" ht="17.399999999999999">
      <c r="C1698" t="s">
        <v>2549</v>
      </c>
      <c r="E1698" t="s">
        <v>571</v>
      </c>
    </row>
    <row r="1699" spans="3:5" customFormat="1" ht="17.399999999999999">
      <c r="C1699" t="s">
        <v>1455</v>
      </c>
      <c r="E1699" t="s">
        <v>1206</v>
      </c>
    </row>
    <row r="1700" spans="3:5" customFormat="1" ht="17.399999999999999">
      <c r="C1700" t="s">
        <v>1455</v>
      </c>
      <c r="D1700" t="s">
        <v>423</v>
      </c>
      <c r="E1700" t="s">
        <v>422</v>
      </c>
    </row>
    <row r="1701" spans="3:5" customFormat="1" ht="17.399999999999999">
      <c r="C1701" t="s">
        <v>1456</v>
      </c>
      <c r="D1701" t="s">
        <v>2550</v>
      </c>
      <c r="E1701" t="s">
        <v>529</v>
      </c>
    </row>
    <row r="1702" spans="3:5" customFormat="1" ht="17.399999999999999">
      <c r="C1702" t="s">
        <v>2551</v>
      </c>
      <c r="D1702" t="s">
        <v>2552</v>
      </c>
      <c r="E1702" t="s">
        <v>4456</v>
      </c>
    </row>
    <row r="1703" spans="3:5" customFormat="1" ht="17.399999999999999">
      <c r="C1703" t="s">
        <v>1690</v>
      </c>
      <c r="E1703" t="s">
        <v>2553</v>
      </c>
    </row>
    <row r="1704" spans="3:5" customFormat="1" ht="17.399999999999999">
      <c r="C1704" t="s">
        <v>1691</v>
      </c>
      <c r="E1704" t="s">
        <v>3575</v>
      </c>
    </row>
    <row r="1705" spans="3:5" customFormat="1" ht="17.399999999999999">
      <c r="C1705" t="s">
        <v>1691</v>
      </c>
      <c r="D1705" t="s">
        <v>4016</v>
      </c>
      <c r="E1705" t="s">
        <v>669</v>
      </c>
    </row>
    <row r="1706" spans="3:5" customFormat="1" ht="17.399999999999999">
      <c r="C1706" t="s">
        <v>1692</v>
      </c>
      <c r="E1706" t="s">
        <v>1693</v>
      </c>
    </row>
    <row r="1707" spans="3:5" customFormat="1" ht="17.399999999999999">
      <c r="C1707" t="s">
        <v>1695</v>
      </c>
      <c r="D1707" t="s">
        <v>1697</v>
      </c>
      <c r="E1707" t="s">
        <v>2554</v>
      </c>
    </row>
    <row r="1708" spans="3:5" customFormat="1" ht="17.399999999999999">
      <c r="C1708" t="s">
        <v>1698</v>
      </c>
      <c r="E1708" t="s">
        <v>2555</v>
      </c>
    </row>
    <row r="1709" spans="3:5" customFormat="1" ht="17.399999999999999">
      <c r="C1709" t="s">
        <v>1700</v>
      </c>
      <c r="E1709" t="s">
        <v>2556</v>
      </c>
    </row>
    <row r="1710" spans="3:5" customFormat="1" ht="17.399999999999999">
      <c r="C1710" t="s">
        <v>2557</v>
      </c>
      <c r="D1710" t="s">
        <v>4458</v>
      </c>
      <c r="E1710" t="s">
        <v>4457</v>
      </c>
    </row>
    <row r="1711" spans="3:5" customFormat="1" ht="17.399999999999999">
      <c r="C1711" t="s">
        <v>2558</v>
      </c>
      <c r="E1711" t="s">
        <v>2086</v>
      </c>
    </row>
    <row r="1712" spans="3:5" customFormat="1" ht="17.399999999999999">
      <c r="C1712" t="s">
        <v>4017</v>
      </c>
      <c r="E1712" t="s">
        <v>4018</v>
      </c>
    </row>
    <row r="1713" spans="3:5" customFormat="1" ht="17.399999999999999">
      <c r="C1713" t="s">
        <v>2559</v>
      </c>
      <c r="D1713" t="s">
        <v>4460</v>
      </c>
      <c r="E1713" t="s">
        <v>4459</v>
      </c>
    </row>
    <row r="1714" spans="3:5" customFormat="1" ht="17.399999999999999">
      <c r="C1714" t="s">
        <v>4019</v>
      </c>
      <c r="E1714" t="s">
        <v>4020</v>
      </c>
    </row>
    <row r="1715" spans="3:5" customFormat="1" ht="17.399999999999999">
      <c r="C1715" t="s">
        <v>1175</v>
      </c>
      <c r="E1715" t="s">
        <v>2560</v>
      </c>
    </row>
    <row r="1716" spans="3:5" customFormat="1" ht="17.399999999999999">
      <c r="C1716" t="s">
        <v>1702</v>
      </c>
      <c r="E1716" t="s">
        <v>1703</v>
      </c>
    </row>
    <row r="1717" spans="3:5" customFormat="1" ht="17.399999999999999">
      <c r="C1717" t="s">
        <v>1704</v>
      </c>
      <c r="E1717" t="s">
        <v>4021</v>
      </c>
    </row>
    <row r="1718" spans="3:5" customFormat="1" ht="17.399999999999999">
      <c r="C1718" t="s">
        <v>2561</v>
      </c>
      <c r="E1718" t="s">
        <v>4022</v>
      </c>
    </row>
    <row r="1719" spans="3:5" customFormat="1" ht="17.399999999999999">
      <c r="C1719" t="s">
        <v>1705</v>
      </c>
      <c r="E1719" t="s">
        <v>2076</v>
      </c>
    </row>
    <row r="1720" spans="3:5" customFormat="1" ht="17.399999999999999">
      <c r="C1720" t="s">
        <v>1709</v>
      </c>
      <c r="E1720" t="s">
        <v>926</v>
      </c>
    </row>
    <row r="1721" spans="3:5" customFormat="1" ht="17.399999999999999">
      <c r="C1721" t="s">
        <v>1710</v>
      </c>
      <c r="D1721" t="s">
        <v>4024</v>
      </c>
      <c r="E1721" t="s">
        <v>4023</v>
      </c>
    </row>
    <row r="1722" spans="3:5" customFormat="1" ht="17.399999999999999">
      <c r="C1722" t="s">
        <v>2562</v>
      </c>
      <c r="E1722" t="s">
        <v>4025</v>
      </c>
    </row>
    <row r="1723" spans="3:5" customFormat="1" ht="17.399999999999999">
      <c r="C1723" t="s">
        <v>4026</v>
      </c>
      <c r="E1723" t="s">
        <v>4027</v>
      </c>
    </row>
    <row r="1724" spans="3:5" customFormat="1" ht="17.399999999999999">
      <c r="C1724" t="s">
        <v>1631</v>
      </c>
      <c r="D1724" t="s">
        <v>1633</v>
      </c>
      <c r="E1724" t="s">
        <v>1632</v>
      </c>
    </row>
    <row r="1725" spans="3:5" customFormat="1" ht="17.399999999999999">
      <c r="C1725" t="s">
        <v>1634</v>
      </c>
      <c r="E1725" t="s">
        <v>183</v>
      </c>
    </row>
    <row r="1726" spans="3:5" customFormat="1" ht="17.399999999999999">
      <c r="C1726" t="s">
        <v>4028</v>
      </c>
      <c r="E1726" t="s">
        <v>4029</v>
      </c>
    </row>
    <row r="1727" spans="3:5" customFormat="1" ht="17.399999999999999">
      <c r="C1727" t="s">
        <v>4030</v>
      </c>
      <c r="E1727" t="s">
        <v>4031</v>
      </c>
    </row>
    <row r="1728" spans="3:5" customFormat="1" ht="17.399999999999999">
      <c r="C1728" t="s">
        <v>1754</v>
      </c>
      <c r="E1728" t="s">
        <v>1755</v>
      </c>
    </row>
    <row r="1729" spans="3:5" customFormat="1" ht="17.399999999999999">
      <c r="C1729" t="s">
        <v>1756</v>
      </c>
      <c r="E1729" t="s">
        <v>2798</v>
      </c>
    </row>
    <row r="1730" spans="3:5" customFormat="1" ht="17.399999999999999">
      <c r="C1730" t="s">
        <v>1242</v>
      </c>
      <c r="E1730" t="s">
        <v>4032</v>
      </c>
    </row>
    <row r="1731" spans="3:5" customFormat="1" ht="17.399999999999999">
      <c r="C1731" t="s">
        <v>2563</v>
      </c>
      <c r="E1731" t="s">
        <v>2564</v>
      </c>
    </row>
    <row r="1732" spans="3:5" customFormat="1" ht="17.399999999999999">
      <c r="C1732" t="s">
        <v>1243</v>
      </c>
      <c r="D1732" t="s">
        <v>471</v>
      </c>
      <c r="E1732" t="s">
        <v>1244</v>
      </c>
    </row>
    <row r="1733" spans="3:5" customFormat="1" ht="17.399999999999999">
      <c r="C1733" t="s">
        <v>2565</v>
      </c>
      <c r="E1733" t="s">
        <v>2766</v>
      </c>
    </row>
    <row r="1734" spans="3:5" customFormat="1" ht="17.399999999999999">
      <c r="C1734" t="s">
        <v>2567</v>
      </c>
      <c r="E1734" t="s">
        <v>331</v>
      </c>
    </row>
    <row r="1735" spans="3:5" customFormat="1" ht="17.399999999999999">
      <c r="C1735" t="s">
        <v>1245</v>
      </c>
      <c r="E1735" t="s">
        <v>2726</v>
      </c>
    </row>
    <row r="1736" spans="3:5" customFormat="1" ht="17.399999999999999">
      <c r="C1736" t="s">
        <v>1248</v>
      </c>
      <c r="E1736" t="s">
        <v>1533</v>
      </c>
    </row>
    <row r="1737" spans="3:5" customFormat="1" ht="17.399999999999999">
      <c r="C1737" t="s">
        <v>2568</v>
      </c>
      <c r="E1737" t="s">
        <v>4033</v>
      </c>
    </row>
    <row r="1738" spans="3:5" customFormat="1" ht="17.399999999999999">
      <c r="C1738" t="s">
        <v>2570</v>
      </c>
      <c r="D1738" t="s">
        <v>4034</v>
      </c>
      <c r="E1738" t="s">
        <v>2749</v>
      </c>
    </row>
    <row r="1739" spans="3:5" customFormat="1" ht="17.399999999999999">
      <c r="C1739" t="s">
        <v>1250</v>
      </c>
      <c r="E1739" t="s">
        <v>1251</v>
      </c>
    </row>
    <row r="1740" spans="3:5" customFormat="1" ht="17.399999999999999">
      <c r="C1740" t="s">
        <v>1250</v>
      </c>
      <c r="D1740" t="s">
        <v>1252</v>
      </c>
      <c r="E1740" t="s">
        <v>1170</v>
      </c>
    </row>
    <row r="1741" spans="3:5" customFormat="1" ht="17.399999999999999">
      <c r="C1741" t="s">
        <v>1253</v>
      </c>
      <c r="E1741" t="s">
        <v>4035</v>
      </c>
    </row>
    <row r="1742" spans="3:5" customFormat="1" ht="17.399999999999999">
      <c r="C1742" t="s">
        <v>4036</v>
      </c>
      <c r="E1742" t="s">
        <v>4037</v>
      </c>
    </row>
    <row r="1743" spans="3:5" customFormat="1" ht="17.399999999999999">
      <c r="C1743" t="s">
        <v>1254</v>
      </c>
      <c r="E1743" t="s">
        <v>1255</v>
      </c>
    </row>
    <row r="1744" spans="3:5" customFormat="1" ht="17.399999999999999">
      <c r="C1744" t="s">
        <v>1256</v>
      </c>
      <c r="E1744" t="s">
        <v>1257</v>
      </c>
    </row>
    <row r="1745" spans="3:5" customFormat="1" ht="17.399999999999999">
      <c r="C1745" t="s">
        <v>2571</v>
      </c>
      <c r="E1745" t="s">
        <v>4038</v>
      </c>
    </row>
    <row r="1746" spans="3:5" customFormat="1" ht="17.399999999999999">
      <c r="C1746" t="s">
        <v>4039</v>
      </c>
      <c r="E1746" t="s">
        <v>4040</v>
      </c>
    </row>
    <row r="1747" spans="3:5" customFormat="1" ht="17.399999999999999">
      <c r="C1747" t="s">
        <v>1322</v>
      </c>
      <c r="D1747" t="s">
        <v>4042</v>
      </c>
      <c r="E1747" t="s">
        <v>4041</v>
      </c>
    </row>
    <row r="1748" spans="3:5" customFormat="1" ht="17.399999999999999">
      <c r="C1748" t="s">
        <v>1324</v>
      </c>
      <c r="E1748" t="s">
        <v>1361</v>
      </c>
    </row>
    <row r="1749" spans="3:5" customFormat="1" ht="17.399999999999999">
      <c r="C1749" t="s">
        <v>1343</v>
      </c>
      <c r="E1749" t="s">
        <v>1344</v>
      </c>
    </row>
    <row r="1750" spans="3:5" customFormat="1" ht="17.399999999999999">
      <c r="C1750" t="s">
        <v>1346</v>
      </c>
      <c r="E1750" t="s">
        <v>2572</v>
      </c>
    </row>
    <row r="1751" spans="3:5" customFormat="1" ht="17.399999999999999">
      <c r="C1751" t="s">
        <v>2573</v>
      </c>
      <c r="E1751" t="s">
        <v>1275</v>
      </c>
    </row>
    <row r="1752" spans="3:5" customFormat="1" ht="17.399999999999999">
      <c r="C1752" t="s">
        <v>1347</v>
      </c>
      <c r="E1752" t="s">
        <v>76</v>
      </c>
    </row>
    <row r="1753" spans="3:5" customFormat="1" ht="17.399999999999999">
      <c r="C1753" t="s">
        <v>1349</v>
      </c>
      <c r="E1753" t="s">
        <v>2576</v>
      </c>
    </row>
    <row r="1754" spans="3:5" customFormat="1" ht="17.399999999999999">
      <c r="C1754" t="s">
        <v>1349</v>
      </c>
      <c r="D1754" t="s">
        <v>4044</v>
      </c>
      <c r="E1754" t="s">
        <v>4043</v>
      </c>
    </row>
    <row r="1755" spans="3:5" customFormat="1" ht="17.399999999999999">
      <c r="C1755" t="s">
        <v>4045</v>
      </c>
      <c r="E1755" t="s">
        <v>4046</v>
      </c>
    </row>
    <row r="1756" spans="3:5" customFormat="1" ht="17.399999999999999">
      <c r="C1756" t="s">
        <v>1351</v>
      </c>
      <c r="E1756" t="s">
        <v>4047</v>
      </c>
    </row>
    <row r="1757" spans="3:5" customFormat="1" ht="17.399999999999999">
      <c r="C1757" t="s">
        <v>4048</v>
      </c>
      <c r="E1757" t="s">
        <v>4049</v>
      </c>
    </row>
    <row r="1758" spans="3:5" customFormat="1" ht="17.399999999999999">
      <c r="C1758" t="s">
        <v>1352</v>
      </c>
      <c r="D1758" t="s">
        <v>4051</v>
      </c>
      <c r="E1758" t="s">
        <v>4050</v>
      </c>
    </row>
    <row r="1759" spans="3:5" customFormat="1" ht="17.399999999999999">
      <c r="C1759" t="s">
        <v>1353</v>
      </c>
      <c r="E1759" t="s">
        <v>2739</v>
      </c>
    </row>
    <row r="1760" spans="3:5" customFormat="1" ht="17.399999999999999">
      <c r="C1760" t="s">
        <v>4461</v>
      </c>
      <c r="D1760" t="s">
        <v>4463</v>
      </c>
      <c r="E1760" t="s">
        <v>4462</v>
      </c>
    </row>
    <row r="1761" spans="3:5" customFormat="1" ht="17.399999999999999">
      <c r="C1761" t="s">
        <v>2577</v>
      </c>
      <c r="D1761" t="s">
        <v>4053</v>
      </c>
      <c r="E1761" t="s">
        <v>4052</v>
      </c>
    </row>
    <row r="1762" spans="3:5" customFormat="1" ht="17.399999999999999">
      <c r="C1762" t="s">
        <v>2577</v>
      </c>
      <c r="D1762" t="s">
        <v>4055</v>
      </c>
      <c r="E1762" t="s">
        <v>4054</v>
      </c>
    </row>
    <row r="1763" spans="3:5" customFormat="1" ht="17.399999999999999">
      <c r="C1763" t="s">
        <v>1356</v>
      </c>
      <c r="E1763" t="s">
        <v>221</v>
      </c>
    </row>
    <row r="1764" spans="3:5" customFormat="1" ht="17.399999999999999">
      <c r="C1764" t="s">
        <v>1358</v>
      </c>
      <c r="D1764" t="s">
        <v>4056</v>
      </c>
      <c r="E1764" t="s">
        <v>2529</v>
      </c>
    </row>
    <row r="1765" spans="3:5" customFormat="1" ht="17.399999999999999">
      <c r="C1765" t="s">
        <v>1359</v>
      </c>
      <c r="E1765" t="s">
        <v>1111</v>
      </c>
    </row>
    <row r="1766" spans="3:5" customFormat="1" ht="17.399999999999999">
      <c r="C1766" t="s">
        <v>1360</v>
      </c>
      <c r="E1766" t="s">
        <v>1302</v>
      </c>
    </row>
    <row r="1767" spans="3:5" customFormat="1" ht="17.399999999999999">
      <c r="C1767" t="s">
        <v>1364</v>
      </c>
      <c r="E1767" t="s">
        <v>4057</v>
      </c>
    </row>
    <row r="1768" spans="3:5" customFormat="1" ht="17.399999999999999">
      <c r="C1768" t="s">
        <v>1365</v>
      </c>
      <c r="E1768" t="s">
        <v>1354</v>
      </c>
    </row>
    <row r="1769" spans="3:5" customFormat="1" ht="17.399999999999999">
      <c r="C1769" t="s">
        <v>4058</v>
      </c>
      <c r="E1769" t="s">
        <v>4059</v>
      </c>
    </row>
    <row r="1770" spans="3:5" customFormat="1" ht="17.399999999999999">
      <c r="C1770" t="s">
        <v>1367</v>
      </c>
      <c r="E1770" t="s">
        <v>1368</v>
      </c>
    </row>
    <row r="1771" spans="3:5" customFormat="1" ht="17.399999999999999">
      <c r="C1771" t="s">
        <v>1369</v>
      </c>
      <c r="D1771" t="s">
        <v>4060</v>
      </c>
      <c r="E1771" t="s">
        <v>2742</v>
      </c>
    </row>
    <row r="1772" spans="3:5" customFormat="1" ht="17.399999999999999">
      <c r="C1772" t="s">
        <v>1369</v>
      </c>
      <c r="D1772" t="s">
        <v>4060</v>
      </c>
      <c r="E1772" t="s">
        <v>345</v>
      </c>
    </row>
    <row r="1773" spans="3:5" customFormat="1" ht="17.399999999999999">
      <c r="C1773" t="s">
        <v>4061</v>
      </c>
      <c r="E1773" t="s">
        <v>4062</v>
      </c>
    </row>
    <row r="1774" spans="3:5" customFormat="1" ht="17.399999999999999">
      <c r="C1774" t="s">
        <v>1370</v>
      </c>
      <c r="E1774" t="s">
        <v>4063</v>
      </c>
    </row>
    <row r="1775" spans="3:5" customFormat="1" ht="17.399999999999999">
      <c r="C1775" t="s">
        <v>1371</v>
      </c>
      <c r="E1775" t="s">
        <v>1224</v>
      </c>
    </row>
    <row r="1776" spans="3:5" customFormat="1" ht="17.399999999999999">
      <c r="C1776" t="s">
        <v>1372</v>
      </c>
      <c r="E1776" t="s">
        <v>2243</v>
      </c>
    </row>
    <row r="1777" spans="3:5" customFormat="1" ht="17.399999999999999">
      <c r="C1777" t="s">
        <v>1372</v>
      </c>
      <c r="D1777" t="s">
        <v>1373</v>
      </c>
      <c r="E1777" t="s">
        <v>852</v>
      </c>
    </row>
    <row r="1778" spans="3:5" customFormat="1" ht="17.399999999999999">
      <c r="C1778" t="s">
        <v>2578</v>
      </c>
      <c r="E1778" t="s">
        <v>848</v>
      </c>
    </row>
    <row r="1779" spans="3:5" customFormat="1" ht="17.399999999999999">
      <c r="C1779" t="s">
        <v>1375</v>
      </c>
      <c r="E1779" t="s">
        <v>2579</v>
      </c>
    </row>
    <row r="1780" spans="3:5" customFormat="1" ht="17.399999999999999">
      <c r="C1780" t="s">
        <v>1376</v>
      </c>
      <c r="D1780" t="s">
        <v>1377</v>
      </c>
      <c r="E1780" t="s">
        <v>4064</v>
      </c>
    </row>
    <row r="1781" spans="3:5" customFormat="1" ht="17.399999999999999">
      <c r="C1781" t="s">
        <v>4065</v>
      </c>
      <c r="E1781" t="s">
        <v>1750</v>
      </c>
    </row>
    <row r="1782" spans="3:5" customFormat="1" ht="17.399999999999999">
      <c r="C1782" t="s">
        <v>1378</v>
      </c>
      <c r="E1782" t="s">
        <v>313</v>
      </c>
    </row>
    <row r="1783" spans="3:5" customFormat="1" ht="17.399999999999999">
      <c r="C1783" t="s">
        <v>1379</v>
      </c>
      <c r="E1783" t="s">
        <v>4066</v>
      </c>
    </row>
    <row r="1784" spans="3:5" customFormat="1" ht="17.399999999999999">
      <c r="C1784" t="s">
        <v>1258</v>
      </c>
      <c r="D1784" t="s">
        <v>4068</v>
      </c>
      <c r="E1784" t="s">
        <v>4067</v>
      </c>
    </row>
    <row r="1785" spans="3:5" customFormat="1" ht="17.399999999999999">
      <c r="C1785" t="s">
        <v>1259</v>
      </c>
      <c r="E1785" t="s">
        <v>1260</v>
      </c>
    </row>
    <row r="1786" spans="3:5" customFormat="1" ht="17.399999999999999">
      <c r="C1786" t="s">
        <v>1290</v>
      </c>
      <c r="E1786" t="s">
        <v>1478</v>
      </c>
    </row>
    <row r="1787" spans="3:5" customFormat="1" ht="17.399999999999999">
      <c r="C1787" t="s">
        <v>1292</v>
      </c>
      <c r="D1787" t="s">
        <v>1294</v>
      </c>
      <c r="E1787" t="s">
        <v>1293</v>
      </c>
    </row>
    <row r="1788" spans="3:5" customFormat="1" ht="17.399999999999999">
      <c r="C1788" t="s">
        <v>1295</v>
      </c>
      <c r="E1788" t="s">
        <v>4069</v>
      </c>
    </row>
    <row r="1789" spans="3:5" customFormat="1" ht="17.399999999999999">
      <c r="C1789" t="s">
        <v>1295</v>
      </c>
      <c r="E1789" t="s">
        <v>4069</v>
      </c>
    </row>
    <row r="1790" spans="3:5" customFormat="1" ht="17.399999999999999">
      <c r="C1790" t="s">
        <v>1295</v>
      </c>
      <c r="D1790" t="s">
        <v>4071</v>
      </c>
      <c r="E1790" t="s">
        <v>4070</v>
      </c>
    </row>
    <row r="1791" spans="3:5" customFormat="1" ht="17.399999999999999">
      <c r="C1791" t="s">
        <v>1296</v>
      </c>
      <c r="E1791" t="s">
        <v>634</v>
      </c>
    </row>
    <row r="1792" spans="3:5" customFormat="1" ht="17.399999999999999">
      <c r="C1792" t="s">
        <v>1297</v>
      </c>
      <c r="D1792" t="s">
        <v>4072</v>
      </c>
      <c r="E1792" t="s">
        <v>2581</v>
      </c>
    </row>
    <row r="1793" spans="3:5" customFormat="1" ht="17.399999999999999">
      <c r="C1793" t="s">
        <v>1298</v>
      </c>
      <c r="D1793" t="s">
        <v>4465</v>
      </c>
      <c r="E1793" t="s">
        <v>4464</v>
      </c>
    </row>
    <row r="1794" spans="3:5" customFormat="1" ht="17.399999999999999">
      <c r="C1794" t="s">
        <v>1299</v>
      </c>
      <c r="E1794" t="s">
        <v>521</v>
      </c>
    </row>
    <row r="1795" spans="3:5" customFormat="1" ht="17.399999999999999">
      <c r="C1795" t="s">
        <v>1300</v>
      </c>
      <c r="D1795" t="s">
        <v>1291</v>
      </c>
      <c r="E1795" t="s">
        <v>4073</v>
      </c>
    </row>
    <row r="1796" spans="3:5" customFormat="1" ht="17.399999999999999">
      <c r="C1796" t="s">
        <v>1300</v>
      </c>
      <c r="D1796" t="s">
        <v>1291</v>
      </c>
      <c r="E1796" t="s">
        <v>1383</v>
      </c>
    </row>
    <row r="1797" spans="3:5" customFormat="1" ht="17.399999999999999">
      <c r="C1797" t="s">
        <v>1301</v>
      </c>
      <c r="D1797" t="s">
        <v>1261</v>
      </c>
      <c r="E1797" t="s">
        <v>1261</v>
      </c>
    </row>
    <row r="1798" spans="3:5" customFormat="1" ht="17.399999999999999">
      <c r="C1798" t="s">
        <v>1303</v>
      </c>
      <c r="D1798" t="s">
        <v>4467</v>
      </c>
      <c r="E1798" t="s">
        <v>4466</v>
      </c>
    </row>
    <row r="1799" spans="3:5" customFormat="1" ht="17.399999999999999">
      <c r="C1799" t="s">
        <v>1304</v>
      </c>
      <c r="E1799" t="s">
        <v>4074</v>
      </c>
    </row>
    <row r="1800" spans="3:5" customFormat="1" ht="17.399999999999999">
      <c r="C1800" t="s">
        <v>2582</v>
      </c>
      <c r="E1800" t="s">
        <v>4075</v>
      </c>
    </row>
    <row r="1801" spans="3:5" customFormat="1" ht="17.399999999999999">
      <c r="C1801" t="s">
        <v>4076</v>
      </c>
      <c r="D1801" t="s">
        <v>4078</v>
      </c>
      <c r="E1801" t="s">
        <v>4077</v>
      </c>
    </row>
    <row r="1802" spans="3:5" customFormat="1" ht="17.399999999999999">
      <c r="C1802" t="s">
        <v>4079</v>
      </c>
      <c r="E1802" t="s">
        <v>1901</v>
      </c>
    </row>
    <row r="1803" spans="3:5" customFormat="1" ht="17.399999999999999">
      <c r="C1803" t="s">
        <v>4080</v>
      </c>
      <c r="E1803" t="s">
        <v>4081</v>
      </c>
    </row>
    <row r="1804" spans="3:5" customFormat="1" ht="17.399999999999999">
      <c r="C1804" t="s">
        <v>19</v>
      </c>
      <c r="E1804" t="s">
        <v>1306</v>
      </c>
    </row>
    <row r="1805" spans="3:5" customFormat="1" ht="17.399999999999999">
      <c r="C1805" t="s">
        <v>2584</v>
      </c>
      <c r="E1805" t="s">
        <v>4082</v>
      </c>
    </row>
    <row r="1806" spans="3:5" customFormat="1" ht="17.399999999999999">
      <c r="C1806" t="s">
        <v>2585</v>
      </c>
      <c r="E1806" t="s">
        <v>2181</v>
      </c>
    </row>
    <row r="1807" spans="3:5" customFormat="1" ht="17.399999999999999">
      <c r="C1807" t="s">
        <v>49</v>
      </c>
      <c r="E1807" t="s">
        <v>4083</v>
      </c>
    </row>
    <row r="1808" spans="3:5" customFormat="1" ht="17.399999999999999">
      <c r="C1808" t="s">
        <v>2586</v>
      </c>
      <c r="E1808" t="s">
        <v>2714</v>
      </c>
    </row>
    <row r="1809" spans="3:5" customFormat="1" ht="17.399999999999999">
      <c r="C1809" t="s">
        <v>1308</v>
      </c>
      <c r="E1809" t="s">
        <v>77</v>
      </c>
    </row>
    <row r="1810" spans="3:5" customFormat="1" ht="17.399999999999999">
      <c r="C1810" t="s">
        <v>1311</v>
      </c>
      <c r="E1810" t="s">
        <v>4084</v>
      </c>
    </row>
    <row r="1811" spans="3:5" customFormat="1" ht="17.399999999999999">
      <c r="C1811" t="s">
        <v>1311</v>
      </c>
      <c r="D1811" t="s">
        <v>1863</v>
      </c>
      <c r="E1811" t="s">
        <v>1862</v>
      </c>
    </row>
    <row r="1812" spans="3:5" customFormat="1" ht="17.399999999999999">
      <c r="C1812" t="s">
        <v>1312</v>
      </c>
      <c r="E1812" t="s">
        <v>566</v>
      </c>
    </row>
    <row r="1813" spans="3:5" customFormat="1" ht="17.399999999999999">
      <c r="C1813" t="s">
        <v>1314</v>
      </c>
      <c r="E1813" t="s">
        <v>2587</v>
      </c>
    </row>
    <row r="1814" spans="3:5" customFormat="1" ht="17.399999999999999">
      <c r="C1814" t="s">
        <v>2588</v>
      </c>
      <c r="D1814" t="s">
        <v>4086</v>
      </c>
      <c r="E1814" t="s">
        <v>4085</v>
      </c>
    </row>
    <row r="1815" spans="3:5" customFormat="1" ht="17.399999999999999">
      <c r="C1815" t="s">
        <v>1316</v>
      </c>
      <c r="E1815" t="s">
        <v>4087</v>
      </c>
    </row>
    <row r="1816" spans="3:5" customFormat="1" ht="17.399999999999999">
      <c r="C1816" t="s">
        <v>1316</v>
      </c>
      <c r="E1816" t="s">
        <v>4087</v>
      </c>
    </row>
    <row r="1817" spans="3:5" customFormat="1" ht="17.399999999999999">
      <c r="C1817" t="s">
        <v>1316</v>
      </c>
      <c r="D1817" t="s">
        <v>4088</v>
      </c>
      <c r="E1817" t="s">
        <v>3887</v>
      </c>
    </row>
    <row r="1818" spans="3:5" customFormat="1" ht="17.399999999999999">
      <c r="C1818" t="s">
        <v>1318</v>
      </c>
      <c r="E1818" t="s">
        <v>2592</v>
      </c>
    </row>
    <row r="1819" spans="3:5" customFormat="1" ht="17.399999999999999">
      <c r="C1819" t="s">
        <v>1319</v>
      </c>
      <c r="E1819" t="s">
        <v>1762</v>
      </c>
    </row>
    <row r="1820" spans="3:5" customFormat="1" ht="17.399999999999999">
      <c r="C1820" t="s">
        <v>1320</v>
      </c>
      <c r="D1820" t="s">
        <v>1321</v>
      </c>
      <c r="E1820" t="s">
        <v>2593</v>
      </c>
    </row>
    <row r="1821" spans="3:5" customFormat="1" ht="17.399999999999999">
      <c r="C1821" t="s">
        <v>1821</v>
      </c>
      <c r="E1821" t="s">
        <v>718</v>
      </c>
    </row>
    <row r="1822" spans="3:5" customFormat="1" ht="17.399999999999999">
      <c r="C1822" t="s">
        <v>1823</v>
      </c>
      <c r="E1822" t="s">
        <v>2595</v>
      </c>
    </row>
    <row r="1823" spans="3:5" customFormat="1" ht="17.399999999999999">
      <c r="C1823" t="s">
        <v>1824</v>
      </c>
      <c r="E1823" t="s">
        <v>1825</v>
      </c>
    </row>
    <row r="1824" spans="3:5" customFormat="1" ht="17.399999999999999">
      <c r="C1824" t="s">
        <v>1829</v>
      </c>
      <c r="D1824" t="s">
        <v>4090</v>
      </c>
      <c r="E1824" t="s">
        <v>4089</v>
      </c>
    </row>
    <row r="1825" spans="3:5" customFormat="1" ht="17.399999999999999">
      <c r="C1825" t="s">
        <v>2597</v>
      </c>
      <c r="E1825" t="s">
        <v>2598</v>
      </c>
    </row>
    <row r="1826" spans="3:5" customFormat="1" ht="17.399999999999999">
      <c r="C1826" t="s">
        <v>4091</v>
      </c>
      <c r="E1826" t="s">
        <v>4092</v>
      </c>
    </row>
    <row r="1827" spans="3:5" customFormat="1" ht="17.399999999999999">
      <c r="C1827" t="s">
        <v>4093</v>
      </c>
      <c r="E1827" t="s">
        <v>4094</v>
      </c>
    </row>
    <row r="1828" spans="3:5" customFormat="1" ht="17.399999999999999">
      <c r="C1828" t="s">
        <v>2599</v>
      </c>
      <c r="E1828" t="s">
        <v>2717</v>
      </c>
    </row>
    <row r="1829" spans="3:5" customFormat="1" ht="17.399999999999999">
      <c r="C1829" t="s">
        <v>4095</v>
      </c>
      <c r="E1829" t="s">
        <v>4096</v>
      </c>
    </row>
    <row r="1830" spans="3:5" customFormat="1" ht="17.399999999999999">
      <c r="C1830" t="s">
        <v>4097</v>
      </c>
      <c r="E1830" t="s">
        <v>1834</v>
      </c>
    </row>
    <row r="1831" spans="3:5" customFormat="1" ht="17.399999999999999">
      <c r="C1831" t="s">
        <v>1830</v>
      </c>
      <c r="D1831" t="s">
        <v>1657</v>
      </c>
      <c r="E1831" t="s">
        <v>1656</v>
      </c>
    </row>
    <row r="1832" spans="3:5" customFormat="1" ht="17.399999999999999">
      <c r="C1832" t="s">
        <v>1832</v>
      </c>
      <c r="E1832" t="s">
        <v>4098</v>
      </c>
    </row>
    <row r="1833" spans="3:5" customFormat="1" ht="17.399999999999999">
      <c r="C1833" t="s">
        <v>1833</v>
      </c>
      <c r="E1833" t="s">
        <v>1795</v>
      </c>
    </row>
    <row r="1834" spans="3:5" customFormat="1" ht="17.399999999999999">
      <c r="C1834" t="s">
        <v>2600</v>
      </c>
      <c r="E1834" t="s">
        <v>4099</v>
      </c>
    </row>
    <row r="1835" spans="3:5" customFormat="1" ht="17.399999999999999">
      <c r="C1835" t="s">
        <v>4100</v>
      </c>
      <c r="E1835" t="s">
        <v>4101</v>
      </c>
    </row>
    <row r="1836" spans="3:5" customFormat="1" ht="17.399999999999999">
      <c r="C1836" t="s">
        <v>1839</v>
      </c>
      <c r="E1836" t="s">
        <v>4102</v>
      </c>
    </row>
    <row r="1837" spans="3:5" customFormat="1" ht="17.399999999999999">
      <c r="C1837" t="s">
        <v>1841</v>
      </c>
      <c r="E1837" t="s">
        <v>2486</v>
      </c>
    </row>
    <row r="1838" spans="3:5" customFormat="1" ht="17.399999999999999">
      <c r="C1838" t="s">
        <v>2602</v>
      </c>
      <c r="E1838" t="s">
        <v>4103</v>
      </c>
    </row>
    <row r="1839" spans="3:5" customFormat="1" ht="17.399999999999999">
      <c r="C1839" t="s">
        <v>2603</v>
      </c>
      <c r="E1839" t="s">
        <v>4104</v>
      </c>
    </row>
    <row r="1840" spans="3:5" customFormat="1" ht="17.399999999999999">
      <c r="C1840" t="s">
        <v>1842</v>
      </c>
      <c r="E1840" t="s">
        <v>4105</v>
      </c>
    </row>
    <row r="1841" spans="3:5" customFormat="1" ht="17.399999999999999">
      <c r="C1841" t="s">
        <v>1843</v>
      </c>
      <c r="E1841" t="s">
        <v>4106</v>
      </c>
    </row>
    <row r="1842" spans="3:5" customFormat="1" ht="17.399999999999999">
      <c r="C1842" t="s">
        <v>1845</v>
      </c>
      <c r="D1842" t="s">
        <v>1904</v>
      </c>
      <c r="E1842" t="s">
        <v>1886</v>
      </c>
    </row>
    <row r="1843" spans="3:5" customFormat="1" ht="17.399999999999999">
      <c r="C1843" t="s">
        <v>1846</v>
      </c>
      <c r="D1843" t="s">
        <v>1847</v>
      </c>
      <c r="E1843" t="s">
        <v>1438</v>
      </c>
    </row>
    <row r="1844" spans="3:5" customFormat="1" ht="17.399999999999999">
      <c r="C1844" t="s">
        <v>2605</v>
      </c>
      <c r="E1844" t="s">
        <v>2300</v>
      </c>
    </row>
    <row r="1845" spans="3:5" customFormat="1" ht="17.399999999999999">
      <c r="C1845" t="s">
        <v>4107</v>
      </c>
      <c r="E1845" t="s">
        <v>2468</v>
      </c>
    </row>
    <row r="1846" spans="3:5" customFormat="1" ht="17.399999999999999">
      <c r="C1846" t="s">
        <v>1848</v>
      </c>
      <c r="D1846" t="s">
        <v>4108</v>
      </c>
      <c r="E1846" t="s">
        <v>1788</v>
      </c>
    </row>
    <row r="1847" spans="3:5" customFormat="1" ht="17.399999999999999">
      <c r="C1847" t="s">
        <v>1848</v>
      </c>
      <c r="D1847" t="s">
        <v>4108</v>
      </c>
      <c r="E1847" t="s">
        <v>2606</v>
      </c>
    </row>
    <row r="1848" spans="3:5" customFormat="1" ht="17.399999999999999">
      <c r="C1848" t="s">
        <v>4109</v>
      </c>
      <c r="D1848" t="s">
        <v>2607</v>
      </c>
      <c r="E1848" t="s">
        <v>4110</v>
      </c>
    </row>
    <row r="1849" spans="3:5" customFormat="1" ht="17.399999999999999">
      <c r="C1849" t="s">
        <v>1849</v>
      </c>
      <c r="E1849" t="s">
        <v>4111</v>
      </c>
    </row>
    <row r="1850" spans="3:5" customFormat="1" ht="17.399999999999999">
      <c r="C1850" t="s">
        <v>4112</v>
      </c>
      <c r="E1850" t="s">
        <v>4113</v>
      </c>
    </row>
    <row r="1851" spans="3:5" customFormat="1" ht="17.399999999999999">
      <c r="C1851" t="s">
        <v>1851</v>
      </c>
      <c r="D1851" t="s">
        <v>4115</v>
      </c>
      <c r="E1851" t="s">
        <v>4114</v>
      </c>
    </row>
    <row r="1852" spans="3:5" customFormat="1" ht="17.399999999999999">
      <c r="C1852" t="s">
        <v>1852</v>
      </c>
      <c r="E1852" t="s">
        <v>4116</v>
      </c>
    </row>
    <row r="1853" spans="3:5" customFormat="1" ht="17.399999999999999">
      <c r="C1853" t="s">
        <v>1852</v>
      </c>
      <c r="D1853" t="s">
        <v>4117</v>
      </c>
      <c r="E1853" t="s">
        <v>222</v>
      </c>
    </row>
    <row r="1854" spans="3:5" customFormat="1" ht="17.399999999999999">
      <c r="C1854" t="s">
        <v>2609</v>
      </c>
      <c r="E1854" t="s">
        <v>4118</v>
      </c>
    </row>
    <row r="1855" spans="3:5" customFormat="1" ht="17.399999999999999">
      <c r="C1855" t="s">
        <v>4119</v>
      </c>
      <c r="E1855" t="s">
        <v>4120</v>
      </c>
    </row>
    <row r="1856" spans="3:5" customFormat="1" ht="17.399999999999999">
      <c r="C1856" t="s">
        <v>1853</v>
      </c>
      <c r="E1856" t="s">
        <v>679</v>
      </c>
    </row>
    <row r="1857" spans="3:5" customFormat="1" ht="17.399999999999999">
      <c r="C1857" t="s">
        <v>1853</v>
      </c>
      <c r="D1857" t="s">
        <v>1083</v>
      </c>
      <c r="E1857" t="s">
        <v>1082</v>
      </c>
    </row>
    <row r="1858" spans="3:5" customFormat="1" ht="17.399999999999999">
      <c r="C1858" t="s">
        <v>1856</v>
      </c>
      <c r="E1858" t="s">
        <v>2154</v>
      </c>
    </row>
    <row r="1859" spans="3:5" customFormat="1" ht="17.399999999999999">
      <c r="C1859" t="s">
        <v>1857</v>
      </c>
      <c r="E1859" t="s">
        <v>737</v>
      </c>
    </row>
    <row r="1860" spans="3:5" customFormat="1" ht="17.399999999999999">
      <c r="C1860" t="s">
        <v>1857</v>
      </c>
      <c r="E1860" t="s">
        <v>737</v>
      </c>
    </row>
    <row r="1861" spans="3:5" customFormat="1" ht="17.399999999999999">
      <c r="C1861" t="s">
        <v>2610</v>
      </c>
      <c r="E1861" t="s">
        <v>252</v>
      </c>
    </row>
    <row r="1862" spans="3:5" customFormat="1" ht="17.399999999999999">
      <c r="C1862" t="s">
        <v>4121</v>
      </c>
      <c r="E1862" t="s">
        <v>2796</v>
      </c>
    </row>
    <row r="1863" spans="3:5" customFormat="1" ht="17.399999999999999">
      <c r="C1863" t="s">
        <v>4122</v>
      </c>
      <c r="E1863" t="s">
        <v>4123</v>
      </c>
    </row>
    <row r="1864" spans="3:5" customFormat="1" ht="17.399999999999999">
      <c r="C1864" t="s">
        <v>2611</v>
      </c>
      <c r="E1864" t="s">
        <v>4124</v>
      </c>
    </row>
    <row r="1865" spans="3:5" customFormat="1" ht="17.399999999999999">
      <c r="C1865" t="s">
        <v>2612</v>
      </c>
      <c r="E1865" t="s">
        <v>4125</v>
      </c>
    </row>
    <row r="1866" spans="3:5" customFormat="1" ht="17.399999999999999">
      <c r="C1866" t="s">
        <v>2612</v>
      </c>
      <c r="E1866" t="s">
        <v>4125</v>
      </c>
    </row>
    <row r="1867" spans="3:5" customFormat="1" ht="17.399999999999999">
      <c r="C1867" t="s">
        <v>1859</v>
      </c>
      <c r="E1867" t="s">
        <v>4126</v>
      </c>
    </row>
    <row r="1868" spans="3:5" customFormat="1" ht="17.399999999999999">
      <c r="C1868" t="s">
        <v>2613</v>
      </c>
      <c r="E1868" t="s">
        <v>2614</v>
      </c>
    </row>
    <row r="1869" spans="3:5" customFormat="1" ht="17.399999999999999">
      <c r="C1869" t="s">
        <v>2615</v>
      </c>
      <c r="E1869" t="s">
        <v>1888</v>
      </c>
    </row>
    <row r="1870" spans="3:5" customFormat="1" ht="17.399999999999999">
      <c r="C1870" t="s">
        <v>2616</v>
      </c>
      <c r="E1870" t="s">
        <v>4127</v>
      </c>
    </row>
    <row r="1871" spans="3:5" customFormat="1" ht="17.399999999999999">
      <c r="C1871" t="s">
        <v>4128</v>
      </c>
      <c r="E1871" t="s">
        <v>2077</v>
      </c>
    </row>
    <row r="1872" spans="3:5" customFormat="1" ht="17.399999999999999">
      <c r="C1872" t="s">
        <v>1860</v>
      </c>
      <c r="E1872" t="s">
        <v>2416</v>
      </c>
    </row>
    <row r="1873" spans="3:5" customFormat="1" ht="17.399999999999999">
      <c r="C1873" t="s">
        <v>1861</v>
      </c>
      <c r="E1873" t="s">
        <v>4129</v>
      </c>
    </row>
    <row r="1874" spans="3:5" customFormat="1" ht="17.399999999999999">
      <c r="C1874" t="s">
        <v>2617</v>
      </c>
      <c r="E1874" t="s">
        <v>4130</v>
      </c>
    </row>
    <row r="1875" spans="3:5" customFormat="1" ht="17.399999999999999">
      <c r="C1875" t="s">
        <v>2618</v>
      </c>
      <c r="D1875" t="s">
        <v>4132</v>
      </c>
      <c r="E1875" t="s">
        <v>4131</v>
      </c>
    </row>
    <row r="1876" spans="3:5" customFormat="1" ht="17.399999999999999">
      <c r="C1876" t="s">
        <v>1583</v>
      </c>
      <c r="D1876" t="s">
        <v>4134</v>
      </c>
      <c r="E1876" t="s">
        <v>4133</v>
      </c>
    </row>
    <row r="1877" spans="3:5" customFormat="1" ht="17.399999999999999">
      <c r="C1877" t="s">
        <v>2619</v>
      </c>
      <c r="E1877" t="s">
        <v>4135</v>
      </c>
    </row>
    <row r="1878" spans="3:5" customFormat="1" ht="17.399999999999999">
      <c r="C1878" t="s">
        <v>4136</v>
      </c>
      <c r="D1878" t="s">
        <v>4138</v>
      </c>
      <c r="E1878" t="s">
        <v>4137</v>
      </c>
    </row>
    <row r="1879" spans="3:5" customFormat="1" ht="17.399999999999999">
      <c r="C1879" t="s">
        <v>2620</v>
      </c>
      <c r="E1879" t="s">
        <v>1896</v>
      </c>
    </row>
    <row r="1880" spans="3:5" customFormat="1" ht="17.399999999999999">
      <c r="C1880" t="s">
        <v>1585</v>
      </c>
      <c r="E1880" t="s">
        <v>1586</v>
      </c>
    </row>
    <row r="1881" spans="3:5" customFormat="1" ht="17.399999999999999">
      <c r="C1881" t="s">
        <v>1587</v>
      </c>
      <c r="E1881" t="s">
        <v>4139</v>
      </c>
    </row>
    <row r="1882" spans="3:5" customFormat="1" ht="17.399999999999999">
      <c r="C1882" t="s">
        <v>1588</v>
      </c>
      <c r="E1882" t="s">
        <v>1589</v>
      </c>
    </row>
    <row r="1883" spans="3:5" customFormat="1" ht="17.399999999999999">
      <c r="C1883" t="s">
        <v>1590</v>
      </c>
      <c r="E1883" t="s">
        <v>2622</v>
      </c>
    </row>
    <row r="1884" spans="3:5" customFormat="1" ht="17.399999999999999">
      <c r="C1884" t="s">
        <v>1591</v>
      </c>
      <c r="D1884" t="s">
        <v>1593</v>
      </c>
      <c r="E1884" t="s">
        <v>1592</v>
      </c>
    </row>
    <row r="1885" spans="3:5" customFormat="1" ht="17.399999999999999">
      <c r="C1885" t="s">
        <v>1594</v>
      </c>
      <c r="D1885" t="s">
        <v>1596</v>
      </c>
      <c r="E1885" t="s">
        <v>2391</v>
      </c>
    </row>
    <row r="1886" spans="3:5" customFormat="1" ht="17.399999999999999">
      <c r="C1886" t="s">
        <v>1594</v>
      </c>
      <c r="D1886" t="s">
        <v>1596</v>
      </c>
      <c r="E1886" t="s">
        <v>1595</v>
      </c>
    </row>
    <row r="1887" spans="3:5" customFormat="1" ht="17.399999999999999">
      <c r="C1887" t="s">
        <v>1597</v>
      </c>
      <c r="E1887" t="s">
        <v>4140</v>
      </c>
    </row>
    <row r="1888" spans="3:5" customFormat="1" ht="17.399999999999999">
      <c r="C1888" t="s">
        <v>17</v>
      </c>
      <c r="E1888" t="s">
        <v>1411</v>
      </c>
    </row>
    <row r="1889" spans="3:5" customFormat="1" ht="17.399999999999999">
      <c r="C1889" t="s">
        <v>2623</v>
      </c>
      <c r="E1889" t="s">
        <v>4141</v>
      </c>
    </row>
    <row r="1890" spans="3:5" customFormat="1" ht="17.399999999999999">
      <c r="C1890" t="s">
        <v>1600</v>
      </c>
      <c r="D1890" t="s">
        <v>2625</v>
      </c>
      <c r="E1890" t="s">
        <v>4468</v>
      </c>
    </row>
    <row r="1891" spans="3:5" customFormat="1" ht="17.399999999999999">
      <c r="C1891" t="s">
        <v>1651</v>
      </c>
      <c r="D1891" t="s">
        <v>1653</v>
      </c>
      <c r="E1891" t="s">
        <v>186</v>
      </c>
    </row>
    <row r="1892" spans="3:5" customFormat="1" ht="17.399999999999999">
      <c r="C1892" t="s">
        <v>2626</v>
      </c>
      <c r="E1892" t="s">
        <v>487</v>
      </c>
    </row>
    <row r="1893" spans="3:5" customFormat="1" ht="17.399999999999999">
      <c r="C1893" t="s">
        <v>1654</v>
      </c>
      <c r="E1893" t="s">
        <v>2375</v>
      </c>
    </row>
    <row r="1894" spans="3:5" customFormat="1" ht="17.399999999999999">
      <c r="C1894" t="s">
        <v>1655</v>
      </c>
      <c r="E1894" t="s">
        <v>896</v>
      </c>
    </row>
    <row r="1895" spans="3:5" customFormat="1" ht="17.399999999999999">
      <c r="C1895" t="s">
        <v>4142</v>
      </c>
      <c r="E1895" t="s">
        <v>4143</v>
      </c>
    </row>
    <row r="1896" spans="3:5" customFormat="1" ht="17.399999999999999">
      <c r="C1896" t="s">
        <v>1658</v>
      </c>
      <c r="D1896" t="s">
        <v>4145</v>
      </c>
      <c r="E1896" t="s">
        <v>4144</v>
      </c>
    </row>
    <row r="1897" spans="3:5" customFormat="1" ht="17.399999999999999">
      <c r="C1897" t="s">
        <v>1660</v>
      </c>
      <c r="D1897" t="s">
        <v>1661</v>
      </c>
      <c r="E1897" t="s">
        <v>4146</v>
      </c>
    </row>
    <row r="1898" spans="3:5" customFormat="1" ht="17.399999999999999">
      <c r="C1898" t="s">
        <v>1662</v>
      </c>
      <c r="E1898" t="s">
        <v>1094</v>
      </c>
    </row>
    <row r="1899" spans="3:5" customFormat="1" ht="17.399999999999999">
      <c r="C1899" t="s">
        <v>4147</v>
      </c>
      <c r="E1899" t="s">
        <v>4148</v>
      </c>
    </row>
    <row r="1900" spans="3:5" customFormat="1" ht="17.399999999999999">
      <c r="C1900" t="s">
        <v>4149</v>
      </c>
      <c r="D1900" t="s">
        <v>4151</v>
      </c>
      <c r="E1900" t="s">
        <v>4150</v>
      </c>
    </row>
    <row r="1901" spans="3:5" customFormat="1" ht="17.399999999999999">
      <c r="C1901" t="s">
        <v>1663</v>
      </c>
      <c r="D1901" t="s">
        <v>1665</v>
      </c>
      <c r="E1901" t="s">
        <v>1664</v>
      </c>
    </row>
    <row r="1902" spans="3:5" customFormat="1" ht="17.399999999999999">
      <c r="C1902" t="s">
        <v>1666</v>
      </c>
      <c r="E1902" t="s">
        <v>1472</v>
      </c>
    </row>
    <row r="1903" spans="3:5" customFormat="1" ht="17.399999999999999">
      <c r="C1903" t="s">
        <v>1667</v>
      </c>
      <c r="E1903" t="s">
        <v>4152</v>
      </c>
    </row>
    <row r="1904" spans="3:5" customFormat="1" ht="17.399999999999999">
      <c r="C1904" t="s">
        <v>1757</v>
      </c>
      <c r="E1904" t="s">
        <v>4153</v>
      </c>
    </row>
    <row r="1905" spans="3:5" customFormat="1" ht="17.399999999999999">
      <c r="C1905" t="s">
        <v>2804</v>
      </c>
      <c r="E1905" t="s">
        <v>4154</v>
      </c>
    </row>
    <row r="1906" spans="3:5" customFormat="1" ht="17.399999999999999">
      <c r="C1906" t="s">
        <v>1457</v>
      </c>
      <c r="D1906" t="s">
        <v>1459</v>
      </c>
      <c r="E1906" t="s">
        <v>4155</v>
      </c>
    </row>
    <row r="1907" spans="3:5" customFormat="1" ht="17.399999999999999">
      <c r="C1907" t="s">
        <v>1457</v>
      </c>
      <c r="D1907" t="s">
        <v>1459</v>
      </c>
      <c r="E1907" t="s">
        <v>1458</v>
      </c>
    </row>
    <row r="1908" spans="3:5" customFormat="1" ht="17.399999999999999">
      <c r="C1908" t="s">
        <v>1460</v>
      </c>
      <c r="D1908" t="s">
        <v>4156</v>
      </c>
      <c r="E1908" t="s">
        <v>1725</v>
      </c>
    </row>
    <row r="1909" spans="3:5" customFormat="1" ht="17.399999999999999">
      <c r="C1909" t="s">
        <v>1460</v>
      </c>
      <c r="D1909" t="s">
        <v>4158</v>
      </c>
      <c r="E1909" t="s">
        <v>4157</v>
      </c>
    </row>
    <row r="1910" spans="3:5" customFormat="1" ht="17.399999999999999">
      <c r="C1910" t="s">
        <v>1462</v>
      </c>
      <c r="D1910" t="s">
        <v>1463</v>
      </c>
      <c r="E1910" t="s">
        <v>1463</v>
      </c>
    </row>
    <row r="1911" spans="3:5" customFormat="1" ht="17.399999999999999">
      <c r="C1911" t="s">
        <v>1464</v>
      </c>
      <c r="E1911" t="s">
        <v>2627</v>
      </c>
    </row>
    <row r="1912" spans="3:5" customFormat="1" ht="17.399999999999999">
      <c r="C1912" t="s">
        <v>1465</v>
      </c>
      <c r="E1912" t="s">
        <v>1466</v>
      </c>
    </row>
    <row r="1913" spans="3:5" customFormat="1" ht="17.399999999999999">
      <c r="C1913" t="s">
        <v>4159</v>
      </c>
      <c r="D1913" t="s">
        <v>4161</v>
      </c>
      <c r="E1913" t="s">
        <v>4160</v>
      </c>
    </row>
    <row r="1914" spans="3:5" customFormat="1" ht="17.399999999999999">
      <c r="C1914" t="s">
        <v>2628</v>
      </c>
      <c r="E1914" t="s">
        <v>371</v>
      </c>
    </row>
    <row r="1915" spans="3:5" customFormat="1" ht="17.399999999999999">
      <c r="C1915" t="s">
        <v>1467</v>
      </c>
      <c r="E1915" t="s">
        <v>2805</v>
      </c>
    </row>
    <row r="1916" spans="3:5" customFormat="1" ht="17.399999999999999">
      <c r="C1916" t="s">
        <v>2629</v>
      </c>
      <c r="E1916" t="s">
        <v>2208</v>
      </c>
    </row>
    <row r="1917" spans="3:5" customFormat="1" ht="17.399999999999999">
      <c r="C1917" t="s">
        <v>4162</v>
      </c>
      <c r="E1917" t="s">
        <v>1335</v>
      </c>
    </row>
    <row r="1918" spans="3:5" customFormat="1" ht="17.399999999999999">
      <c r="C1918" t="s">
        <v>4163</v>
      </c>
      <c r="E1918" t="s">
        <v>4164</v>
      </c>
    </row>
    <row r="1919" spans="3:5" customFormat="1" ht="17.399999999999999">
      <c r="C1919" t="s">
        <v>4165</v>
      </c>
      <c r="E1919" t="s">
        <v>4166</v>
      </c>
    </row>
    <row r="1920" spans="3:5" customFormat="1" ht="17.399999999999999">
      <c r="C1920" t="s">
        <v>2630</v>
      </c>
      <c r="D1920" t="s">
        <v>2631</v>
      </c>
      <c r="E1920" t="s">
        <v>2631</v>
      </c>
    </row>
    <row r="1921" spans="3:5" customFormat="1" ht="17.399999999999999">
      <c r="C1921" t="s">
        <v>4167</v>
      </c>
      <c r="E1921" t="s">
        <v>4168</v>
      </c>
    </row>
    <row r="1922" spans="3:5" customFormat="1" ht="17.399999999999999">
      <c r="C1922" t="s">
        <v>4169</v>
      </c>
      <c r="E1922" t="s">
        <v>4170</v>
      </c>
    </row>
    <row r="1923" spans="3:5" customFormat="1" ht="17.399999999999999">
      <c r="C1923" t="s">
        <v>4171</v>
      </c>
      <c r="E1923" t="s">
        <v>4172</v>
      </c>
    </row>
    <row r="1924" spans="3:5" customFormat="1" ht="17.399999999999999">
      <c r="C1924" t="s">
        <v>1468</v>
      </c>
      <c r="D1924" t="s">
        <v>1470</v>
      </c>
      <c r="E1924" t="s">
        <v>1469</v>
      </c>
    </row>
    <row r="1925" spans="3:5" customFormat="1" ht="17.399999999999999">
      <c r="C1925" t="s">
        <v>2632</v>
      </c>
      <c r="E1925" t="s">
        <v>2209</v>
      </c>
    </row>
    <row r="1926" spans="3:5" customFormat="1" ht="17.399999999999999">
      <c r="C1926" t="s">
        <v>1687</v>
      </c>
      <c r="E1926" t="s">
        <v>1688</v>
      </c>
    </row>
    <row r="1927" spans="3:5" customFormat="1" ht="17.399999999999999">
      <c r="C1927" t="s">
        <v>1759</v>
      </c>
      <c r="D1927" t="s">
        <v>1760</v>
      </c>
      <c r="E1927" t="s">
        <v>4173</v>
      </c>
    </row>
    <row r="1928" spans="3:5" customFormat="1" ht="17.399999999999999">
      <c r="C1928" t="s">
        <v>1761</v>
      </c>
      <c r="E1928" t="s">
        <v>4174</v>
      </c>
    </row>
    <row r="1929" spans="3:5" customFormat="1" ht="17.399999999999999">
      <c r="C1929" t="s">
        <v>1763</v>
      </c>
      <c r="D1929" t="s">
        <v>1764</v>
      </c>
      <c r="E1929" t="s">
        <v>71</v>
      </c>
    </row>
    <row r="1930" spans="3:5" customFormat="1" ht="17.399999999999999">
      <c r="C1930" t="s">
        <v>4175</v>
      </c>
      <c r="D1930" t="s">
        <v>1630</v>
      </c>
      <c r="E1930" t="s">
        <v>1811</v>
      </c>
    </row>
    <row r="1931" spans="3:5" customFormat="1" ht="17.399999999999999">
      <c r="C1931" t="s">
        <v>4176</v>
      </c>
      <c r="E1931" t="s">
        <v>4177</v>
      </c>
    </row>
    <row r="1932" spans="3:5" customFormat="1" ht="17.399999999999999">
      <c r="C1932" t="s">
        <v>1766</v>
      </c>
      <c r="E1932" t="s">
        <v>74</v>
      </c>
    </row>
    <row r="1933" spans="3:5" customFormat="1" ht="17.399999999999999">
      <c r="C1933" t="s">
        <v>1767</v>
      </c>
      <c r="D1933" t="s">
        <v>455</v>
      </c>
      <c r="E1933" t="s">
        <v>4178</v>
      </c>
    </row>
    <row r="1934" spans="3:5" customFormat="1" ht="17.399999999999999">
      <c r="C1934" t="s">
        <v>4179</v>
      </c>
      <c r="E1934" t="s">
        <v>4180</v>
      </c>
    </row>
    <row r="1935" spans="3:5" customFormat="1" ht="17.399999999999999">
      <c r="C1935" t="s">
        <v>1579</v>
      </c>
      <c r="E1935" t="s">
        <v>1082</v>
      </c>
    </row>
    <row r="1936" spans="3:5" customFormat="1" ht="17.399999999999999">
      <c r="C1936" t="s">
        <v>4181</v>
      </c>
      <c r="E1936" t="s">
        <v>4182</v>
      </c>
    </row>
    <row r="1937" spans="3:5" customFormat="1" ht="17.399999999999999">
      <c r="C1937" t="s">
        <v>1581</v>
      </c>
      <c r="E1937" t="s">
        <v>2634</v>
      </c>
    </row>
    <row r="1938" spans="3:5" customFormat="1" ht="17.399999999999999">
      <c r="C1938" t="s">
        <v>4183</v>
      </c>
      <c r="E1938" t="s">
        <v>4184</v>
      </c>
    </row>
    <row r="1939" spans="3:5" customFormat="1" ht="17.399999999999999">
      <c r="C1939" t="s">
        <v>1636</v>
      </c>
      <c r="E1939" t="s">
        <v>4185</v>
      </c>
    </row>
    <row r="1940" spans="3:5" customFormat="1" ht="17.399999999999999">
      <c r="C1940" t="s">
        <v>1637</v>
      </c>
      <c r="D1940" t="s">
        <v>1659</v>
      </c>
      <c r="E1940" t="s">
        <v>4186</v>
      </c>
    </row>
    <row r="1941" spans="3:5" customFormat="1" ht="17.399999999999999">
      <c r="C1941" t="s">
        <v>2636</v>
      </c>
      <c r="E1941" t="s">
        <v>4187</v>
      </c>
    </row>
    <row r="1942" spans="3:5" customFormat="1" ht="17.399999999999999">
      <c r="C1942" t="s">
        <v>2637</v>
      </c>
      <c r="E1942" t="s">
        <v>4188</v>
      </c>
    </row>
    <row r="1943" spans="3:5" customFormat="1" ht="17.399999999999999">
      <c r="C1943" t="s">
        <v>4189</v>
      </c>
      <c r="E1943" t="s">
        <v>4190</v>
      </c>
    </row>
    <row r="1944" spans="3:5" customFormat="1" ht="17.399999999999999">
      <c r="C1944" t="s">
        <v>1638</v>
      </c>
      <c r="D1944" t="s">
        <v>1639</v>
      </c>
      <c r="E1944" t="s">
        <v>1639</v>
      </c>
    </row>
    <row r="1945" spans="3:5" customFormat="1" ht="17.399999999999999">
      <c r="C1945" t="s">
        <v>1641</v>
      </c>
      <c r="D1945" t="s">
        <v>1643</v>
      </c>
      <c r="E1945" t="s">
        <v>2635</v>
      </c>
    </row>
    <row r="1946" spans="3:5" customFormat="1" ht="17.399999999999999">
      <c r="C1946" t="s">
        <v>1641</v>
      </c>
      <c r="D1946" t="s">
        <v>1643</v>
      </c>
      <c r="E1946" t="s">
        <v>1642</v>
      </c>
    </row>
    <row r="1947" spans="3:5" customFormat="1" ht="17.399999999999999">
      <c r="C1947" t="s">
        <v>1645</v>
      </c>
      <c r="E1947" t="s">
        <v>1646</v>
      </c>
    </row>
    <row r="1948" spans="3:5" customFormat="1" ht="17.399999999999999">
      <c r="C1948" t="s">
        <v>4191</v>
      </c>
      <c r="D1948" t="s">
        <v>4193</v>
      </c>
      <c r="E1948" t="s">
        <v>4192</v>
      </c>
    </row>
    <row r="1949" spans="3:5" customFormat="1" ht="17.399999999999999">
      <c r="C1949" t="s">
        <v>4194</v>
      </c>
      <c r="E1949" t="s">
        <v>2772</v>
      </c>
    </row>
    <row r="1950" spans="3:5" customFormat="1" ht="17.399999999999999">
      <c r="C1950" t="s">
        <v>1648</v>
      </c>
      <c r="D1950" t="s">
        <v>1649</v>
      </c>
      <c r="E1950" t="s">
        <v>520</v>
      </c>
    </row>
    <row r="1951" spans="3:5" customFormat="1" ht="17.399999999999999">
      <c r="C1951" t="s">
        <v>1648</v>
      </c>
      <c r="D1951" t="s">
        <v>1649</v>
      </c>
      <c r="E1951" t="s">
        <v>2638</v>
      </c>
    </row>
    <row r="1952" spans="3:5" customFormat="1" ht="17.399999999999999">
      <c r="C1952" t="s">
        <v>1812</v>
      </c>
      <c r="D1952" t="s">
        <v>1584</v>
      </c>
      <c r="E1952" t="s">
        <v>2008</v>
      </c>
    </row>
    <row r="1953" spans="3:5" customFormat="1" ht="17.399999999999999">
      <c r="C1953" t="s">
        <v>1812</v>
      </c>
      <c r="D1953" t="s">
        <v>1584</v>
      </c>
      <c r="E1953" t="s">
        <v>4195</v>
      </c>
    </row>
    <row r="1954" spans="3:5" customFormat="1" ht="17.399999999999999">
      <c r="C1954" t="s">
        <v>1813</v>
      </c>
      <c r="D1954" t="s">
        <v>2633</v>
      </c>
      <c r="E1954" t="s">
        <v>2736</v>
      </c>
    </row>
    <row r="1955" spans="3:5" customFormat="1" ht="17.399999999999999">
      <c r="C1955" t="s">
        <v>1815</v>
      </c>
      <c r="D1955" t="s">
        <v>2639</v>
      </c>
      <c r="E1955" t="s">
        <v>4196</v>
      </c>
    </row>
    <row r="1956" spans="3:5" customFormat="1" ht="17.399999999999999">
      <c r="C1956" t="s">
        <v>1816</v>
      </c>
      <c r="D1956" t="s">
        <v>2414</v>
      </c>
      <c r="E1956" t="s">
        <v>4197</v>
      </c>
    </row>
    <row r="1957" spans="3:5" customFormat="1" ht="17.399999999999999">
      <c r="C1957" t="s">
        <v>4198</v>
      </c>
      <c r="E1957" t="s">
        <v>2025</v>
      </c>
    </row>
    <row r="1958" spans="3:5" customFormat="1" ht="17.399999999999999">
      <c r="C1958" t="s">
        <v>1818</v>
      </c>
      <c r="D1958" t="s">
        <v>4200</v>
      </c>
      <c r="E1958" t="s">
        <v>4199</v>
      </c>
    </row>
    <row r="1959" spans="3:5" customFormat="1" ht="17.399999999999999">
      <c r="C1959" t="s">
        <v>4201</v>
      </c>
      <c r="E1959" t="s">
        <v>4202</v>
      </c>
    </row>
    <row r="1960" spans="3:5" customFormat="1" ht="17.399999999999999">
      <c r="C1960" t="s">
        <v>1774</v>
      </c>
      <c r="E1960" t="s">
        <v>1765</v>
      </c>
    </row>
    <row r="1961" spans="3:5" customFormat="1" ht="17.399999999999999">
      <c r="C1961" t="s">
        <v>4203</v>
      </c>
      <c r="E1961" t="s">
        <v>4204</v>
      </c>
    </row>
    <row r="1962" spans="3:5" customFormat="1" ht="17.399999999999999">
      <c r="C1962" t="s">
        <v>2641</v>
      </c>
      <c r="E1962" t="s">
        <v>4205</v>
      </c>
    </row>
    <row r="1963" spans="3:5" customFormat="1" ht="17.399999999999999">
      <c r="C1963" t="s">
        <v>4206</v>
      </c>
      <c r="E1963" t="s">
        <v>2793</v>
      </c>
    </row>
    <row r="1964" spans="3:5" customFormat="1" ht="17.399999999999999">
      <c r="C1964" t="s">
        <v>2642</v>
      </c>
      <c r="E1964" t="s">
        <v>4207</v>
      </c>
    </row>
    <row r="1965" spans="3:5" customFormat="1" ht="17.399999999999999">
      <c r="C1965" t="s">
        <v>4208</v>
      </c>
      <c r="E1965" t="s">
        <v>2643</v>
      </c>
    </row>
    <row r="1966" spans="3:5" customFormat="1" ht="17.399999999999999">
      <c r="C1966" t="s">
        <v>1775</v>
      </c>
      <c r="D1966" t="s">
        <v>683</v>
      </c>
      <c r="E1966" t="s">
        <v>682</v>
      </c>
    </row>
    <row r="1967" spans="3:5" customFormat="1" ht="17.399999999999999">
      <c r="C1967" t="s">
        <v>4209</v>
      </c>
      <c r="E1967" t="s">
        <v>4210</v>
      </c>
    </row>
    <row r="1968" spans="3:5" customFormat="1" ht="17.399999999999999">
      <c r="C1968" t="s">
        <v>4211</v>
      </c>
      <c r="E1968" t="s">
        <v>4212</v>
      </c>
    </row>
    <row r="1969" spans="3:5" customFormat="1" ht="17.399999999999999">
      <c r="C1969" t="s">
        <v>2644</v>
      </c>
      <c r="E1969" t="s">
        <v>2779</v>
      </c>
    </row>
    <row r="1970" spans="3:5" customFormat="1" ht="17.399999999999999">
      <c r="C1970" t="s">
        <v>2646</v>
      </c>
      <c r="D1970" t="s">
        <v>4214</v>
      </c>
      <c r="E1970" t="s">
        <v>4213</v>
      </c>
    </row>
    <row r="1971" spans="3:5" customFormat="1" ht="17.399999999999999">
      <c r="C1971" t="s">
        <v>1776</v>
      </c>
      <c r="E1971" t="s">
        <v>1777</v>
      </c>
    </row>
    <row r="1972" spans="3:5" customFormat="1" ht="17.399999999999999">
      <c r="C1972" t="s">
        <v>1778</v>
      </c>
      <c r="D1972" t="s">
        <v>2649</v>
      </c>
      <c r="E1972" t="s">
        <v>1069</v>
      </c>
    </row>
    <row r="1973" spans="3:5" customFormat="1" ht="17.399999999999999">
      <c r="C1973" t="s">
        <v>1780</v>
      </c>
      <c r="E1973" t="s">
        <v>1779</v>
      </c>
    </row>
    <row r="1974" spans="3:5" customFormat="1" ht="17.399999999999999">
      <c r="C1974" t="s">
        <v>4215</v>
      </c>
      <c r="E1974" t="s">
        <v>4216</v>
      </c>
    </row>
    <row r="1975" spans="3:5" customFormat="1" ht="17.399999999999999">
      <c r="C1975" t="s">
        <v>1781</v>
      </c>
      <c r="E1975" t="s">
        <v>4217</v>
      </c>
    </row>
    <row r="1976" spans="3:5" customFormat="1" ht="17.399999999999999">
      <c r="C1976" t="s">
        <v>1782</v>
      </c>
      <c r="E1976" t="s">
        <v>4218</v>
      </c>
    </row>
    <row r="1977" spans="3:5" customFormat="1" ht="17.399999999999999">
      <c r="C1977" t="s">
        <v>1783</v>
      </c>
      <c r="E1977" t="s">
        <v>121</v>
      </c>
    </row>
    <row r="1978" spans="3:5" customFormat="1" ht="17.399999999999999">
      <c r="C1978" t="s">
        <v>1785</v>
      </c>
      <c r="E1978" t="s">
        <v>1786</v>
      </c>
    </row>
    <row r="1979" spans="3:5" customFormat="1" ht="17.399999999999999">
      <c r="C1979" t="s">
        <v>1787</v>
      </c>
      <c r="E1979" t="s">
        <v>4219</v>
      </c>
    </row>
    <row r="1980" spans="3:5" customFormat="1" ht="17.399999999999999">
      <c r="C1980" t="s">
        <v>2650</v>
      </c>
      <c r="E1980" t="s">
        <v>2575</v>
      </c>
    </row>
    <row r="1981" spans="3:5" customFormat="1" ht="17.399999999999999">
      <c r="C1981" t="s">
        <v>1791</v>
      </c>
      <c r="E1981" t="s">
        <v>2748</v>
      </c>
    </row>
    <row r="1982" spans="3:5" customFormat="1" ht="17.399999999999999">
      <c r="C1982" t="s">
        <v>4220</v>
      </c>
      <c r="E1982" t="s">
        <v>2806</v>
      </c>
    </row>
    <row r="1983" spans="3:5" customFormat="1" ht="17.399999999999999">
      <c r="C1983" t="s">
        <v>1792</v>
      </c>
      <c r="D1983" t="s">
        <v>1794</v>
      </c>
      <c r="E1983" t="s">
        <v>4221</v>
      </c>
    </row>
    <row r="1984" spans="3:5" customFormat="1" ht="17.399999999999999">
      <c r="C1984" t="s">
        <v>1792</v>
      </c>
      <c r="D1984" t="s">
        <v>1794</v>
      </c>
      <c r="E1984" t="s">
        <v>1793</v>
      </c>
    </row>
    <row r="1985" spans="3:5" customFormat="1" ht="17.399999999999999">
      <c r="C1985" t="s">
        <v>1796</v>
      </c>
      <c r="E1985" t="s">
        <v>2651</v>
      </c>
    </row>
    <row r="1986" spans="3:5" customFormat="1" ht="17.399999999999999">
      <c r="C1986" t="s">
        <v>2652</v>
      </c>
      <c r="E1986" t="s">
        <v>2653</v>
      </c>
    </row>
    <row r="1987" spans="3:5" customFormat="1" ht="17.399999999999999">
      <c r="C1987" t="s">
        <v>1797</v>
      </c>
      <c r="E1987" t="s">
        <v>174</v>
      </c>
    </row>
    <row r="1988" spans="3:5" customFormat="1" ht="17.399999999999999">
      <c r="C1988" t="s">
        <v>1797</v>
      </c>
      <c r="D1988" t="s">
        <v>4223</v>
      </c>
      <c r="E1988" t="s">
        <v>4222</v>
      </c>
    </row>
    <row r="1989" spans="3:5" customFormat="1" ht="17.399999999999999">
      <c r="C1989" t="s">
        <v>1798</v>
      </c>
      <c r="D1989" t="s">
        <v>1503</v>
      </c>
      <c r="E1989" t="s">
        <v>4224</v>
      </c>
    </row>
    <row r="1990" spans="3:5" customFormat="1" ht="17.399999999999999">
      <c r="C1990" t="s">
        <v>4225</v>
      </c>
      <c r="E1990" t="s">
        <v>4226</v>
      </c>
    </row>
    <row r="1991" spans="3:5" customFormat="1" ht="17.399999999999999">
      <c r="C1991" t="s">
        <v>4227</v>
      </c>
      <c r="E1991" t="s">
        <v>4228</v>
      </c>
    </row>
    <row r="1992" spans="3:5" customFormat="1" ht="17.399999999999999">
      <c r="C1992" t="s">
        <v>1799</v>
      </c>
      <c r="D1992" t="s">
        <v>1801</v>
      </c>
      <c r="E1992" t="s">
        <v>4229</v>
      </c>
    </row>
    <row r="1993" spans="3:5" customFormat="1" ht="17.399999999999999">
      <c r="C1993" t="s">
        <v>1799</v>
      </c>
      <c r="D1993" t="s">
        <v>1801</v>
      </c>
      <c r="E1993" t="s">
        <v>1800</v>
      </c>
    </row>
    <row r="1994" spans="3:5" customFormat="1" ht="17.399999999999999">
      <c r="C1994" t="s">
        <v>4230</v>
      </c>
      <c r="E1994" t="s">
        <v>4231</v>
      </c>
    </row>
    <row r="1995" spans="3:5" customFormat="1" ht="17.399999999999999">
      <c r="C1995" t="s">
        <v>4232</v>
      </c>
      <c r="E1995" t="s">
        <v>4233</v>
      </c>
    </row>
    <row r="1996" spans="3:5" customFormat="1" ht="17.399999999999999">
      <c r="C1996" t="s">
        <v>1802</v>
      </c>
      <c r="E1996" t="s">
        <v>4234</v>
      </c>
    </row>
    <row r="1997" spans="3:5" customFormat="1" ht="17.399999999999999">
      <c r="C1997" t="s">
        <v>1803</v>
      </c>
      <c r="E1997" t="s">
        <v>1804</v>
      </c>
    </row>
    <row r="1998" spans="3:5" customFormat="1" ht="17.399999999999999">
      <c r="C1998" t="s">
        <v>1805</v>
      </c>
      <c r="D1998" t="s">
        <v>1807</v>
      </c>
      <c r="E1998" t="s">
        <v>1806</v>
      </c>
    </row>
    <row r="1999" spans="3:5" customFormat="1" ht="17.399999999999999">
      <c r="C1999" t="s">
        <v>1808</v>
      </c>
      <c r="E1999" t="s">
        <v>1809</v>
      </c>
    </row>
    <row r="2000" spans="3:5" customFormat="1" ht="17.399999999999999">
      <c r="C2000" t="s">
        <v>1865</v>
      </c>
      <c r="E2000" t="s">
        <v>699</v>
      </c>
    </row>
    <row r="2001" spans="3:5" customFormat="1" ht="17.399999999999999">
      <c r="C2001" t="s">
        <v>1866</v>
      </c>
      <c r="D2001" t="s">
        <v>4470</v>
      </c>
      <c r="E2001" t="s">
        <v>4469</v>
      </c>
    </row>
    <row r="2002" spans="3:5" customFormat="1" ht="17.399999999999999">
      <c r="C2002" t="s">
        <v>1867</v>
      </c>
      <c r="D2002" t="s">
        <v>1869</v>
      </c>
      <c r="E2002" t="s">
        <v>2654</v>
      </c>
    </row>
    <row r="2003" spans="3:5" customFormat="1" ht="17.399999999999999">
      <c r="C2003" t="s">
        <v>1870</v>
      </c>
      <c r="E2003" t="s">
        <v>1871</v>
      </c>
    </row>
    <row r="2004" spans="3:5" customFormat="1" ht="17.399999999999999">
      <c r="C2004" t="s">
        <v>4235</v>
      </c>
      <c r="E2004" t="s">
        <v>2082</v>
      </c>
    </row>
    <row r="2005" spans="3:5" customFormat="1" ht="17.399999999999999">
      <c r="C2005" t="s">
        <v>1872</v>
      </c>
      <c r="D2005" t="s">
        <v>4237</v>
      </c>
      <c r="E2005" t="s">
        <v>4236</v>
      </c>
    </row>
    <row r="2006" spans="3:5" customFormat="1" ht="17.399999999999999">
      <c r="C2006" t="s">
        <v>1873</v>
      </c>
      <c r="E2006" t="s">
        <v>4238</v>
      </c>
    </row>
    <row r="2007" spans="3:5" customFormat="1" ht="17.399999999999999">
      <c r="C2007" t="s">
        <v>1874</v>
      </c>
      <c r="E2007" t="s">
        <v>2255</v>
      </c>
    </row>
    <row r="2008" spans="3:5" customFormat="1" ht="17.399999999999999">
      <c r="C2008" t="s">
        <v>1874</v>
      </c>
      <c r="D2008" t="s">
        <v>4239</v>
      </c>
      <c r="E2008" t="s">
        <v>360</v>
      </c>
    </row>
    <row r="2009" spans="3:5" customFormat="1" ht="17.399999999999999">
      <c r="C2009" t="s">
        <v>1875</v>
      </c>
      <c r="D2009" t="s">
        <v>157</v>
      </c>
      <c r="E2009" t="s">
        <v>1935</v>
      </c>
    </row>
    <row r="2010" spans="3:5" customFormat="1" ht="17.399999999999999">
      <c r="C2010" t="s">
        <v>4240</v>
      </c>
      <c r="E2010" t="s">
        <v>4241</v>
      </c>
    </row>
    <row r="2011" spans="3:5" customFormat="1" ht="17.399999999999999">
      <c r="C2011" t="s">
        <v>1877</v>
      </c>
      <c r="E2011" t="s">
        <v>4242</v>
      </c>
    </row>
    <row r="2012" spans="3:5" customFormat="1" ht="17.399999999999999">
      <c r="C2012" t="s">
        <v>1877</v>
      </c>
      <c r="D2012" t="s">
        <v>4243</v>
      </c>
      <c r="E2012" t="s">
        <v>2656</v>
      </c>
    </row>
    <row r="2013" spans="3:5" customFormat="1" ht="17.399999999999999">
      <c r="C2013" t="s">
        <v>1878</v>
      </c>
      <c r="D2013" t="s">
        <v>1879</v>
      </c>
      <c r="E2013" t="s">
        <v>2608</v>
      </c>
    </row>
    <row r="2014" spans="3:5" customFormat="1" ht="17.399999999999999">
      <c r="C2014" t="s">
        <v>1881</v>
      </c>
      <c r="D2014" t="s">
        <v>2658</v>
      </c>
      <c r="E2014" t="s">
        <v>4244</v>
      </c>
    </row>
    <row r="2015" spans="3:5" customFormat="1" ht="17.399999999999999">
      <c r="C2015" t="s">
        <v>4245</v>
      </c>
      <c r="E2015" t="s">
        <v>4246</v>
      </c>
    </row>
    <row r="2016" spans="3:5" customFormat="1" ht="17.399999999999999">
      <c r="C2016" t="s">
        <v>1891</v>
      </c>
      <c r="E2016" t="s">
        <v>1892</v>
      </c>
    </row>
    <row r="2017" spans="3:5" customFormat="1" ht="17.399999999999999">
      <c r="C2017" t="s">
        <v>1893</v>
      </c>
      <c r="E2017" t="s">
        <v>4247</v>
      </c>
    </row>
    <row r="2018" spans="3:5" customFormat="1" ht="17.399999999999999">
      <c r="C2018" t="s">
        <v>1894</v>
      </c>
      <c r="E2018" t="s">
        <v>2277</v>
      </c>
    </row>
    <row r="2019" spans="3:5" customFormat="1" ht="17.399999999999999">
      <c r="C2019" t="s">
        <v>4248</v>
      </c>
      <c r="E2019" t="s">
        <v>2388</v>
      </c>
    </row>
    <row r="2020" spans="3:5" customFormat="1" ht="17.399999999999999">
      <c r="C2020" t="s">
        <v>1895</v>
      </c>
      <c r="E2020" t="s">
        <v>1642</v>
      </c>
    </row>
    <row r="2021" spans="3:5" customFormat="1" ht="17.399999999999999">
      <c r="C2021" t="s">
        <v>1897</v>
      </c>
      <c r="E2021" t="s">
        <v>1899</v>
      </c>
    </row>
    <row r="2022" spans="3:5" customFormat="1" ht="17.399999999999999">
      <c r="C2022" t="s">
        <v>1898</v>
      </c>
      <c r="D2022" t="s">
        <v>1362</v>
      </c>
      <c r="E2022" t="s">
        <v>2324</v>
      </c>
    </row>
    <row r="2023" spans="3:5" customFormat="1" ht="17.399999999999999">
      <c r="C2023" t="s">
        <v>1900</v>
      </c>
      <c r="E2023" t="s">
        <v>2660</v>
      </c>
    </row>
    <row r="2024" spans="3:5" customFormat="1" ht="17.399999999999999">
      <c r="C2024" t="s">
        <v>1902</v>
      </c>
      <c r="E2024" t="s">
        <v>2591</v>
      </c>
    </row>
    <row r="2025" spans="3:5" customFormat="1" ht="17.399999999999999">
      <c r="C2025" t="s">
        <v>1903</v>
      </c>
      <c r="E2025" t="s">
        <v>2809</v>
      </c>
    </row>
    <row r="2026" spans="3:5" customFormat="1" ht="17.399999999999999">
      <c r="C2026" t="s">
        <v>1425</v>
      </c>
      <c r="E2026" t="s">
        <v>4249</v>
      </c>
    </row>
    <row r="2027" spans="3:5" customFormat="1" ht="17.399999999999999">
      <c r="C2027" t="s">
        <v>4250</v>
      </c>
      <c r="E2027" t="s">
        <v>4251</v>
      </c>
    </row>
    <row r="2028" spans="3:5" customFormat="1" ht="17.399999999999999">
      <c r="C2028" t="s">
        <v>1426</v>
      </c>
      <c r="D2028" t="s">
        <v>2476</v>
      </c>
      <c r="E2028" t="s">
        <v>2477</v>
      </c>
    </row>
    <row r="2029" spans="3:5" customFormat="1" ht="17.399999999999999">
      <c r="C2029" t="s">
        <v>4252</v>
      </c>
      <c r="E2029" t="s">
        <v>4253</v>
      </c>
    </row>
    <row r="2030" spans="3:5" customFormat="1" ht="17.399999999999999">
      <c r="C2030" t="s">
        <v>1428</v>
      </c>
      <c r="E2030" t="s">
        <v>4254</v>
      </c>
    </row>
    <row r="2031" spans="3:5" customFormat="1" ht="17.399999999999999">
      <c r="C2031" t="s">
        <v>2662</v>
      </c>
      <c r="E2031" t="s">
        <v>2341</v>
      </c>
    </row>
    <row r="2032" spans="3:5" customFormat="1" ht="17.399999999999999">
      <c r="C2032" t="s">
        <v>4255</v>
      </c>
      <c r="E2032" t="s">
        <v>2784</v>
      </c>
    </row>
    <row r="2033" spans="3:5" customFormat="1" ht="17.399999999999999">
      <c r="C2033" t="s">
        <v>1429</v>
      </c>
      <c r="E2033" t="s">
        <v>2733</v>
      </c>
    </row>
    <row r="2034" spans="3:5" customFormat="1" ht="17.399999999999999">
      <c r="C2034" t="s">
        <v>1430</v>
      </c>
      <c r="D2034" t="s">
        <v>2708</v>
      </c>
      <c r="E2034" t="s">
        <v>4471</v>
      </c>
    </row>
    <row r="2035" spans="3:5" customFormat="1" ht="17.399999999999999">
      <c r="C2035" t="s">
        <v>2663</v>
      </c>
      <c r="E2035" t="s">
        <v>2664</v>
      </c>
    </row>
    <row r="2036" spans="3:5" customFormat="1" ht="17.399999999999999">
      <c r="C2036" t="s">
        <v>1431</v>
      </c>
      <c r="D2036" t="s">
        <v>1635</v>
      </c>
      <c r="E2036" t="s">
        <v>2024</v>
      </c>
    </row>
    <row r="2037" spans="3:5" customFormat="1" ht="17.399999999999999">
      <c r="C2037" t="s">
        <v>1432</v>
      </c>
      <c r="E2037" t="s">
        <v>2665</v>
      </c>
    </row>
    <row r="2038" spans="3:5" customFormat="1" ht="17.399999999999999">
      <c r="C2038" t="s">
        <v>2666</v>
      </c>
      <c r="E2038" t="s">
        <v>4256</v>
      </c>
    </row>
    <row r="2039" spans="3:5" customFormat="1" ht="17.399999999999999">
      <c r="C2039" t="s">
        <v>1434</v>
      </c>
      <c r="D2039" t="s">
        <v>4473</v>
      </c>
      <c r="E2039" t="s">
        <v>4472</v>
      </c>
    </row>
    <row r="2040" spans="3:5" customFormat="1" ht="17.399999999999999">
      <c r="C2040" t="s">
        <v>1435</v>
      </c>
      <c r="E2040" t="s">
        <v>4257</v>
      </c>
    </row>
    <row r="2041" spans="3:5" customFormat="1" ht="17.399999999999999">
      <c r="C2041" t="s">
        <v>4258</v>
      </c>
      <c r="E2041" t="s">
        <v>226</v>
      </c>
    </row>
    <row r="2042" spans="3:5" customFormat="1" ht="17.399999999999999">
      <c r="C2042" t="s">
        <v>1711</v>
      </c>
      <c r="E2042" t="s">
        <v>4259</v>
      </c>
    </row>
    <row r="2043" spans="3:5" customFormat="1" ht="17.399999999999999">
      <c r="C2043" t="s">
        <v>1712</v>
      </c>
      <c r="E2043" t="s">
        <v>2569</v>
      </c>
    </row>
    <row r="2044" spans="3:5" customFormat="1" ht="17.399999999999999">
      <c r="C2044" t="s">
        <v>2668</v>
      </c>
      <c r="E2044" t="s">
        <v>2090</v>
      </c>
    </row>
    <row r="2045" spans="3:5" customFormat="1" ht="17.399999999999999">
      <c r="C2045" t="s">
        <v>1734</v>
      </c>
      <c r="D2045" t="s">
        <v>4261</v>
      </c>
      <c r="E2045" t="s">
        <v>4260</v>
      </c>
    </row>
    <row r="2046" spans="3:5" customFormat="1" ht="17.399999999999999">
      <c r="C2046" t="s">
        <v>1735</v>
      </c>
      <c r="E2046" t="s">
        <v>2043</v>
      </c>
    </row>
    <row r="2047" spans="3:5" customFormat="1" ht="17.399999999999999">
      <c r="C2047" t="s">
        <v>1736</v>
      </c>
      <c r="E2047" t="s">
        <v>2669</v>
      </c>
    </row>
    <row r="2048" spans="3:5" customFormat="1" ht="17.399999999999999">
      <c r="C2048" t="s">
        <v>4262</v>
      </c>
      <c r="D2048" t="s">
        <v>4264</v>
      </c>
      <c r="E2048" t="s">
        <v>4263</v>
      </c>
    </row>
    <row r="2049" spans="3:5" customFormat="1" ht="17.399999999999999">
      <c r="C2049" t="s">
        <v>1621</v>
      </c>
      <c r="D2049" t="s">
        <v>4265</v>
      </c>
      <c r="E2049" t="s">
        <v>1622</v>
      </c>
    </row>
    <row r="2050" spans="3:5" customFormat="1" ht="17.399999999999999">
      <c r="C2050" t="s">
        <v>1621</v>
      </c>
      <c r="D2050" t="s">
        <v>4265</v>
      </c>
      <c r="E2050" t="s">
        <v>4266</v>
      </c>
    </row>
    <row r="2051" spans="3:5" customFormat="1" ht="17.399999999999999">
      <c r="C2051" t="s">
        <v>1623</v>
      </c>
      <c r="E2051" t="s">
        <v>2671</v>
      </c>
    </row>
    <row r="2052" spans="3:5" customFormat="1" ht="17.399999999999999">
      <c r="C2052" t="s">
        <v>2672</v>
      </c>
      <c r="E2052" t="s">
        <v>4267</v>
      </c>
    </row>
    <row r="2053" spans="3:5" customFormat="1" ht="17.399999999999999">
      <c r="C2053" t="s">
        <v>4268</v>
      </c>
      <c r="E2053" t="s">
        <v>4269</v>
      </c>
    </row>
    <row r="2054" spans="3:5" customFormat="1" ht="17.399999999999999">
      <c r="C2054" t="s">
        <v>2673</v>
      </c>
      <c r="E2054" t="s">
        <v>2674</v>
      </c>
    </row>
    <row r="2055" spans="3:5" customFormat="1" ht="17.399999999999999">
      <c r="C2055" t="s">
        <v>4270</v>
      </c>
      <c r="E2055" t="s">
        <v>4271</v>
      </c>
    </row>
    <row r="2056" spans="3:5" customFormat="1" ht="17.399999999999999">
      <c r="C2056" t="s">
        <v>2675</v>
      </c>
      <c r="E2056" t="s">
        <v>4272</v>
      </c>
    </row>
    <row r="2057" spans="3:5" customFormat="1" ht="17.399999999999999">
      <c r="C2057" t="s">
        <v>1624</v>
      </c>
      <c r="E2057" t="s">
        <v>1247</v>
      </c>
    </row>
    <row r="2058" spans="3:5" customFormat="1" ht="17.399999999999999">
      <c r="C2058" t="s">
        <v>1625</v>
      </c>
      <c r="E2058" t="s">
        <v>4273</v>
      </c>
    </row>
    <row r="2059" spans="3:5" customFormat="1" ht="17.399999999999999">
      <c r="C2059" t="s">
        <v>1627</v>
      </c>
      <c r="D2059" t="s">
        <v>1628</v>
      </c>
      <c r="E2059" t="s">
        <v>2394</v>
      </c>
    </row>
    <row r="2060" spans="3:5" customFormat="1" ht="17.399999999999999">
      <c r="C2060" t="s">
        <v>4274</v>
      </c>
      <c r="E2060" t="s">
        <v>4275</v>
      </c>
    </row>
    <row r="2061" spans="3:5" customFormat="1" ht="17.399999999999999">
      <c r="C2061" t="s">
        <v>1924</v>
      </c>
      <c r="D2061" t="s">
        <v>1926</v>
      </c>
      <c r="E2061" t="s">
        <v>1925</v>
      </c>
    </row>
    <row r="2062" spans="3:5" customFormat="1" ht="17.399999999999999">
      <c r="C2062" t="s">
        <v>1927</v>
      </c>
      <c r="E2062" t="s">
        <v>1928</v>
      </c>
    </row>
    <row r="2063" spans="3:5" customFormat="1" ht="17.399999999999999">
      <c r="C2063" t="s">
        <v>4276</v>
      </c>
      <c r="E2063" t="s">
        <v>4277</v>
      </c>
    </row>
    <row r="2064" spans="3:5" customFormat="1" ht="17.399999999999999">
      <c r="C2064" t="s">
        <v>4278</v>
      </c>
      <c r="E2064" t="s">
        <v>4279</v>
      </c>
    </row>
    <row r="2065" spans="3:5" customFormat="1" ht="17.399999999999999">
      <c r="C2065" t="s">
        <v>4280</v>
      </c>
      <c r="E2065" t="s">
        <v>4281</v>
      </c>
    </row>
    <row r="2066" spans="3:5" customFormat="1" ht="17.399999999999999">
      <c r="C2066" t="s">
        <v>1930</v>
      </c>
      <c r="E2066" t="s">
        <v>1931</v>
      </c>
    </row>
    <row r="2067" spans="3:5" customFormat="1" ht="17.399999999999999">
      <c r="C2067" t="s">
        <v>1933</v>
      </c>
      <c r="D2067" t="s">
        <v>1934</v>
      </c>
      <c r="E2067" t="s">
        <v>4282</v>
      </c>
    </row>
    <row r="2068" spans="3:5" customFormat="1" ht="17.399999999999999">
      <c r="C2068" t="s">
        <v>2677</v>
      </c>
      <c r="E2068" t="s">
        <v>4283</v>
      </c>
    </row>
    <row r="2069" spans="3:5" customFormat="1" ht="17.399999999999999">
      <c r="C2069" t="s">
        <v>1937</v>
      </c>
      <c r="D2069" t="s">
        <v>1738</v>
      </c>
      <c r="E2069" t="s">
        <v>1737</v>
      </c>
    </row>
    <row r="2070" spans="3:5" customFormat="1" ht="17.399999999999999">
      <c r="C2070" t="s">
        <v>1938</v>
      </c>
      <c r="D2070" t="s">
        <v>4285</v>
      </c>
      <c r="E2070" t="s">
        <v>4284</v>
      </c>
    </row>
    <row r="2071" spans="3:5" customFormat="1" ht="17.399999999999999">
      <c r="C2071" t="s">
        <v>1882</v>
      </c>
      <c r="E2071" t="s">
        <v>148</v>
      </c>
    </row>
    <row r="2072" spans="3:5" customFormat="1" ht="17.399999999999999">
      <c r="C2072" t="s">
        <v>2678</v>
      </c>
      <c r="E2072" t="s">
        <v>4286</v>
      </c>
    </row>
    <row r="2073" spans="3:5" customFormat="1" ht="17.399999999999999">
      <c r="C2073" t="s">
        <v>1768</v>
      </c>
      <c r="E2073" t="s">
        <v>2808</v>
      </c>
    </row>
    <row r="2074" spans="3:5" customFormat="1" ht="17.399999999999999">
      <c r="C2074" t="s">
        <v>32</v>
      </c>
      <c r="E2074" t="s">
        <v>469</v>
      </c>
    </row>
    <row r="2075" spans="3:5" customFormat="1" ht="17.399999999999999">
      <c r="C2075" t="s">
        <v>1769</v>
      </c>
      <c r="E2075" t="s">
        <v>1770</v>
      </c>
    </row>
    <row r="2076" spans="3:5" customFormat="1" ht="17.399999999999999">
      <c r="C2076" t="s">
        <v>1771</v>
      </c>
      <c r="D2076" t="s">
        <v>4288</v>
      </c>
      <c r="E2076" t="s">
        <v>4287</v>
      </c>
    </row>
    <row r="2077" spans="3:5" customFormat="1" ht="17.399999999999999">
      <c r="C2077" t="s">
        <v>2679</v>
      </c>
      <c r="E2077" t="s">
        <v>4289</v>
      </c>
    </row>
    <row r="2078" spans="3:5" customFormat="1" ht="17.399999999999999">
      <c r="C2078" t="s">
        <v>2679</v>
      </c>
      <c r="D2078" t="s">
        <v>4291</v>
      </c>
      <c r="E2078" t="s">
        <v>4290</v>
      </c>
    </row>
    <row r="2079" spans="3:5" customFormat="1" ht="17.399999999999999">
      <c r="C2079" t="s">
        <v>4292</v>
      </c>
      <c r="E2079" t="s">
        <v>4293</v>
      </c>
    </row>
    <row r="2080" spans="3:5" customFormat="1" ht="17.399999999999999">
      <c r="C2080" t="s">
        <v>1772</v>
      </c>
      <c r="D2080" t="s">
        <v>2469</v>
      </c>
      <c r="E2080" t="s">
        <v>921</v>
      </c>
    </row>
    <row r="2081" spans="3:5" customFormat="1" ht="17.399999999999999">
      <c r="C2081" t="s">
        <v>1773</v>
      </c>
      <c r="D2081" t="s">
        <v>700</v>
      </c>
      <c r="E2081" t="s">
        <v>4294</v>
      </c>
    </row>
    <row r="2082" spans="3:5" customFormat="1" ht="17.399999999999999">
      <c r="C2082" t="s">
        <v>1773</v>
      </c>
      <c r="D2082" t="s">
        <v>700</v>
      </c>
      <c r="E2082" t="s">
        <v>4295</v>
      </c>
    </row>
    <row r="2083" spans="3:5" customFormat="1" ht="17.399999999999999">
      <c r="C2083" t="s">
        <v>2680</v>
      </c>
      <c r="E2083" t="s">
        <v>2681</v>
      </c>
    </row>
    <row r="2084" spans="3:5" customFormat="1" ht="17.399999999999999">
      <c r="C2084" t="s">
        <v>4296</v>
      </c>
      <c r="E2084" t="s">
        <v>4297</v>
      </c>
    </row>
    <row r="2085" spans="3:5" customFormat="1" ht="17.399999999999999">
      <c r="C2085" t="s">
        <v>4298</v>
      </c>
      <c r="E2085" t="s">
        <v>4299</v>
      </c>
    </row>
    <row r="2086" spans="3:5" customFormat="1" ht="17.399999999999999">
      <c r="C2086" t="s">
        <v>1713</v>
      </c>
      <c r="E2086" t="s">
        <v>1714</v>
      </c>
    </row>
    <row r="2087" spans="3:5" customFormat="1" ht="17.399999999999999">
      <c r="C2087" t="s">
        <v>1717</v>
      </c>
      <c r="E2087" t="s">
        <v>2682</v>
      </c>
    </row>
    <row r="2088" spans="3:5" customFormat="1" ht="17.399999999999999">
      <c r="C2088" t="s">
        <v>1718</v>
      </c>
      <c r="E2088" t="s">
        <v>2289</v>
      </c>
    </row>
    <row r="2089" spans="3:5" customFormat="1" ht="17.399999999999999">
      <c r="C2089" t="s">
        <v>4300</v>
      </c>
      <c r="E2089" t="s">
        <v>1715</v>
      </c>
    </row>
    <row r="2090" spans="3:5" customFormat="1" ht="17.399999999999999">
      <c r="C2090" t="s">
        <v>2683</v>
      </c>
      <c r="E2090" t="s">
        <v>67</v>
      </c>
    </row>
    <row r="2091" spans="3:5" customFormat="1" ht="17.399999999999999">
      <c r="C2091" t="s">
        <v>2684</v>
      </c>
      <c r="E2091" t="s">
        <v>63</v>
      </c>
    </row>
    <row r="2092" spans="3:5" customFormat="1" ht="17.399999999999999">
      <c r="C2092" t="s">
        <v>1719</v>
      </c>
      <c r="E2092" t="s">
        <v>1720</v>
      </c>
    </row>
    <row r="2093" spans="3:5" customFormat="1" ht="17.399999999999999">
      <c r="C2093" t="s">
        <v>1721</v>
      </c>
      <c r="E2093" t="s">
        <v>4301</v>
      </c>
    </row>
    <row r="2094" spans="3:5" customFormat="1" ht="17.399999999999999">
      <c r="C2094" t="s">
        <v>2685</v>
      </c>
      <c r="E2094" t="s">
        <v>2686</v>
      </c>
    </row>
    <row r="2095" spans="3:5" customFormat="1" ht="17.399999999999999">
      <c r="C2095" t="s">
        <v>1722</v>
      </c>
      <c r="E2095" t="s">
        <v>1929</v>
      </c>
    </row>
    <row r="2096" spans="3:5" customFormat="1" ht="17.399999999999999">
      <c r="C2096" t="s">
        <v>1723</v>
      </c>
      <c r="E2096" t="s">
        <v>1644</v>
      </c>
    </row>
    <row r="2097" spans="3:5" customFormat="1" ht="17.399999999999999">
      <c r="C2097" t="s">
        <v>1724</v>
      </c>
      <c r="E2097" t="s">
        <v>4302</v>
      </c>
    </row>
    <row r="2098" spans="3:5" customFormat="1" ht="17.399999999999999">
      <c r="C2098" t="s">
        <v>1727</v>
      </c>
      <c r="D2098" t="s">
        <v>2298</v>
      </c>
      <c r="E2098" t="s">
        <v>1728</v>
      </c>
    </row>
    <row r="2099" spans="3:5" customFormat="1" ht="17.399999999999999">
      <c r="C2099" t="s">
        <v>1729</v>
      </c>
      <c r="E2099" t="s">
        <v>2170</v>
      </c>
    </row>
    <row r="2100" spans="3:5" customFormat="1" ht="17.399999999999999">
      <c r="C2100" t="s">
        <v>4303</v>
      </c>
      <c r="E2100" t="s">
        <v>4304</v>
      </c>
    </row>
    <row r="2101" spans="3:5" customFormat="1" ht="17.399999999999999">
      <c r="C2101" t="s">
        <v>1730</v>
      </c>
      <c r="E2101" t="s">
        <v>4305</v>
      </c>
    </row>
    <row r="2102" spans="3:5" customFormat="1" ht="17.399999999999999">
      <c r="C2102" t="s">
        <v>2688</v>
      </c>
      <c r="E2102" t="s">
        <v>4306</v>
      </c>
    </row>
    <row r="2103" spans="3:5" customFormat="1" ht="17.399999999999999">
      <c r="C2103" t="s">
        <v>1732</v>
      </c>
      <c r="E2103" t="s">
        <v>4307</v>
      </c>
    </row>
    <row r="2104" spans="3:5" customFormat="1" ht="17.399999999999999">
      <c r="C2104" t="s">
        <v>2689</v>
      </c>
      <c r="E2104" t="s">
        <v>4308</v>
      </c>
    </row>
    <row r="2105" spans="3:5" customFormat="1" ht="17.399999999999999">
      <c r="C2105" t="s">
        <v>1733</v>
      </c>
      <c r="E2105" t="s">
        <v>2690</v>
      </c>
    </row>
    <row r="2106" spans="3:5" customFormat="1" ht="17.399999999999999">
      <c r="C2106" t="s">
        <v>1905</v>
      </c>
      <c r="E2106" t="s">
        <v>1906</v>
      </c>
    </row>
    <row r="2107" spans="3:5" customFormat="1" ht="17.399999999999999">
      <c r="C2107" t="s">
        <v>2691</v>
      </c>
      <c r="E2107" t="s">
        <v>368</v>
      </c>
    </row>
    <row r="2108" spans="3:5" customFormat="1" ht="17.399999999999999">
      <c r="C2108" t="s">
        <v>4309</v>
      </c>
      <c r="E2108" t="s">
        <v>138</v>
      </c>
    </row>
    <row r="2109" spans="3:5" customFormat="1" ht="17.399999999999999">
      <c r="C2109" t="s">
        <v>1907</v>
      </c>
      <c r="E2109" t="s">
        <v>2709</v>
      </c>
    </row>
    <row r="2110" spans="3:5" customFormat="1" ht="17.399999999999999">
      <c r="C2110" t="s">
        <v>1908</v>
      </c>
      <c r="E2110" t="s">
        <v>2692</v>
      </c>
    </row>
    <row r="2111" spans="3:5" customFormat="1" ht="17.399999999999999">
      <c r="C2111" t="s">
        <v>1909</v>
      </c>
      <c r="E2111" t="s">
        <v>1910</v>
      </c>
    </row>
    <row r="2112" spans="3:5" customFormat="1" ht="17.399999999999999">
      <c r="C2112" t="s">
        <v>1911</v>
      </c>
      <c r="E2112" t="s">
        <v>2693</v>
      </c>
    </row>
    <row r="2113" spans="3:5" customFormat="1" ht="17.399999999999999">
      <c r="C2113" t="s">
        <v>1668</v>
      </c>
      <c r="E2113" t="s">
        <v>4310</v>
      </c>
    </row>
    <row r="2114" spans="3:5" customFormat="1" ht="17.399999999999999">
      <c r="C2114" t="s">
        <v>1671</v>
      </c>
      <c r="E2114" t="s">
        <v>780</v>
      </c>
    </row>
    <row r="2115" spans="3:5" customFormat="1" ht="17.399999999999999">
      <c r="C2115" t="s">
        <v>1671</v>
      </c>
      <c r="D2115" t="s">
        <v>4311</v>
      </c>
      <c r="E2115" t="s">
        <v>2363</v>
      </c>
    </row>
    <row r="2116" spans="3:5" customFormat="1" ht="17.399999999999999">
      <c r="C2116" t="s">
        <v>1672</v>
      </c>
      <c r="D2116" t="s">
        <v>82</v>
      </c>
      <c r="E2116" t="s">
        <v>4312</v>
      </c>
    </row>
    <row r="2117" spans="3:5" customFormat="1" ht="17.399999999999999">
      <c r="C2117" t="s">
        <v>1673</v>
      </c>
      <c r="D2117" t="s">
        <v>828</v>
      </c>
      <c r="E2117" t="s">
        <v>1676</v>
      </c>
    </row>
    <row r="2118" spans="3:5" customFormat="1" ht="17.399999999999999">
      <c r="C2118" t="s">
        <v>1674</v>
      </c>
      <c r="D2118" t="s">
        <v>781</v>
      </c>
      <c r="E2118" t="s">
        <v>308</v>
      </c>
    </row>
    <row r="2119" spans="3:5" customFormat="1" ht="17.399999999999999">
      <c r="C2119" t="s">
        <v>1674</v>
      </c>
      <c r="D2119" t="s">
        <v>781</v>
      </c>
      <c r="E2119" t="s">
        <v>4313</v>
      </c>
    </row>
    <row r="2120" spans="3:5" customFormat="1" ht="17.399999999999999">
      <c r="C2120" t="s">
        <v>4314</v>
      </c>
      <c r="E2120" t="s">
        <v>4315</v>
      </c>
    </row>
    <row r="2121" spans="3:5" customFormat="1" ht="17.399999999999999">
      <c r="C2121" t="s">
        <v>1677</v>
      </c>
      <c r="E2121" t="s">
        <v>1678</v>
      </c>
    </row>
    <row r="2122" spans="3:5" customFormat="1" ht="17.399999999999999">
      <c r="C2122" t="s">
        <v>1679</v>
      </c>
      <c r="D2122" t="s">
        <v>2694</v>
      </c>
      <c r="E2122" t="s">
        <v>4316</v>
      </c>
    </row>
    <row r="2123" spans="3:5" customFormat="1" ht="17.399999999999999">
      <c r="C2123" t="s">
        <v>1679</v>
      </c>
      <c r="D2123" t="s">
        <v>285</v>
      </c>
      <c r="E2123" t="s">
        <v>4317</v>
      </c>
    </row>
    <row r="2124" spans="3:5" customFormat="1" ht="17.399999999999999">
      <c r="C2124" t="s">
        <v>1681</v>
      </c>
      <c r="E2124" t="s">
        <v>586</v>
      </c>
    </row>
    <row r="2125" spans="3:5" customFormat="1" ht="17.399999999999999">
      <c r="C2125" t="s">
        <v>1681</v>
      </c>
      <c r="D2125" t="s">
        <v>4318</v>
      </c>
      <c r="E2125" t="s">
        <v>4316</v>
      </c>
    </row>
    <row r="2126" spans="3:5" customFormat="1" ht="17.399999999999999">
      <c r="C2126" t="s">
        <v>1682</v>
      </c>
      <c r="E2126" t="s">
        <v>251</v>
      </c>
    </row>
    <row r="2127" spans="3:5" customFormat="1" ht="17.399999999999999">
      <c r="C2127" t="s">
        <v>1683</v>
      </c>
      <c r="D2127" t="s">
        <v>1684</v>
      </c>
      <c r="E2127" t="s">
        <v>4319</v>
      </c>
    </row>
    <row r="2128" spans="3:5" customFormat="1" ht="17.399999999999999">
      <c r="C2128" t="s">
        <v>1683</v>
      </c>
      <c r="D2128" t="s">
        <v>1684</v>
      </c>
      <c r="E2128" t="s">
        <v>4320</v>
      </c>
    </row>
    <row r="2129" spans="3:5" customFormat="1" ht="17.399999999999999">
      <c r="C2129" t="s">
        <v>2695</v>
      </c>
      <c r="D2129" t="s">
        <v>2696</v>
      </c>
      <c r="E2129" t="s">
        <v>2751</v>
      </c>
    </row>
    <row r="2130" spans="3:5" customFormat="1" ht="17.399999999999999">
      <c r="C2130" t="s">
        <v>4321</v>
      </c>
      <c r="E2130" t="s">
        <v>4322</v>
      </c>
    </row>
    <row r="2131" spans="3:5" customFormat="1" ht="17.399999999999999">
      <c r="C2131" t="s">
        <v>4323</v>
      </c>
      <c r="E2131" t="s">
        <v>4324</v>
      </c>
    </row>
    <row r="2132" spans="3:5" customFormat="1" ht="17.399999999999999">
      <c r="C2132" t="s">
        <v>4325</v>
      </c>
      <c r="E2132" t="s">
        <v>4326</v>
      </c>
    </row>
    <row r="2133" spans="3:5" customFormat="1" ht="17.399999999999999">
      <c r="C2133" t="s">
        <v>2814</v>
      </c>
      <c r="D2133" t="s">
        <v>724</v>
      </c>
      <c r="E2133" t="s">
        <v>2767</v>
      </c>
    </row>
    <row r="2134" spans="3:5" customFormat="1" ht="17.399999999999999">
      <c r="C2134" t="s">
        <v>1685</v>
      </c>
      <c r="D2134" t="s">
        <v>2019</v>
      </c>
      <c r="E2134" t="s">
        <v>2698</v>
      </c>
    </row>
    <row r="2135" spans="3:5" customFormat="1" ht="17.399999999999999">
      <c r="C2135" t="s">
        <v>4327</v>
      </c>
      <c r="D2135" t="s">
        <v>4329</v>
      </c>
      <c r="E2135" t="s">
        <v>4328</v>
      </c>
    </row>
    <row r="2136" spans="3:5" customFormat="1" ht="17.399999999999999">
      <c r="C2136" t="s">
        <v>1602</v>
      </c>
      <c r="D2136" t="s">
        <v>1603</v>
      </c>
      <c r="E2136" t="s">
        <v>477</v>
      </c>
    </row>
    <row r="2137" spans="3:5" customFormat="1" ht="17.399999999999999">
      <c r="C2137" t="s">
        <v>1604</v>
      </c>
      <c r="D2137" t="s">
        <v>466</v>
      </c>
      <c r="E2137" t="s">
        <v>465</v>
      </c>
    </row>
    <row r="2138" spans="3:5" customFormat="1" ht="17.399999999999999">
      <c r="C2138" t="s">
        <v>1606</v>
      </c>
      <c r="D2138" t="s">
        <v>2121</v>
      </c>
      <c r="E2138" t="s">
        <v>228</v>
      </c>
    </row>
    <row r="2139" spans="3:5" customFormat="1" ht="17.399999999999999">
      <c r="C2139" t="s">
        <v>1607</v>
      </c>
      <c r="D2139" t="s">
        <v>2589</v>
      </c>
      <c r="E2139" t="s">
        <v>2699</v>
      </c>
    </row>
    <row r="2140" spans="3:5" customFormat="1" ht="17.399999999999999">
      <c r="C2140" t="s">
        <v>1608</v>
      </c>
      <c r="D2140" t="s">
        <v>4330</v>
      </c>
      <c r="E2140" t="s">
        <v>1233</v>
      </c>
    </row>
    <row r="2141" spans="3:5" customFormat="1" ht="17.399999999999999">
      <c r="C2141" t="s">
        <v>1609</v>
      </c>
      <c r="D2141" t="s">
        <v>2700</v>
      </c>
      <c r="E2141" t="s">
        <v>4331</v>
      </c>
    </row>
    <row r="2142" spans="3:5" customFormat="1" ht="17.399999999999999">
      <c r="C2142" t="s">
        <v>2701</v>
      </c>
      <c r="D2142" t="s">
        <v>2700</v>
      </c>
      <c r="E2142" t="s">
        <v>1196</v>
      </c>
    </row>
    <row r="2143" spans="3:5" customFormat="1" ht="17.399999999999999">
      <c r="C2143" t="s">
        <v>2815</v>
      </c>
      <c r="D2143" t="s">
        <v>2469</v>
      </c>
      <c r="E2143" t="s">
        <v>2781</v>
      </c>
    </row>
    <row r="2144" spans="3:5" customFormat="1" ht="17.399999999999999">
      <c r="C2144" t="s">
        <v>1610</v>
      </c>
      <c r="E2144" t="s">
        <v>4332</v>
      </c>
    </row>
    <row r="2145" spans="1:8" customFormat="1" ht="17.399999999999999">
      <c r="C2145" t="s">
        <v>1612</v>
      </c>
      <c r="D2145" t="s">
        <v>2239</v>
      </c>
      <c r="E2145" t="s">
        <v>4333</v>
      </c>
    </row>
    <row r="2146" spans="1:8" customFormat="1" ht="17.399999999999999">
      <c r="C2146" t="s">
        <v>4474</v>
      </c>
      <c r="D2146" t="s">
        <v>4476</v>
      </c>
      <c r="E2146" t="s">
        <v>4475</v>
      </c>
    </row>
    <row r="2147" spans="1:8" customFormat="1" ht="17.399999999999999">
      <c r="C2147" t="s">
        <v>2702</v>
      </c>
      <c r="D2147" t="s">
        <v>2109</v>
      </c>
      <c r="E2147" t="s">
        <v>2716</v>
      </c>
    </row>
    <row r="2148" spans="1:8" customFormat="1" ht="17.399999999999999">
      <c r="C2148" t="s">
        <v>4334</v>
      </c>
      <c r="D2148" t="s">
        <v>4336</v>
      </c>
      <c r="E2148" t="s">
        <v>4335</v>
      </c>
    </row>
    <row r="2149" spans="1:8" customFormat="1" ht="17.399999999999999">
      <c r="C2149" t="s">
        <v>1613</v>
      </c>
      <c r="D2149" t="s">
        <v>2703</v>
      </c>
      <c r="E2149" t="s">
        <v>4337</v>
      </c>
    </row>
    <row r="2150" spans="1:8" customFormat="1" ht="17.399999999999999">
      <c r="C2150" t="s">
        <v>1614</v>
      </c>
      <c r="D2150" t="s">
        <v>2169</v>
      </c>
      <c r="E2150" t="s">
        <v>333</v>
      </c>
    </row>
    <row r="2151" spans="1:8" customFormat="1" ht="17.399999999999999">
      <c r="C2151" t="s">
        <v>1615</v>
      </c>
      <c r="E2151" t="s">
        <v>4338</v>
      </c>
    </row>
    <row r="2152" spans="1:8" customFormat="1" ht="17.399999999999999">
      <c r="C2152" t="s">
        <v>1615</v>
      </c>
      <c r="D2152" t="s">
        <v>4340</v>
      </c>
      <c r="E2152" t="s">
        <v>4339</v>
      </c>
    </row>
    <row r="2153" spans="1:8" customFormat="1" ht="17.399999999999999">
      <c r="C2153" t="s">
        <v>1616</v>
      </c>
      <c r="D2153" t="s">
        <v>2034</v>
      </c>
      <c r="E2153" t="s">
        <v>2033</v>
      </c>
    </row>
    <row r="2154" spans="1:8" customFormat="1" ht="17.399999999999999">
      <c r="C2154" t="s">
        <v>2818</v>
      </c>
      <c r="D2154" t="s">
        <v>4342</v>
      </c>
      <c r="E2154" t="s">
        <v>4341</v>
      </c>
    </row>
    <row r="2155" spans="1:8" customFormat="1" ht="17.399999999999999">
      <c r="C2155" t="s">
        <v>4343</v>
      </c>
      <c r="D2155" t="s">
        <v>4344</v>
      </c>
      <c r="E2155" t="s">
        <v>4344</v>
      </c>
    </row>
    <row r="2156" spans="1:8" customFormat="1" ht="17.399999999999999">
      <c r="C2156" t="s">
        <v>1617</v>
      </c>
      <c r="D2156" t="s">
        <v>2704</v>
      </c>
      <c r="E2156" t="s">
        <v>4345</v>
      </c>
    </row>
    <row r="2157" spans="1:8" customFormat="1" ht="17.399999999999999">
      <c r="C2157" t="s">
        <v>2705</v>
      </c>
      <c r="E2157" t="s">
        <v>4346</v>
      </c>
    </row>
    <row r="2158" spans="1:8" customFormat="1" ht="17.399999999999999">
      <c r="C2158" t="s">
        <v>2706</v>
      </c>
      <c r="D2158" t="s">
        <v>2707</v>
      </c>
      <c r="E2158" t="s">
        <v>2707</v>
      </c>
    </row>
    <row r="2159" spans="1:8" customFormat="1" ht="17.399999999999999">
      <c r="C2159" t="s">
        <v>1618</v>
      </c>
      <c r="D2159" t="s">
        <v>1619</v>
      </c>
      <c r="E2159" t="s">
        <v>4347</v>
      </c>
    </row>
    <row r="2160" spans="1:8" s="18" customFormat="1">
      <c r="A2160" s="3"/>
      <c r="B2160" s="3"/>
      <c r="C2160" s="3"/>
      <c r="D2160" s="3"/>
      <c r="E2160" s="3"/>
      <c r="F2160" s="3"/>
      <c r="G2160" s="3"/>
      <c r="H2160" s="3"/>
    </row>
  </sheetData>
  <mergeCells count="1">
    <mergeCell ref="A1:H1"/>
  </mergeCells>
  <phoneticPr fontId="1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G129"/>
  <sheetViews>
    <sheetView topLeftCell="K4" workbookViewId="0">
      <selection activeCell="S34" sqref="S34"/>
    </sheetView>
  </sheetViews>
  <sheetFormatPr defaultRowHeight="13.2"/>
  <cols>
    <col min="1" max="1" width="8.796875" style="12"/>
    <col min="2" max="2" width="5.69921875" style="12" bestFit="1" customWidth="1"/>
    <col min="3" max="3" width="23.8984375" style="12" bestFit="1" customWidth="1"/>
    <col min="4" max="4" width="2.796875" style="12" bestFit="1" customWidth="1"/>
    <col min="5" max="5" width="21.69921875" style="12" bestFit="1" customWidth="1"/>
    <col min="6" max="6" width="2.796875" style="12" bestFit="1" customWidth="1"/>
    <col min="7" max="7" width="21.69921875" style="12" bestFit="1" customWidth="1"/>
    <col min="8" max="20" width="8.796875" style="12"/>
    <col min="21" max="21" width="35.296875" style="12" bestFit="1" customWidth="1"/>
    <col min="22" max="22" width="8.796875" style="12"/>
    <col min="23" max="23" width="31.3984375" style="12" bestFit="1" customWidth="1"/>
    <col min="24" max="32" width="8.796875" style="12"/>
    <col min="33" max="33" width="37.3984375" style="12" bestFit="1" customWidth="1"/>
    <col min="34" max="16384" width="8.796875" style="12"/>
  </cols>
  <sheetData>
    <row r="1" spans="2:33" ht="14.4">
      <c r="B1" s="317" t="s">
        <v>2710</v>
      </c>
      <c r="C1" s="318" t="s">
        <v>4481</v>
      </c>
      <c r="D1" s="319">
        <v>6</v>
      </c>
      <c r="E1" s="320" t="s">
        <v>4806</v>
      </c>
      <c r="U1" s="39" t="s">
        <v>4480</v>
      </c>
      <c r="W1" s="296" t="s">
        <v>4889</v>
      </c>
      <c r="X1" s="9"/>
      <c r="Y1" s="9"/>
      <c r="Z1" s="9"/>
      <c r="AB1" s="9"/>
      <c r="AC1" s="54"/>
      <c r="AD1" s="9"/>
      <c r="AE1" s="9"/>
      <c r="AG1" s="297"/>
    </row>
    <row r="2" spans="2:33" ht="14.4">
      <c r="B2" s="317" t="s">
        <v>2710</v>
      </c>
      <c r="C2" s="321"/>
      <c r="D2" s="322"/>
      <c r="E2" s="323"/>
      <c r="U2" s="20" t="s">
        <v>4483</v>
      </c>
      <c r="W2" s="296" t="s">
        <v>5083</v>
      </c>
      <c r="X2" s="9"/>
      <c r="Y2" s="9"/>
      <c r="Z2" s="9"/>
      <c r="AB2" s="9"/>
      <c r="AC2" s="54"/>
      <c r="AD2" s="9"/>
      <c r="AE2" s="9"/>
      <c r="AG2" s="38"/>
    </row>
    <row r="3" spans="2:33" ht="14.4">
      <c r="B3" s="317" t="s">
        <v>2710</v>
      </c>
      <c r="C3" s="321"/>
      <c r="D3" s="322"/>
      <c r="E3" s="323"/>
      <c r="U3" s="20" t="s">
        <v>4484</v>
      </c>
      <c r="W3" s="296" t="s">
        <v>5084</v>
      </c>
      <c r="X3" s="9"/>
      <c r="Y3" s="9"/>
      <c r="Z3" s="9"/>
      <c r="AB3" s="9"/>
      <c r="AC3" s="54"/>
      <c r="AD3" s="9"/>
      <c r="AE3" s="9"/>
      <c r="AG3" s="38"/>
    </row>
    <row r="4" spans="2:33" ht="14.4">
      <c r="B4" s="317" t="s">
        <v>1</v>
      </c>
      <c r="C4" s="321" t="s">
        <v>4485</v>
      </c>
      <c r="D4" s="322">
        <v>7</v>
      </c>
      <c r="E4" s="323" t="s">
        <v>4486</v>
      </c>
      <c r="U4" s="20" t="s">
        <v>4480</v>
      </c>
      <c r="W4" s="294"/>
      <c r="X4" s="9"/>
      <c r="Y4" s="9"/>
      <c r="Z4" s="9"/>
      <c r="AB4" s="9"/>
      <c r="AC4" s="54"/>
      <c r="AD4" s="9"/>
      <c r="AE4" s="9"/>
      <c r="AG4" s="295"/>
    </row>
    <row r="5" spans="2:33" ht="14.4">
      <c r="B5" s="317" t="s">
        <v>1</v>
      </c>
      <c r="C5" s="321"/>
      <c r="D5" s="322"/>
      <c r="E5" s="323"/>
      <c r="U5" s="20" t="s">
        <v>4487</v>
      </c>
      <c r="W5" s="294"/>
      <c r="X5" s="9"/>
      <c r="Y5" s="9"/>
      <c r="Z5" s="9"/>
      <c r="AB5" s="9"/>
      <c r="AC5" s="54"/>
      <c r="AD5" s="9"/>
      <c r="AE5" s="9"/>
      <c r="AG5" s="295"/>
    </row>
    <row r="6" spans="2:33" ht="14.4">
      <c r="B6" s="317" t="s">
        <v>1</v>
      </c>
      <c r="C6" s="321"/>
      <c r="D6" s="322"/>
      <c r="E6" s="323"/>
      <c r="U6" s="20" t="s">
        <v>4488</v>
      </c>
      <c r="W6" s="298" t="s">
        <v>5085</v>
      </c>
      <c r="X6" s="9"/>
      <c r="Y6" s="9"/>
      <c r="Z6" s="9"/>
      <c r="AB6" s="9"/>
      <c r="AC6" s="54"/>
      <c r="AD6" s="9"/>
      <c r="AE6" s="9"/>
      <c r="AG6" s="295"/>
    </row>
    <row r="7" spans="2:33" ht="14.4">
      <c r="B7" s="317" t="s">
        <v>1</v>
      </c>
      <c r="C7" s="321"/>
      <c r="D7" s="322"/>
      <c r="E7" s="323"/>
      <c r="U7" s="20" t="s">
        <v>4489</v>
      </c>
      <c r="W7" s="298"/>
      <c r="X7" s="9"/>
      <c r="Y7" s="9"/>
      <c r="Z7" s="9"/>
      <c r="AB7" s="9"/>
      <c r="AC7" s="54"/>
      <c r="AD7" s="9"/>
      <c r="AE7" s="9"/>
      <c r="AG7" s="295"/>
    </row>
    <row r="8" spans="2:33" ht="14.4">
      <c r="B8" s="317" t="s">
        <v>1</v>
      </c>
      <c r="C8" s="321" t="s">
        <v>4490</v>
      </c>
      <c r="D8" s="322">
        <v>8</v>
      </c>
      <c r="E8" s="324" t="s">
        <v>4491</v>
      </c>
      <c r="U8" s="20" t="s">
        <v>4480</v>
      </c>
      <c r="W8" s="298"/>
      <c r="X8" s="9"/>
      <c r="Y8" s="9"/>
      <c r="Z8" s="9"/>
      <c r="AB8" s="9"/>
      <c r="AC8" s="54"/>
      <c r="AD8" s="9"/>
      <c r="AE8" s="9"/>
      <c r="AG8" s="295"/>
    </row>
    <row r="9" spans="2:33" ht="14.4">
      <c r="B9" s="317" t="s">
        <v>1</v>
      </c>
      <c r="C9" s="321" t="s">
        <v>4492</v>
      </c>
      <c r="D9" s="322">
        <v>9</v>
      </c>
      <c r="E9" s="323" t="s">
        <v>4493</v>
      </c>
      <c r="U9" s="20" t="s">
        <v>4480</v>
      </c>
      <c r="W9" s="298"/>
      <c r="X9" s="9"/>
      <c r="Y9" s="9"/>
      <c r="Z9" s="9"/>
      <c r="AB9" s="9"/>
      <c r="AC9" s="54"/>
      <c r="AD9" s="9"/>
      <c r="AE9" s="9"/>
      <c r="AG9" s="295"/>
    </row>
    <row r="10" spans="2:33" ht="15" thickBot="1">
      <c r="B10" s="317" t="s">
        <v>1</v>
      </c>
      <c r="C10" s="321"/>
      <c r="D10" s="322">
        <v>9</v>
      </c>
      <c r="E10" s="323"/>
      <c r="U10" s="20" t="s">
        <v>4489</v>
      </c>
      <c r="W10" s="299" t="s">
        <v>5085</v>
      </c>
      <c r="X10" s="9"/>
      <c r="Y10" s="9"/>
      <c r="Z10" s="9"/>
      <c r="AB10" s="9"/>
      <c r="AC10" s="54"/>
      <c r="AD10" s="9"/>
      <c r="AE10" s="9"/>
      <c r="AG10" s="295"/>
    </row>
    <row r="11" spans="2:33" ht="15" thickBot="1">
      <c r="B11" s="317" t="s">
        <v>1</v>
      </c>
      <c r="C11" s="321"/>
      <c r="D11" s="322"/>
      <c r="E11" s="323"/>
      <c r="U11" s="20" t="s">
        <v>4494</v>
      </c>
      <c r="W11" s="301"/>
      <c r="X11" s="9"/>
      <c r="Y11" s="9"/>
      <c r="Z11" s="9"/>
      <c r="AB11" s="9"/>
      <c r="AC11" s="54"/>
      <c r="AD11" s="9"/>
      <c r="AE11" s="9"/>
      <c r="AG11" s="40"/>
    </row>
    <row r="12" spans="2:33" ht="14.4">
      <c r="B12" s="317" t="s">
        <v>1</v>
      </c>
      <c r="C12" s="321" t="s">
        <v>4495</v>
      </c>
      <c r="D12" s="322">
        <v>10</v>
      </c>
      <c r="E12" s="323" t="s">
        <v>4496</v>
      </c>
      <c r="U12" s="20" t="s">
        <v>4480</v>
      </c>
      <c r="W12" s="302" t="s">
        <v>1907</v>
      </c>
      <c r="X12" s="9"/>
      <c r="Y12" s="9"/>
      <c r="Z12" s="9"/>
      <c r="AB12" s="9"/>
      <c r="AC12" s="54"/>
      <c r="AD12" s="9"/>
      <c r="AE12" s="9"/>
      <c r="AG12" s="300"/>
    </row>
    <row r="13" spans="2:33" ht="14.4">
      <c r="B13" s="317" t="s">
        <v>1</v>
      </c>
      <c r="C13" s="321"/>
      <c r="D13" s="322"/>
      <c r="E13" s="323"/>
      <c r="U13" s="20" t="s">
        <v>4497</v>
      </c>
      <c r="W13" s="294" t="s">
        <v>5086</v>
      </c>
      <c r="X13" s="9"/>
      <c r="Y13" s="9"/>
      <c r="Z13" s="9"/>
      <c r="AB13" s="9"/>
      <c r="AC13" s="54"/>
      <c r="AD13" s="9"/>
      <c r="AE13" s="9"/>
      <c r="AG13" s="295"/>
    </row>
    <row r="14" spans="2:33" ht="14.4">
      <c r="B14" s="317" t="s">
        <v>1</v>
      </c>
      <c r="C14" s="321" t="s">
        <v>4498</v>
      </c>
      <c r="D14" s="322">
        <v>11</v>
      </c>
      <c r="E14" s="323" t="s">
        <v>4499</v>
      </c>
      <c r="U14" s="20" t="s">
        <v>4480</v>
      </c>
      <c r="W14" s="294" t="s">
        <v>5087</v>
      </c>
      <c r="X14" s="9"/>
      <c r="Y14" s="9"/>
      <c r="Z14" s="9"/>
      <c r="AB14" s="9"/>
      <c r="AC14" s="54"/>
      <c r="AD14" s="9"/>
      <c r="AE14" s="9"/>
      <c r="AG14" s="295"/>
    </row>
    <row r="15" spans="2:33" ht="14.4">
      <c r="B15" s="317" t="s">
        <v>1</v>
      </c>
      <c r="C15" s="321"/>
      <c r="D15" s="322"/>
      <c r="E15" s="323"/>
      <c r="U15" s="20" t="s">
        <v>4500</v>
      </c>
      <c r="W15" s="294" t="s">
        <v>1907</v>
      </c>
      <c r="X15" s="9"/>
      <c r="Y15" s="9"/>
      <c r="Z15" s="9"/>
      <c r="AB15" s="9"/>
      <c r="AC15" s="54"/>
      <c r="AD15" s="9"/>
      <c r="AE15" s="9"/>
      <c r="AG15" s="295"/>
    </row>
    <row r="16" spans="2:33" ht="14.4">
      <c r="B16" s="317" t="s">
        <v>1</v>
      </c>
      <c r="C16" s="321" t="s">
        <v>4501</v>
      </c>
      <c r="D16" s="322">
        <v>12</v>
      </c>
      <c r="E16" s="323" t="s">
        <v>4502</v>
      </c>
      <c r="U16" s="20" t="s">
        <v>4480</v>
      </c>
      <c r="W16" s="294" t="s">
        <v>5088</v>
      </c>
      <c r="X16" s="9"/>
      <c r="Y16" s="9"/>
      <c r="Z16" s="9"/>
      <c r="AB16" s="9"/>
      <c r="AC16" s="54"/>
      <c r="AD16" s="9"/>
      <c r="AE16" s="9"/>
      <c r="AG16" s="295"/>
    </row>
    <row r="17" spans="2:33" ht="14.4">
      <c r="B17" s="317" t="s">
        <v>1</v>
      </c>
      <c r="C17" s="321"/>
      <c r="D17" s="322"/>
      <c r="E17" s="323"/>
      <c r="U17" s="20" t="s">
        <v>4503</v>
      </c>
      <c r="W17" s="294" t="s">
        <v>5089</v>
      </c>
      <c r="X17" s="9"/>
      <c r="Y17" s="9"/>
      <c r="Z17" s="9"/>
      <c r="AB17" s="9"/>
      <c r="AC17" s="54"/>
      <c r="AD17" s="9"/>
      <c r="AE17" s="9"/>
      <c r="AG17" s="295"/>
    </row>
    <row r="18" spans="2:33" ht="14.4">
      <c r="B18" s="317" t="s">
        <v>1</v>
      </c>
      <c r="C18" s="321"/>
      <c r="D18" s="322"/>
      <c r="E18" s="323"/>
      <c r="U18" s="20" t="s">
        <v>4504</v>
      </c>
      <c r="W18" s="294" t="s">
        <v>5090</v>
      </c>
      <c r="X18" s="9"/>
      <c r="Y18" s="9"/>
      <c r="Z18" s="9"/>
      <c r="AB18" s="9"/>
      <c r="AC18" s="54"/>
      <c r="AD18" s="9"/>
      <c r="AE18" s="9"/>
      <c r="AG18" s="295"/>
    </row>
    <row r="19" spans="2:33" ht="14.4">
      <c r="B19" s="317" t="s">
        <v>1</v>
      </c>
      <c r="C19" s="321" t="s">
        <v>4505</v>
      </c>
      <c r="D19" s="322">
        <v>13</v>
      </c>
      <c r="E19" s="323" t="s">
        <v>4506</v>
      </c>
      <c r="U19" s="20" t="s">
        <v>4480</v>
      </c>
      <c r="W19" s="294" t="s">
        <v>1907</v>
      </c>
      <c r="X19" s="9"/>
      <c r="Y19" s="9"/>
      <c r="Z19" s="9"/>
      <c r="AB19" s="9"/>
      <c r="AC19" s="54"/>
      <c r="AD19" s="9"/>
      <c r="AE19" s="9"/>
      <c r="AG19" s="295"/>
    </row>
    <row r="20" spans="2:33" ht="14.4">
      <c r="B20" s="317" t="s">
        <v>1</v>
      </c>
      <c r="C20" s="321"/>
      <c r="D20" s="322"/>
      <c r="E20" s="323"/>
      <c r="U20" s="20" t="s">
        <v>4507</v>
      </c>
      <c r="W20" s="294" t="s">
        <v>1907</v>
      </c>
      <c r="X20" s="9"/>
      <c r="Y20" s="9"/>
      <c r="Z20" s="9"/>
      <c r="AB20" s="9"/>
      <c r="AC20" s="54"/>
      <c r="AD20" s="9"/>
      <c r="AE20" s="9"/>
      <c r="AG20" s="295"/>
    </row>
    <row r="21" spans="2:33" ht="14.4">
      <c r="B21" s="317" t="s">
        <v>1</v>
      </c>
      <c r="C21" s="321" t="s">
        <v>4508</v>
      </c>
      <c r="D21" s="322">
        <v>14</v>
      </c>
      <c r="E21" s="323" t="s">
        <v>4509</v>
      </c>
      <c r="U21" s="20" t="s">
        <v>4480</v>
      </c>
      <c r="W21" s="294" t="s">
        <v>5090</v>
      </c>
      <c r="X21" s="9"/>
      <c r="Y21" s="9"/>
      <c r="Z21" s="9"/>
      <c r="AB21" s="9"/>
      <c r="AC21" s="54"/>
      <c r="AD21" s="9"/>
      <c r="AE21" s="9"/>
      <c r="AG21" s="295"/>
    </row>
    <row r="22" spans="2:33" ht="14.4">
      <c r="B22" s="317" t="s">
        <v>1</v>
      </c>
      <c r="C22" s="321"/>
      <c r="D22" s="322"/>
      <c r="E22" s="323"/>
      <c r="U22" s="20" t="s">
        <v>4510</v>
      </c>
      <c r="W22" s="294" t="s">
        <v>5091</v>
      </c>
      <c r="X22" s="9"/>
      <c r="Y22" s="9"/>
      <c r="Z22" s="9"/>
      <c r="AB22" s="9"/>
      <c r="AC22" s="54"/>
      <c r="AD22" s="9"/>
      <c r="AE22" s="9"/>
      <c r="AG22" s="295"/>
    </row>
    <row r="23" spans="2:33" ht="14.4">
      <c r="B23" s="317" t="s">
        <v>1</v>
      </c>
      <c r="C23" s="321" t="s">
        <v>4511</v>
      </c>
      <c r="D23" s="322">
        <v>15</v>
      </c>
      <c r="E23" s="324" t="s">
        <v>4512</v>
      </c>
      <c r="U23" s="20" t="s">
        <v>4480</v>
      </c>
      <c r="W23" s="294" t="s">
        <v>1907</v>
      </c>
      <c r="X23" s="9"/>
      <c r="Y23" s="9"/>
      <c r="Z23" s="9"/>
      <c r="AB23" s="9"/>
      <c r="AC23" s="54"/>
      <c r="AD23" s="9"/>
      <c r="AE23" s="9"/>
      <c r="AG23" s="295"/>
    </row>
    <row r="24" spans="2:33" ht="14.4">
      <c r="B24" s="317" t="s">
        <v>1</v>
      </c>
      <c r="C24" s="321" t="s">
        <v>4513</v>
      </c>
      <c r="D24" s="322">
        <v>16</v>
      </c>
      <c r="E24" s="323" t="s">
        <v>4514</v>
      </c>
      <c r="U24" s="20" t="s">
        <v>4480</v>
      </c>
      <c r="W24" s="294" t="s">
        <v>5092</v>
      </c>
      <c r="X24" s="9"/>
      <c r="Y24" s="9"/>
      <c r="Z24" s="9"/>
      <c r="AB24" s="9"/>
      <c r="AC24" s="54"/>
      <c r="AD24" s="9"/>
      <c r="AE24" s="9"/>
      <c r="AG24" s="295"/>
    </row>
    <row r="25" spans="2:33" ht="14.4">
      <c r="B25" s="317" t="s">
        <v>1</v>
      </c>
      <c r="C25" s="321"/>
      <c r="D25" s="322"/>
      <c r="E25" s="323"/>
      <c r="U25" s="20" t="s">
        <v>4515</v>
      </c>
      <c r="W25" s="294" t="s">
        <v>1907</v>
      </c>
      <c r="X25" s="9"/>
      <c r="Y25" s="9"/>
      <c r="Z25" s="9"/>
      <c r="AB25" s="9"/>
      <c r="AC25" s="54"/>
      <c r="AD25" s="9"/>
      <c r="AE25" s="9"/>
      <c r="AG25" s="295"/>
    </row>
    <row r="26" spans="2:33" ht="14.4">
      <c r="B26" s="317" t="s">
        <v>1</v>
      </c>
      <c r="C26" s="321"/>
      <c r="D26" s="322"/>
      <c r="E26" s="323"/>
      <c r="U26" s="20" t="s">
        <v>4516</v>
      </c>
      <c r="W26" s="294" t="s">
        <v>5093</v>
      </c>
      <c r="X26" s="9"/>
      <c r="Y26" s="9"/>
      <c r="Z26" s="9"/>
      <c r="AB26" s="9"/>
      <c r="AC26" s="54"/>
      <c r="AD26" s="9"/>
      <c r="AE26" s="9"/>
      <c r="AG26" s="295"/>
    </row>
    <row r="27" spans="2:33" ht="14.4">
      <c r="B27" s="317" t="s">
        <v>4518</v>
      </c>
      <c r="C27" s="321" t="s">
        <v>4517</v>
      </c>
      <c r="D27" s="322">
        <v>17</v>
      </c>
      <c r="E27" s="323" t="s">
        <v>4519</v>
      </c>
      <c r="U27" s="20" t="s">
        <v>4480</v>
      </c>
      <c r="W27" s="294" t="s">
        <v>1907</v>
      </c>
      <c r="X27" s="9"/>
      <c r="Y27" s="9"/>
      <c r="Z27" s="9"/>
      <c r="AB27" s="9"/>
      <c r="AC27" s="54"/>
      <c r="AD27" s="9"/>
      <c r="AE27" s="9"/>
      <c r="AG27" s="295"/>
    </row>
    <row r="28" spans="2:33" ht="14.4">
      <c r="B28" s="317" t="s">
        <v>4518</v>
      </c>
      <c r="C28" s="321"/>
      <c r="D28" s="322"/>
      <c r="E28" s="323"/>
      <c r="U28" s="20" t="s">
        <v>4520</v>
      </c>
      <c r="W28" s="294" t="s">
        <v>5094</v>
      </c>
      <c r="X28" s="9"/>
      <c r="Y28" s="9"/>
      <c r="Z28" s="9"/>
      <c r="AB28" s="9"/>
      <c r="AC28" s="54"/>
      <c r="AD28" s="9"/>
      <c r="AE28" s="9"/>
      <c r="AG28" s="295"/>
    </row>
    <row r="29" spans="2:33" ht="14.4">
      <c r="B29" s="317" t="s">
        <v>4518</v>
      </c>
      <c r="C29" s="321" t="s">
        <v>4521</v>
      </c>
      <c r="D29" s="322">
        <v>18</v>
      </c>
      <c r="E29" s="323" t="s">
        <v>4522</v>
      </c>
      <c r="U29" s="20" t="s">
        <v>1907</v>
      </c>
      <c r="W29" s="294" t="s">
        <v>5095</v>
      </c>
      <c r="X29" s="9"/>
      <c r="Y29" s="9"/>
      <c r="Z29" s="9"/>
      <c r="AB29" s="9"/>
      <c r="AC29" s="54"/>
      <c r="AD29" s="9"/>
      <c r="AE29" s="9"/>
      <c r="AG29" s="295"/>
    </row>
    <row r="30" spans="2:33">
      <c r="B30" s="317" t="s">
        <v>4518</v>
      </c>
      <c r="C30" s="321"/>
      <c r="D30" s="322"/>
      <c r="E30" s="323"/>
      <c r="U30" s="24" t="s">
        <v>4523</v>
      </c>
      <c r="W30" s="294" t="s">
        <v>1907</v>
      </c>
      <c r="X30" s="9"/>
      <c r="Y30" s="9"/>
      <c r="Z30" s="9"/>
      <c r="AB30" s="9"/>
      <c r="AC30" s="54"/>
      <c r="AD30" s="9"/>
      <c r="AE30" s="9"/>
      <c r="AG30" s="295"/>
    </row>
    <row r="31" spans="2:33" ht="14.4">
      <c r="B31" s="317" t="s">
        <v>4518</v>
      </c>
      <c r="C31" s="321"/>
      <c r="D31" s="322"/>
      <c r="E31" s="323"/>
      <c r="U31" s="25" t="s">
        <v>4524</v>
      </c>
      <c r="W31" s="294" t="s">
        <v>5096</v>
      </c>
      <c r="X31" s="9"/>
      <c r="Y31" s="9"/>
      <c r="Z31" s="9"/>
      <c r="AB31" s="9"/>
      <c r="AC31" s="54"/>
      <c r="AD31" s="9"/>
      <c r="AE31" s="9"/>
      <c r="AG31" s="295"/>
    </row>
    <row r="32" spans="2:33" ht="14.4">
      <c r="B32" s="317" t="s">
        <v>4518</v>
      </c>
      <c r="C32" s="321"/>
      <c r="D32" s="322"/>
      <c r="E32" s="323"/>
      <c r="U32" s="25" t="s">
        <v>4525</v>
      </c>
      <c r="W32" s="294" t="s">
        <v>1907</v>
      </c>
      <c r="X32" s="9"/>
      <c r="Y32" s="9"/>
      <c r="Z32" s="9"/>
      <c r="AB32" s="9"/>
      <c r="AC32" s="54"/>
      <c r="AD32" s="9"/>
      <c r="AE32" s="9"/>
      <c r="AG32" s="295"/>
    </row>
    <row r="33" spans="2:33" ht="14.4">
      <c r="B33" s="317" t="s">
        <v>4518</v>
      </c>
      <c r="C33" s="321" t="s">
        <v>4526</v>
      </c>
      <c r="D33" s="322">
        <v>19</v>
      </c>
      <c r="E33" s="323" t="s">
        <v>4527</v>
      </c>
      <c r="U33" s="20" t="s">
        <v>1907</v>
      </c>
      <c r="W33" s="294" t="s">
        <v>5097</v>
      </c>
      <c r="X33" s="9"/>
      <c r="Y33" s="9"/>
      <c r="Z33" s="9"/>
      <c r="AB33" s="9"/>
      <c r="AC33" s="54"/>
      <c r="AD33" s="9"/>
      <c r="AE33" s="9"/>
      <c r="AG33" s="295"/>
    </row>
    <row r="34" spans="2:33" ht="14.4">
      <c r="B34" s="317" t="s">
        <v>4518</v>
      </c>
      <c r="C34" s="321"/>
      <c r="D34" s="322"/>
      <c r="E34" s="323"/>
      <c r="U34" s="25" t="s">
        <v>4528</v>
      </c>
      <c r="W34" s="294" t="s">
        <v>1907</v>
      </c>
      <c r="X34" s="9"/>
      <c r="Y34" s="9"/>
      <c r="Z34" s="9"/>
      <c r="AB34" s="9"/>
      <c r="AC34" s="54"/>
      <c r="AD34" s="9"/>
      <c r="AE34" s="9"/>
      <c r="AG34" s="295"/>
    </row>
    <row r="35" spans="2:33" ht="14.4">
      <c r="B35" s="317" t="s">
        <v>4518</v>
      </c>
      <c r="C35" s="321" t="s">
        <v>4529</v>
      </c>
      <c r="D35" s="322">
        <v>20</v>
      </c>
      <c r="E35" s="323" t="s">
        <v>4530</v>
      </c>
      <c r="U35" s="20" t="s">
        <v>1907</v>
      </c>
      <c r="W35" s="294" t="s">
        <v>1907</v>
      </c>
      <c r="X35" s="9"/>
      <c r="Y35" s="9"/>
      <c r="Z35" s="9"/>
      <c r="AB35" s="9"/>
      <c r="AC35" s="54"/>
      <c r="AD35" s="9"/>
      <c r="AE35" s="9"/>
      <c r="AG35" s="295"/>
    </row>
    <row r="36" spans="2:33" ht="14.4">
      <c r="B36" s="317" t="s">
        <v>4518</v>
      </c>
      <c r="C36" s="321"/>
      <c r="D36" s="322"/>
      <c r="E36" s="323"/>
      <c r="U36" s="25" t="s">
        <v>4531</v>
      </c>
      <c r="W36" s="294" t="s">
        <v>5098</v>
      </c>
      <c r="X36" s="9"/>
      <c r="Y36" s="9"/>
      <c r="Z36" s="9"/>
      <c r="AB36" s="9"/>
      <c r="AC36" s="54"/>
      <c r="AD36" s="9"/>
      <c r="AE36" s="9"/>
      <c r="AG36" s="295"/>
    </row>
    <row r="37" spans="2:33" ht="14.4">
      <c r="B37" s="317" t="s">
        <v>4533</v>
      </c>
      <c r="C37" s="321" t="s">
        <v>4532</v>
      </c>
      <c r="D37" s="322">
        <v>21</v>
      </c>
      <c r="E37" s="323" t="s">
        <v>4534</v>
      </c>
      <c r="U37" s="20" t="s">
        <v>1907</v>
      </c>
      <c r="W37" s="294" t="s">
        <v>5099</v>
      </c>
      <c r="X37" s="9"/>
      <c r="Y37" s="9"/>
      <c r="Z37" s="9"/>
      <c r="AB37" s="9"/>
      <c r="AC37" s="54"/>
      <c r="AD37" s="9"/>
      <c r="AE37" s="9"/>
      <c r="AG37" s="295"/>
    </row>
    <row r="38" spans="2:33" ht="14.4">
      <c r="B38" s="317" t="s">
        <v>4533</v>
      </c>
      <c r="C38" s="321"/>
      <c r="D38" s="322"/>
      <c r="E38" s="323"/>
      <c r="U38" s="20" t="s">
        <v>4535</v>
      </c>
      <c r="W38" s="294" t="s">
        <v>1907</v>
      </c>
      <c r="X38" s="9"/>
      <c r="Y38" s="9"/>
      <c r="Z38" s="9"/>
      <c r="AB38" s="9"/>
      <c r="AC38" s="54"/>
      <c r="AD38" s="9"/>
      <c r="AE38" s="9"/>
      <c r="AG38" s="295"/>
    </row>
    <row r="39" spans="2:33" ht="14.4">
      <c r="B39" s="317" t="s">
        <v>4533</v>
      </c>
      <c r="C39" s="321"/>
      <c r="D39" s="322"/>
      <c r="E39" s="323"/>
      <c r="U39" s="20" t="s">
        <v>4536</v>
      </c>
      <c r="W39" s="294" t="s">
        <v>5100</v>
      </c>
      <c r="X39" s="9"/>
      <c r="Y39" s="9"/>
      <c r="Z39" s="9"/>
      <c r="AB39" s="9"/>
      <c r="AC39" s="54"/>
      <c r="AD39" s="9"/>
      <c r="AE39" s="9"/>
      <c r="AG39" s="295"/>
    </row>
    <row r="40" spans="2:33" ht="14.4">
      <c r="B40" s="317" t="s">
        <v>4533</v>
      </c>
      <c r="C40" s="321"/>
      <c r="D40" s="322"/>
      <c r="E40" s="323"/>
      <c r="U40" s="20" t="s">
        <v>4537</v>
      </c>
      <c r="W40" s="294" t="s">
        <v>1907</v>
      </c>
      <c r="X40" s="9"/>
      <c r="Y40" s="9"/>
      <c r="Z40" s="9"/>
      <c r="AB40" s="9"/>
      <c r="AC40" s="54"/>
      <c r="AD40" s="9"/>
      <c r="AE40" s="9"/>
      <c r="AG40" s="295"/>
    </row>
    <row r="41" spans="2:33" ht="14.4">
      <c r="B41" s="317" t="s">
        <v>4533</v>
      </c>
      <c r="C41" s="321"/>
      <c r="D41" s="322"/>
      <c r="E41" s="323"/>
      <c r="U41" s="20" t="s">
        <v>4538</v>
      </c>
      <c r="W41" s="303" t="s">
        <v>4523</v>
      </c>
      <c r="X41" s="9"/>
      <c r="Y41" s="9"/>
      <c r="Z41" s="9"/>
      <c r="AB41" s="9"/>
      <c r="AC41" s="54"/>
      <c r="AD41" s="9"/>
      <c r="AE41" s="9"/>
      <c r="AG41" s="295"/>
    </row>
    <row r="42" spans="2:33" ht="14.4">
      <c r="B42" s="317" t="s">
        <v>4533</v>
      </c>
      <c r="C42" s="321"/>
      <c r="D42" s="322"/>
      <c r="E42" s="323"/>
      <c r="U42" s="20" t="s">
        <v>4539</v>
      </c>
      <c r="W42" s="304" t="s">
        <v>4524</v>
      </c>
      <c r="X42" s="9"/>
      <c r="Y42" s="9"/>
      <c r="Z42" s="9"/>
      <c r="AB42" s="9"/>
      <c r="AC42" s="54"/>
      <c r="AD42" s="9"/>
      <c r="AE42" s="9"/>
      <c r="AG42" s="295"/>
    </row>
    <row r="43" spans="2:33" ht="14.4">
      <c r="B43" s="317" t="s">
        <v>4533</v>
      </c>
      <c r="C43" s="321" t="s">
        <v>4540</v>
      </c>
      <c r="D43" s="322">
        <v>22</v>
      </c>
      <c r="E43" s="324" t="s">
        <v>4541</v>
      </c>
      <c r="U43" s="20" t="s">
        <v>1907</v>
      </c>
      <c r="W43" s="304" t="s">
        <v>5101</v>
      </c>
      <c r="X43" s="9"/>
      <c r="Y43" s="9"/>
      <c r="Z43" s="9"/>
      <c r="AB43" s="9"/>
      <c r="AC43" s="54"/>
      <c r="AD43" s="9"/>
      <c r="AE43" s="9"/>
      <c r="AG43" s="295"/>
    </row>
    <row r="44" spans="2:33" ht="14.4">
      <c r="B44" s="317" t="s">
        <v>4533</v>
      </c>
      <c r="C44" s="321"/>
      <c r="D44" s="322"/>
      <c r="E44" s="324"/>
      <c r="U44" s="20" t="s">
        <v>4542</v>
      </c>
      <c r="W44" s="294" t="s">
        <v>1907</v>
      </c>
      <c r="X44" s="9"/>
      <c r="Y44" s="9"/>
      <c r="Z44" s="9"/>
      <c r="AB44" s="9"/>
      <c r="AC44" s="54"/>
      <c r="AD44" s="9"/>
      <c r="AE44" s="9"/>
      <c r="AG44" s="295"/>
    </row>
    <row r="45" spans="2:33" ht="14.4">
      <c r="B45" s="317" t="s">
        <v>4533</v>
      </c>
      <c r="C45" s="321" t="s">
        <v>4543</v>
      </c>
      <c r="D45" s="322">
        <v>23</v>
      </c>
      <c r="E45" s="324" t="s">
        <v>4544</v>
      </c>
      <c r="U45" s="20" t="s">
        <v>4545</v>
      </c>
      <c r="W45" s="304" t="s">
        <v>5102</v>
      </c>
      <c r="X45" s="9"/>
      <c r="Y45" s="9"/>
      <c r="Z45" s="9"/>
      <c r="AB45" s="9"/>
      <c r="AC45" s="54"/>
      <c r="AD45" s="9"/>
      <c r="AE45" s="9"/>
      <c r="AG45" s="295"/>
    </row>
    <row r="46" spans="2:33" ht="14.4">
      <c r="B46" s="317" t="s">
        <v>4533</v>
      </c>
      <c r="C46" s="321"/>
      <c r="D46" s="322"/>
      <c r="E46" s="324"/>
      <c r="U46" s="25" t="s">
        <v>4546</v>
      </c>
      <c r="W46" s="294" t="s">
        <v>1907</v>
      </c>
      <c r="X46" s="9"/>
      <c r="Y46" s="9"/>
      <c r="Z46" s="9"/>
      <c r="AB46" s="9"/>
      <c r="AC46" s="54"/>
      <c r="AD46" s="9"/>
      <c r="AE46" s="9"/>
      <c r="AG46" s="295"/>
    </row>
    <row r="47" spans="2:33" ht="14.4">
      <c r="B47" s="317" t="s">
        <v>4533</v>
      </c>
      <c r="C47" s="321"/>
      <c r="D47" s="322"/>
      <c r="E47" s="324"/>
      <c r="U47" s="25" t="s">
        <v>4547</v>
      </c>
      <c r="W47" s="304" t="s">
        <v>5103</v>
      </c>
      <c r="X47" s="9"/>
      <c r="Y47" s="9"/>
      <c r="Z47" s="9"/>
      <c r="AB47" s="9"/>
      <c r="AC47" s="54"/>
      <c r="AD47" s="9"/>
      <c r="AE47" s="9"/>
      <c r="AG47" s="295"/>
    </row>
    <row r="48" spans="2:33" ht="14.4">
      <c r="B48" s="317" t="s">
        <v>4533</v>
      </c>
      <c r="C48" s="321" t="s">
        <v>4548</v>
      </c>
      <c r="D48" s="322">
        <v>24</v>
      </c>
      <c r="E48" s="324" t="s">
        <v>4549</v>
      </c>
      <c r="U48" s="20" t="s">
        <v>1907</v>
      </c>
      <c r="W48" s="294" t="s">
        <v>1907</v>
      </c>
      <c r="X48" s="9"/>
      <c r="Y48" s="9"/>
      <c r="Z48" s="9"/>
      <c r="AB48" s="9"/>
      <c r="AC48" s="54"/>
      <c r="AD48" s="9"/>
      <c r="AE48" s="9"/>
      <c r="AG48" s="295"/>
    </row>
    <row r="49" spans="2:33" ht="14.4">
      <c r="B49" s="317" t="s">
        <v>4533</v>
      </c>
      <c r="C49" s="321"/>
      <c r="D49" s="322"/>
      <c r="E49" s="324"/>
      <c r="U49" s="25" t="s">
        <v>4550</v>
      </c>
      <c r="W49" s="294" t="s">
        <v>5104</v>
      </c>
      <c r="X49" s="9"/>
      <c r="Y49" s="9"/>
      <c r="Z49" s="9"/>
      <c r="AB49" s="9"/>
      <c r="AC49" s="54"/>
      <c r="AD49" s="9"/>
      <c r="AE49" s="9"/>
      <c r="AG49" s="295"/>
    </row>
    <row r="50" spans="2:33" ht="14.4">
      <c r="B50" s="317" t="s">
        <v>4533</v>
      </c>
      <c r="C50" s="321"/>
      <c r="D50" s="322"/>
      <c r="E50" s="324"/>
      <c r="U50" s="25" t="s">
        <v>4551</v>
      </c>
      <c r="W50" s="294" t="s">
        <v>5105</v>
      </c>
      <c r="X50" s="9"/>
      <c r="Y50" s="9"/>
      <c r="Z50" s="9"/>
      <c r="AB50" s="9"/>
      <c r="AC50" s="54"/>
      <c r="AD50" s="9"/>
      <c r="AE50" s="9"/>
      <c r="AG50" s="295"/>
    </row>
    <row r="51" spans="2:33" ht="14.4">
      <c r="B51" s="317" t="s">
        <v>4533</v>
      </c>
      <c r="C51" s="321" t="s">
        <v>4552</v>
      </c>
      <c r="D51" s="322">
        <v>25</v>
      </c>
      <c r="E51" s="324" t="s">
        <v>4553</v>
      </c>
      <c r="U51" s="20" t="s">
        <v>4545</v>
      </c>
      <c r="W51" s="294" t="s">
        <v>5106</v>
      </c>
      <c r="X51" s="9"/>
      <c r="Y51" s="9"/>
      <c r="Z51" s="9"/>
      <c r="AB51" s="9"/>
      <c r="AC51" s="54"/>
      <c r="AD51" s="9"/>
      <c r="AE51" s="9"/>
      <c r="AG51" s="295"/>
    </row>
    <row r="52" spans="2:33" ht="14.4">
      <c r="B52" s="317" t="s">
        <v>4533</v>
      </c>
      <c r="C52" s="321"/>
      <c r="D52" s="322"/>
      <c r="E52" s="324"/>
      <c r="U52" s="20" t="s">
        <v>4554</v>
      </c>
      <c r="W52" s="294" t="s">
        <v>5107</v>
      </c>
      <c r="X52" s="9"/>
      <c r="Y52" s="9"/>
      <c r="Z52" s="9"/>
      <c r="AB52" s="9"/>
      <c r="AC52" s="54"/>
      <c r="AD52" s="9"/>
      <c r="AE52" s="9"/>
      <c r="AG52" s="295"/>
    </row>
    <row r="53" spans="2:33" ht="14.4">
      <c r="B53" s="317" t="s">
        <v>4533</v>
      </c>
      <c r="C53" s="321" t="s">
        <v>4555</v>
      </c>
      <c r="D53" s="322">
        <v>26</v>
      </c>
      <c r="E53" s="324" t="s">
        <v>4556</v>
      </c>
      <c r="U53" s="20" t="s">
        <v>4545</v>
      </c>
      <c r="W53" s="294" t="s">
        <v>5108</v>
      </c>
      <c r="X53" s="9"/>
      <c r="Y53" s="9"/>
      <c r="Z53" s="9"/>
      <c r="AB53" s="9"/>
      <c r="AC53" s="54"/>
      <c r="AD53" s="9"/>
      <c r="AE53" s="9"/>
      <c r="AG53" s="295"/>
    </row>
    <row r="54" spans="2:33" ht="14.4">
      <c r="B54" s="317" t="s">
        <v>4533</v>
      </c>
      <c r="C54" s="321"/>
      <c r="D54" s="322"/>
      <c r="E54" s="324"/>
      <c r="U54" s="20" t="s">
        <v>4557</v>
      </c>
      <c r="W54" s="294" t="s">
        <v>1907</v>
      </c>
      <c r="X54" s="9"/>
      <c r="Y54" s="9"/>
      <c r="Z54" s="9"/>
      <c r="AB54" s="9"/>
      <c r="AC54" s="54"/>
      <c r="AD54" s="9"/>
      <c r="AE54" s="9"/>
      <c r="AG54" s="295"/>
    </row>
    <row r="55" spans="2:33" ht="14.4">
      <c r="B55" s="317" t="s">
        <v>4533</v>
      </c>
      <c r="C55" s="321" t="s">
        <v>4558</v>
      </c>
      <c r="D55" s="322">
        <v>27</v>
      </c>
      <c r="E55" s="324" t="s">
        <v>4559</v>
      </c>
      <c r="U55" s="20" t="s">
        <v>1907</v>
      </c>
      <c r="W55" s="294" t="s">
        <v>5109</v>
      </c>
      <c r="X55" s="9"/>
      <c r="Y55" s="9"/>
      <c r="Z55" s="9"/>
      <c r="AB55" s="9"/>
      <c r="AC55" s="54"/>
      <c r="AD55" s="9"/>
      <c r="AE55" s="9"/>
      <c r="AG55" s="295"/>
    </row>
    <row r="56" spans="2:33" ht="14.4">
      <c r="B56" s="317" t="s">
        <v>4533</v>
      </c>
      <c r="C56" s="321"/>
      <c r="D56" s="322"/>
      <c r="E56" s="324"/>
      <c r="U56" s="20" t="s">
        <v>4560</v>
      </c>
      <c r="W56" s="294" t="s">
        <v>5110</v>
      </c>
      <c r="X56" s="9"/>
      <c r="Y56" s="9"/>
      <c r="Z56" s="9"/>
      <c r="AB56" s="9"/>
      <c r="AC56" s="54"/>
      <c r="AD56" s="9"/>
      <c r="AE56" s="9"/>
      <c r="AG56" s="295"/>
    </row>
    <row r="57" spans="2:33" ht="14.4">
      <c r="B57" s="317" t="s">
        <v>4533</v>
      </c>
      <c r="C57" s="321" t="s">
        <v>4561</v>
      </c>
      <c r="D57" s="322">
        <v>28</v>
      </c>
      <c r="E57" s="324" t="s">
        <v>4562</v>
      </c>
      <c r="U57" s="20" t="s">
        <v>1907</v>
      </c>
      <c r="W57" s="304" t="s">
        <v>5111</v>
      </c>
      <c r="X57" s="9"/>
      <c r="Y57" s="9"/>
      <c r="Z57" s="9"/>
      <c r="AB57" s="9"/>
      <c r="AC57" s="54"/>
      <c r="AD57" s="9"/>
      <c r="AE57" s="9"/>
      <c r="AG57" s="295"/>
    </row>
    <row r="58" spans="2:33" ht="14.4">
      <c r="B58" s="317" t="s">
        <v>4533</v>
      </c>
      <c r="C58" s="321"/>
      <c r="D58" s="322"/>
      <c r="E58" s="324"/>
      <c r="U58" s="20" t="s">
        <v>4560</v>
      </c>
      <c r="W58" s="304" t="s">
        <v>5112</v>
      </c>
      <c r="X58" s="9"/>
      <c r="Y58" s="9"/>
      <c r="Z58" s="9"/>
      <c r="AB58" s="9"/>
      <c r="AC58" s="54"/>
      <c r="AD58" s="9"/>
      <c r="AE58" s="9"/>
      <c r="AG58" s="295"/>
    </row>
    <row r="59" spans="2:33" ht="14.4">
      <c r="B59" s="317" t="s">
        <v>4533</v>
      </c>
      <c r="C59" s="321"/>
      <c r="D59" s="322"/>
      <c r="E59" s="324"/>
      <c r="U59" s="20" t="s">
        <v>4564</v>
      </c>
      <c r="W59" s="294" t="s">
        <v>1907</v>
      </c>
      <c r="X59" s="9"/>
      <c r="Y59" s="9"/>
      <c r="Z59" s="9"/>
      <c r="AB59" s="9"/>
      <c r="AC59" s="54"/>
      <c r="AD59" s="9"/>
      <c r="AE59" s="9"/>
      <c r="AG59" s="295"/>
    </row>
    <row r="60" spans="2:33" ht="14.4">
      <c r="B60" s="317" t="s">
        <v>4533</v>
      </c>
      <c r="C60" s="325" t="s">
        <v>4565</v>
      </c>
      <c r="D60" s="326">
        <v>29</v>
      </c>
      <c r="E60" s="327" t="s">
        <v>4566</v>
      </c>
      <c r="U60" s="26" t="s">
        <v>1907</v>
      </c>
      <c r="W60" s="304" t="s">
        <v>4550</v>
      </c>
      <c r="X60" s="9"/>
      <c r="Y60" s="9"/>
      <c r="Z60" s="9"/>
      <c r="AB60" s="9"/>
      <c r="AC60" s="54"/>
      <c r="AD60" s="9"/>
      <c r="AE60" s="9"/>
      <c r="AG60" s="295"/>
    </row>
    <row r="61" spans="2:33" ht="14.4">
      <c r="B61" s="317" t="s">
        <v>4533</v>
      </c>
      <c r="C61" s="325"/>
      <c r="D61" s="326"/>
      <c r="E61" s="327"/>
      <c r="U61" s="26" t="s">
        <v>4567</v>
      </c>
      <c r="W61" s="304" t="s">
        <v>5113</v>
      </c>
      <c r="X61" s="9"/>
      <c r="Y61" s="9"/>
      <c r="Z61" s="9"/>
      <c r="AB61" s="9"/>
      <c r="AC61" s="54"/>
      <c r="AD61" s="9"/>
      <c r="AE61" s="9"/>
      <c r="AG61" s="295"/>
    </row>
    <row r="62" spans="2:33" ht="14.4">
      <c r="B62" s="317" t="s">
        <v>4533</v>
      </c>
      <c r="C62" s="321" t="s">
        <v>4569</v>
      </c>
      <c r="D62" s="322">
        <v>30</v>
      </c>
      <c r="E62" s="324" t="s">
        <v>4570</v>
      </c>
      <c r="U62" s="20" t="s">
        <v>1907</v>
      </c>
      <c r="W62" s="294" t="s">
        <v>5110</v>
      </c>
      <c r="X62" s="9"/>
      <c r="Y62" s="9"/>
      <c r="Z62" s="9"/>
      <c r="AB62" s="9"/>
      <c r="AC62" s="54"/>
      <c r="AD62" s="9"/>
      <c r="AE62" s="9"/>
      <c r="AG62" s="295"/>
    </row>
    <row r="63" spans="2:33" ht="14.4">
      <c r="B63" s="317" t="s">
        <v>4533</v>
      </c>
      <c r="C63" s="321"/>
      <c r="D63" s="322"/>
      <c r="E63" s="324"/>
      <c r="U63" s="20" t="s">
        <v>4571</v>
      </c>
      <c r="W63" s="294" t="s">
        <v>5114</v>
      </c>
      <c r="X63" s="9"/>
      <c r="Y63" s="9"/>
      <c r="Z63" s="9"/>
      <c r="AB63" s="9"/>
      <c r="AC63" s="54"/>
      <c r="AD63" s="9"/>
      <c r="AE63" s="9"/>
      <c r="AG63" s="295"/>
    </row>
    <row r="64" spans="2:33" ht="14.4">
      <c r="B64" s="317" t="s">
        <v>4533</v>
      </c>
      <c r="C64" s="321"/>
      <c r="D64" s="322"/>
      <c r="E64" s="324"/>
      <c r="U64" s="20" t="s">
        <v>4573</v>
      </c>
      <c r="W64" s="294" t="s">
        <v>5110</v>
      </c>
      <c r="X64" s="9"/>
      <c r="Y64" s="9"/>
      <c r="Z64" s="9"/>
      <c r="AB64" s="9"/>
      <c r="AC64" s="54"/>
      <c r="AD64" s="9"/>
      <c r="AE64" s="9"/>
      <c r="AG64" s="295"/>
    </row>
    <row r="65" spans="2:33" ht="14.4">
      <c r="B65" s="317" t="s">
        <v>4533</v>
      </c>
      <c r="C65" s="321" t="s">
        <v>4574</v>
      </c>
      <c r="D65" s="322">
        <v>31</v>
      </c>
      <c r="E65" s="324" t="s">
        <v>4575</v>
      </c>
      <c r="U65" s="20" t="s">
        <v>4480</v>
      </c>
      <c r="W65" s="294" t="s">
        <v>5115</v>
      </c>
      <c r="X65" s="9"/>
      <c r="Y65" s="9"/>
      <c r="Z65" s="9"/>
      <c r="AB65" s="9"/>
      <c r="AC65" s="54"/>
      <c r="AD65" s="9"/>
      <c r="AE65" s="9"/>
      <c r="AG65" s="295"/>
    </row>
    <row r="66" spans="2:33" ht="14.4">
      <c r="B66" s="317" t="s">
        <v>4533</v>
      </c>
      <c r="C66" s="321"/>
      <c r="D66" s="322"/>
      <c r="E66" s="324"/>
      <c r="U66" s="20" t="s">
        <v>4576</v>
      </c>
      <c r="W66" s="294" t="s">
        <v>1907</v>
      </c>
      <c r="X66" s="9"/>
      <c r="Y66" s="9"/>
      <c r="Z66" s="9"/>
      <c r="AB66" s="9"/>
      <c r="AC66" s="54"/>
      <c r="AD66" s="9"/>
      <c r="AE66" s="9"/>
      <c r="AG66" s="295"/>
    </row>
    <row r="67" spans="2:33" ht="14.4">
      <c r="B67" s="317" t="s">
        <v>4533</v>
      </c>
      <c r="C67" s="321" t="s">
        <v>4577</v>
      </c>
      <c r="D67" s="322">
        <v>32</v>
      </c>
      <c r="E67" s="324" t="s">
        <v>4578</v>
      </c>
      <c r="U67" s="20" t="s">
        <v>1907</v>
      </c>
      <c r="W67" s="294" t="s">
        <v>5116</v>
      </c>
      <c r="X67" s="9"/>
      <c r="Y67" s="9"/>
      <c r="Z67" s="9"/>
      <c r="AB67" s="9"/>
      <c r="AC67" s="54"/>
      <c r="AD67" s="9"/>
      <c r="AE67" s="9"/>
      <c r="AG67" s="295"/>
    </row>
    <row r="68" spans="2:33" ht="14.4">
      <c r="B68" s="317" t="s">
        <v>4533</v>
      </c>
      <c r="C68" s="321"/>
      <c r="D68" s="322"/>
      <c r="E68" s="324"/>
      <c r="U68" s="20" t="s">
        <v>4579</v>
      </c>
      <c r="W68" s="294" t="s">
        <v>1907</v>
      </c>
      <c r="X68" s="9"/>
      <c r="Y68" s="9"/>
      <c r="Z68" s="9"/>
      <c r="AB68" s="9"/>
      <c r="AC68" s="54"/>
      <c r="AD68" s="9"/>
      <c r="AE68" s="9"/>
      <c r="AG68" s="295"/>
    </row>
    <row r="69" spans="2:33" ht="14.4">
      <c r="B69" s="317" t="s">
        <v>4533</v>
      </c>
      <c r="C69" s="321" t="s">
        <v>4580</v>
      </c>
      <c r="D69" s="322">
        <v>33</v>
      </c>
      <c r="E69" s="324" t="s">
        <v>4581</v>
      </c>
      <c r="U69" s="20" t="s">
        <v>1907</v>
      </c>
      <c r="W69" s="294" t="s">
        <v>5116</v>
      </c>
      <c r="X69" s="9"/>
      <c r="Y69" s="9"/>
      <c r="Z69" s="9"/>
      <c r="AB69" s="9"/>
      <c r="AC69" s="54"/>
      <c r="AD69" s="9"/>
      <c r="AE69" s="9"/>
      <c r="AG69" s="295" t="s">
        <v>5117</v>
      </c>
    </row>
    <row r="70" spans="2:33" ht="14.4">
      <c r="B70" s="317" t="s">
        <v>4533</v>
      </c>
      <c r="C70" s="321"/>
      <c r="D70" s="322"/>
      <c r="E70" s="324"/>
      <c r="U70" s="20" t="s">
        <v>4582</v>
      </c>
      <c r="W70" s="294" t="s">
        <v>5118</v>
      </c>
      <c r="X70" s="9"/>
      <c r="Y70" s="9"/>
      <c r="Z70" s="9"/>
      <c r="AB70" s="9"/>
      <c r="AC70" s="54"/>
      <c r="AD70" s="9"/>
      <c r="AE70" s="9"/>
      <c r="AG70" s="295"/>
    </row>
    <row r="71" spans="2:33" ht="14.4">
      <c r="B71" s="317" t="s">
        <v>4533</v>
      </c>
      <c r="C71" s="321" t="s">
        <v>4583</v>
      </c>
      <c r="D71" s="322">
        <v>34</v>
      </c>
      <c r="E71" s="324" t="s">
        <v>4584</v>
      </c>
      <c r="U71" s="20" t="s">
        <v>1907</v>
      </c>
      <c r="W71" s="306" t="s">
        <v>1907</v>
      </c>
      <c r="X71" s="9"/>
      <c r="Y71" s="9"/>
      <c r="Z71" s="9"/>
      <c r="AB71" s="9"/>
      <c r="AC71" s="54"/>
      <c r="AD71" s="9"/>
      <c r="AE71" s="9"/>
      <c r="AG71" s="305"/>
    </row>
    <row r="72" spans="2:33" ht="14.4">
      <c r="B72" s="317" t="s">
        <v>4533</v>
      </c>
      <c r="C72" s="321"/>
      <c r="D72" s="322"/>
      <c r="E72" s="324"/>
      <c r="U72" s="20" t="s">
        <v>4585</v>
      </c>
      <c r="W72" s="306" t="s">
        <v>5119</v>
      </c>
      <c r="X72" s="9"/>
      <c r="Y72" s="9"/>
      <c r="Z72" s="9"/>
      <c r="AB72" s="9"/>
      <c r="AC72" s="54"/>
      <c r="AD72" s="9"/>
      <c r="AE72" s="9"/>
      <c r="AG72" s="306" t="s">
        <v>5120</v>
      </c>
    </row>
    <row r="73" spans="2:33" ht="14.4">
      <c r="B73" s="317" t="s">
        <v>4533</v>
      </c>
      <c r="C73" s="321"/>
      <c r="D73" s="322"/>
      <c r="E73" s="324"/>
      <c r="U73" s="20" t="s">
        <v>4586</v>
      </c>
      <c r="W73" s="294" t="s">
        <v>1907</v>
      </c>
      <c r="X73" s="9"/>
      <c r="Y73" s="9"/>
      <c r="Z73" s="9"/>
      <c r="AB73" s="9"/>
      <c r="AC73" s="54"/>
      <c r="AD73" s="9"/>
      <c r="AE73" s="9"/>
      <c r="AG73" s="295"/>
    </row>
    <row r="74" spans="2:33" ht="14.4">
      <c r="B74" s="317" t="s">
        <v>4533</v>
      </c>
      <c r="C74" s="321"/>
      <c r="D74" s="322"/>
      <c r="E74" s="324"/>
      <c r="U74" s="20" t="s">
        <v>4587</v>
      </c>
      <c r="W74" s="294" t="s">
        <v>5121</v>
      </c>
      <c r="X74" s="9"/>
      <c r="Y74" s="9"/>
      <c r="Z74" s="9"/>
      <c r="AB74" s="9"/>
      <c r="AC74" s="54"/>
      <c r="AD74" s="9"/>
      <c r="AE74" s="9"/>
      <c r="AG74" s="295" t="s">
        <v>5122</v>
      </c>
    </row>
    <row r="75" spans="2:33" ht="14.4">
      <c r="B75" s="317" t="s">
        <v>4533</v>
      </c>
      <c r="C75" s="321"/>
      <c r="D75" s="322"/>
      <c r="E75" s="324"/>
      <c r="U75" s="20" t="s">
        <v>4588</v>
      </c>
      <c r="W75" s="294" t="s">
        <v>5123</v>
      </c>
      <c r="X75" s="9"/>
      <c r="Y75" s="9"/>
      <c r="Z75" s="9"/>
      <c r="AB75" s="9"/>
      <c r="AC75" s="54"/>
      <c r="AD75" s="9"/>
      <c r="AE75" s="9"/>
      <c r="AG75" s="295"/>
    </row>
    <row r="76" spans="2:33" ht="14.4">
      <c r="B76" s="317" t="s">
        <v>4533</v>
      </c>
      <c r="C76" s="321" t="s">
        <v>4589</v>
      </c>
      <c r="D76" s="322">
        <v>35</v>
      </c>
      <c r="E76" s="324" t="s">
        <v>4590</v>
      </c>
      <c r="U76" s="20" t="s">
        <v>1907</v>
      </c>
      <c r="W76" s="294" t="s">
        <v>1907</v>
      </c>
      <c r="X76" s="9"/>
      <c r="Y76" s="9"/>
      <c r="Z76" s="9"/>
      <c r="AB76" s="9"/>
      <c r="AC76" s="54"/>
      <c r="AD76" s="9"/>
      <c r="AE76" s="9"/>
      <c r="AG76" s="295"/>
    </row>
    <row r="77" spans="2:33" ht="14.4">
      <c r="B77" s="317" t="s">
        <v>4533</v>
      </c>
      <c r="C77" s="321"/>
      <c r="D77" s="322"/>
      <c r="E77" s="324"/>
      <c r="U77" s="20" t="s">
        <v>4591</v>
      </c>
      <c r="W77" s="294" t="s">
        <v>5124</v>
      </c>
      <c r="X77" s="9"/>
      <c r="Y77" s="9"/>
      <c r="Z77" s="9"/>
      <c r="AB77" s="9"/>
      <c r="AC77" s="54"/>
      <c r="AD77" s="9"/>
      <c r="AE77" s="9"/>
      <c r="AG77" s="295"/>
    </row>
    <row r="78" spans="2:33" ht="14.4">
      <c r="B78" s="317" t="s">
        <v>4533</v>
      </c>
      <c r="C78" s="321"/>
      <c r="D78" s="322"/>
      <c r="E78" s="324"/>
      <c r="U78" s="20" t="s">
        <v>4592</v>
      </c>
      <c r="W78" s="294" t="s">
        <v>1907</v>
      </c>
      <c r="X78" s="9"/>
      <c r="Y78" s="9"/>
      <c r="Z78" s="9"/>
      <c r="AB78" s="9"/>
      <c r="AC78" s="54"/>
      <c r="AD78" s="9"/>
      <c r="AE78" s="9"/>
      <c r="AG78" s="295"/>
    </row>
    <row r="79" spans="2:33" ht="14.4">
      <c r="B79" s="317" t="s">
        <v>4533</v>
      </c>
      <c r="C79" s="321"/>
      <c r="D79" s="322"/>
      <c r="E79" s="324"/>
      <c r="U79" s="20" t="s">
        <v>4593</v>
      </c>
      <c r="W79" s="294" t="s">
        <v>5125</v>
      </c>
      <c r="X79" s="9"/>
      <c r="Y79" s="9"/>
      <c r="Z79" s="9"/>
      <c r="AB79" s="9"/>
      <c r="AC79" s="54"/>
      <c r="AD79" s="9"/>
      <c r="AE79" s="9"/>
      <c r="AG79" s="295"/>
    </row>
    <row r="80" spans="2:33" ht="14.4">
      <c r="B80" s="317" t="s">
        <v>4595</v>
      </c>
      <c r="C80" s="321" t="s">
        <v>4594</v>
      </c>
      <c r="D80" s="322">
        <v>36</v>
      </c>
      <c r="E80" s="324" t="s">
        <v>4596</v>
      </c>
      <c r="U80" s="20" t="s">
        <v>1907</v>
      </c>
      <c r="W80" s="294" t="s">
        <v>1907</v>
      </c>
      <c r="X80" s="9"/>
      <c r="Y80" s="9"/>
      <c r="Z80" s="9"/>
      <c r="AB80" s="9"/>
      <c r="AC80" s="54"/>
      <c r="AD80" s="9"/>
      <c r="AE80" s="9"/>
      <c r="AG80" s="295"/>
    </row>
    <row r="81" spans="2:33" ht="14.4">
      <c r="B81" s="317" t="s">
        <v>4595</v>
      </c>
      <c r="C81" s="321"/>
      <c r="D81" s="322"/>
      <c r="E81" s="324"/>
      <c r="U81" s="20" t="s">
        <v>4536</v>
      </c>
      <c r="W81" s="294" t="s">
        <v>5126</v>
      </c>
      <c r="X81" s="9"/>
      <c r="Y81" s="9"/>
      <c r="Z81" s="9"/>
      <c r="AB81" s="9"/>
      <c r="AC81" s="54"/>
      <c r="AD81" s="9"/>
      <c r="AE81" s="9"/>
      <c r="AG81" s="295"/>
    </row>
    <row r="82" spans="2:33" ht="14.4">
      <c r="B82" s="317" t="s">
        <v>4595</v>
      </c>
      <c r="C82" s="321"/>
      <c r="D82" s="322"/>
      <c r="E82" s="324"/>
      <c r="U82" s="20" t="s">
        <v>4597</v>
      </c>
      <c r="W82" s="294" t="s">
        <v>1907</v>
      </c>
      <c r="X82" s="9"/>
      <c r="Y82" s="9"/>
      <c r="Z82" s="9"/>
      <c r="AB82" s="9"/>
      <c r="AC82" s="54"/>
      <c r="AD82" s="9"/>
      <c r="AE82" s="9"/>
      <c r="AG82" s="295"/>
    </row>
    <row r="83" spans="2:33" ht="14.4">
      <c r="B83" s="317" t="s">
        <v>4595</v>
      </c>
      <c r="C83" s="321"/>
      <c r="D83" s="322"/>
      <c r="E83" s="324"/>
      <c r="U83" s="20" t="s">
        <v>4598</v>
      </c>
      <c r="W83" s="294" t="s">
        <v>5127</v>
      </c>
      <c r="X83" s="9"/>
      <c r="Y83" s="9"/>
      <c r="Z83" s="9"/>
      <c r="AB83" s="9"/>
      <c r="AC83" s="54"/>
      <c r="AD83" s="9"/>
      <c r="AE83" s="9"/>
      <c r="AG83" s="295"/>
    </row>
    <row r="84" spans="2:33" ht="14.4">
      <c r="B84" s="317" t="s">
        <v>4595</v>
      </c>
      <c r="C84" s="321"/>
      <c r="D84" s="322"/>
      <c r="E84" s="324"/>
      <c r="U84" s="20" t="s">
        <v>4599</v>
      </c>
      <c r="W84" s="294" t="s">
        <v>5128</v>
      </c>
      <c r="X84" s="9"/>
      <c r="Y84" s="9"/>
      <c r="Z84" s="9"/>
      <c r="AB84" s="9"/>
      <c r="AC84" s="54"/>
      <c r="AD84" s="9"/>
      <c r="AE84" s="9"/>
      <c r="AG84" s="295"/>
    </row>
    <row r="85" spans="2:33" ht="14.4">
      <c r="B85" s="317" t="s">
        <v>4595</v>
      </c>
      <c r="C85" s="321"/>
      <c r="D85" s="322"/>
      <c r="E85" s="324"/>
      <c r="U85" s="20" t="s">
        <v>4600</v>
      </c>
      <c r="W85" s="294" t="s">
        <v>5129</v>
      </c>
      <c r="X85" s="9"/>
      <c r="Y85" s="9"/>
      <c r="Z85" s="9"/>
      <c r="AB85" s="9"/>
      <c r="AC85" s="54"/>
      <c r="AD85" s="9"/>
      <c r="AE85" s="9"/>
      <c r="AG85" s="295"/>
    </row>
    <row r="86" spans="2:33" ht="14.4">
      <c r="B86" s="317" t="s">
        <v>4595</v>
      </c>
      <c r="C86" s="321" t="s">
        <v>4601</v>
      </c>
      <c r="D86" s="322">
        <v>37</v>
      </c>
      <c r="E86" s="324" t="s">
        <v>4602</v>
      </c>
      <c r="U86" s="20" t="s">
        <v>4545</v>
      </c>
      <c r="W86" s="294" t="s">
        <v>5130</v>
      </c>
      <c r="X86" s="9"/>
      <c r="Y86" s="9"/>
      <c r="Z86" s="9"/>
      <c r="AB86" s="9"/>
      <c r="AC86" s="54"/>
      <c r="AD86" s="9"/>
      <c r="AE86" s="9"/>
      <c r="AG86" s="295"/>
    </row>
    <row r="87" spans="2:33" ht="14.4">
      <c r="B87" s="317" t="s">
        <v>4595</v>
      </c>
      <c r="C87" s="321"/>
      <c r="D87" s="322"/>
      <c r="E87" s="324"/>
      <c r="U87" s="20" t="s">
        <v>4603</v>
      </c>
      <c r="W87" s="294" t="s">
        <v>1907</v>
      </c>
      <c r="X87" s="9"/>
      <c r="Y87" s="9"/>
      <c r="Z87" s="9"/>
      <c r="AB87" s="9"/>
      <c r="AC87" s="54"/>
      <c r="AD87" s="9"/>
      <c r="AE87" s="9"/>
      <c r="AG87" s="295"/>
    </row>
    <row r="88" spans="2:33" ht="14.4">
      <c r="B88" s="317" t="s">
        <v>4595</v>
      </c>
      <c r="C88" s="321" t="s">
        <v>4604</v>
      </c>
      <c r="D88" s="322">
        <v>38</v>
      </c>
      <c r="E88" s="324" t="s">
        <v>4605</v>
      </c>
      <c r="U88" s="20" t="s">
        <v>1907</v>
      </c>
      <c r="W88" s="294" t="s">
        <v>5131</v>
      </c>
      <c r="X88" s="9"/>
      <c r="Y88" s="9"/>
      <c r="Z88" s="9"/>
      <c r="AB88" s="9"/>
      <c r="AC88" s="54"/>
      <c r="AD88" s="9"/>
      <c r="AE88" s="9"/>
      <c r="AG88" s="295"/>
    </row>
    <row r="89" spans="2:33" ht="14.4">
      <c r="B89" s="317" t="s">
        <v>4595</v>
      </c>
      <c r="C89" s="321"/>
      <c r="D89" s="322"/>
      <c r="E89" s="324"/>
      <c r="U89" s="25" t="s">
        <v>4606</v>
      </c>
      <c r="W89" s="294" t="s">
        <v>5132</v>
      </c>
      <c r="X89" s="9"/>
      <c r="Y89" s="9"/>
      <c r="Z89" s="9"/>
      <c r="AB89" s="9"/>
      <c r="AC89" s="54"/>
      <c r="AD89" s="9"/>
      <c r="AE89" s="9"/>
      <c r="AG89" s="295"/>
    </row>
    <row r="90" spans="2:33" ht="14.4">
      <c r="B90" s="317" t="s">
        <v>4595</v>
      </c>
      <c r="C90" s="321"/>
      <c r="D90" s="322"/>
      <c r="E90" s="324"/>
      <c r="U90" s="25" t="s">
        <v>4607</v>
      </c>
      <c r="W90" s="294" t="s">
        <v>5133</v>
      </c>
      <c r="X90" s="9"/>
      <c r="Y90" s="9"/>
      <c r="Z90" s="9"/>
      <c r="AB90" s="9"/>
      <c r="AC90" s="54"/>
      <c r="AD90" s="9"/>
      <c r="AE90" s="9"/>
      <c r="AG90" s="295"/>
    </row>
    <row r="91" spans="2:33" ht="14.4">
      <c r="B91" s="317" t="s">
        <v>4595</v>
      </c>
      <c r="C91" s="321" t="s">
        <v>4608</v>
      </c>
      <c r="D91" s="322">
        <v>39</v>
      </c>
      <c r="E91" s="324" t="s">
        <v>4609</v>
      </c>
      <c r="U91" s="20" t="s">
        <v>1907</v>
      </c>
      <c r="W91" s="294" t="s">
        <v>1907</v>
      </c>
      <c r="X91" s="9"/>
      <c r="Y91" s="9"/>
      <c r="Z91" s="9"/>
      <c r="AB91" s="9"/>
      <c r="AC91" s="54"/>
      <c r="AD91" s="9"/>
      <c r="AE91" s="9"/>
      <c r="AG91" s="295"/>
    </row>
    <row r="92" spans="2:33" ht="14.4">
      <c r="B92" s="317" t="s">
        <v>4595</v>
      </c>
      <c r="C92" s="321"/>
      <c r="D92" s="322"/>
      <c r="E92" s="324"/>
      <c r="U92" s="25" t="s">
        <v>4610</v>
      </c>
      <c r="W92" s="294" t="s">
        <v>5105</v>
      </c>
      <c r="X92" s="9"/>
      <c r="Y92" s="9"/>
      <c r="Z92" s="9"/>
      <c r="AB92" s="9"/>
      <c r="AC92" s="54"/>
      <c r="AD92" s="9"/>
      <c r="AE92" s="9"/>
      <c r="AG92" s="295"/>
    </row>
    <row r="93" spans="2:33" ht="14.4">
      <c r="B93" s="317" t="s">
        <v>4595</v>
      </c>
      <c r="C93" s="321" t="s">
        <v>4611</v>
      </c>
      <c r="D93" s="322">
        <v>40</v>
      </c>
      <c r="E93" s="324" t="s">
        <v>4612</v>
      </c>
      <c r="U93" s="20" t="s">
        <v>1907</v>
      </c>
      <c r="W93" s="294" t="s">
        <v>5134</v>
      </c>
      <c r="X93" s="9"/>
      <c r="Y93" s="9"/>
      <c r="Z93" s="9"/>
      <c r="AB93" s="9"/>
      <c r="AC93" s="54"/>
      <c r="AD93" s="9"/>
      <c r="AE93" s="9"/>
      <c r="AG93" s="295"/>
    </row>
    <row r="94" spans="2:33" ht="14.4">
      <c r="B94" s="317" t="s">
        <v>4595</v>
      </c>
      <c r="C94" s="321"/>
      <c r="D94" s="322"/>
      <c r="E94" s="324"/>
      <c r="U94" s="20" t="s">
        <v>4613</v>
      </c>
      <c r="W94" s="294" t="s">
        <v>5135</v>
      </c>
      <c r="X94" s="9"/>
      <c r="Y94" s="9"/>
      <c r="Z94" s="9"/>
      <c r="AB94" s="9"/>
      <c r="AC94" s="54"/>
      <c r="AD94" s="9"/>
      <c r="AE94" s="9"/>
      <c r="AG94" s="295"/>
    </row>
    <row r="95" spans="2:33" ht="14.4">
      <c r="B95" s="317" t="s">
        <v>4595</v>
      </c>
      <c r="C95" s="321"/>
      <c r="D95" s="322"/>
      <c r="E95" s="324"/>
      <c r="U95" s="20" t="s">
        <v>4614</v>
      </c>
      <c r="W95" s="294" t="s">
        <v>5136</v>
      </c>
      <c r="X95" s="9"/>
      <c r="Y95" s="9"/>
      <c r="Z95" s="9"/>
      <c r="AB95" s="9"/>
      <c r="AC95" s="54"/>
      <c r="AD95" s="9"/>
      <c r="AE95" s="9"/>
      <c r="AG95" s="295"/>
    </row>
    <row r="96" spans="2:33" ht="14.4">
      <c r="B96" s="317" t="s">
        <v>4595</v>
      </c>
      <c r="C96" s="321" t="s">
        <v>4615</v>
      </c>
      <c r="D96" s="322">
        <v>41</v>
      </c>
      <c r="E96" s="324" t="s">
        <v>4616</v>
      </c>
      <c r="U96" s="20" t="s">
        <v>1907</v>
      </c>
      <c r="W96" s="294" t="s">
        <v>5137</v>
      </c>
      <c r="X96" s="9"/>
      <c r="Y96" s="9"/>
      <c r="Z96" s="9"/>
      <c r="AB96" s="9"/>
      <c r="AC96" s="54"/>
      <c r="AD96" s="9"/>
      <c r="AE96" s="9"/>
      <c r="AG96" s="295"/>
    </row>
    <row r="97" spans="2:33" ht="14.4">
      <c r="B97" s="317" t="s">
        <v>4595</v>
      </c>
      <c r="C97" s="321"/>
      <c r="D97" s="322"/>
      <c r="E97" s="324"/>
      <c r="U97" s="20" t="s">
        <v>4617</v>
      </c>
      <c r="W97" s="294" t="s">
        <v>5110</v>
      </c>
      <c r="X97" s="9"/>
      <c r="Y97" s="9"/>
      <c r="Z97" s="9"/>
      <c r="AB97" s="9"/>
      <c r="AC97" s="54"/>
      <c r="AD97" s="9"/>
      <c r="AE97" s="9"/>
      <c r="AG97" s="295"/>
    </row>
    <row r="98" spans="2:33" ht="14.4">
      <c r="B98" s="317" t="s">
        <v>4595</v>
      </c>
      <c r="C98" s="321" t="s">
        <v>4618</v>
      </c>
      <c r="D98" s="322">
        <v>42</v>
      </c>
      <c r="E98" s="324" t="s">
        <v>4619</v>
      </c>
      <c r="U98" s="20" t="s">
        <v>1907</v>
      </c>
      <c r="W98" s="294" t="s">
        <v>5138</v>
      </c>
      <c r="X98" s="9"/>
      <c r="Y98" s="9"/>
      <c r="Z98" s="9"/>
      <c r="AB98" s="9"/>
      <c r="AC98" s="54"/>
      <c r="AD98" s="9"/>
      <c r="AE98" s="9"/>
      <c r="AG98" s="295"/>
    </row>
    <row r="99" spans="2:33" ht="14.4">
      <c r="B99" s="317" t="s">
        <v>4595</v>
      </c>
      <c r="C99" s="321"/>
      <c r="D99" s="322"/>
      <c r="E99" s="324"/>
      <c r="U99" s="20" t="s">
        <v>4620</v>
      </c>
      <c r="W99" s="294" t="s">
        <v>1907</v>
      </c>
      <c r="X99" s="9"/>
      <c r="Y99" s="9"/>
      <c r="Z99" s="9"/>
      <c r="AB99" s="9"/>
      <c r="AC99" s="54"/>
      <c r="AD99" s="9"/>
      <c r="AE99" s="9"/>
      <c r="AG99" s="295"/>
    </row>
    <row r="100" spans="2:33" ht="14.4">
      <c r="B100" s="317" t="s">
        <v>4595</v>
      </c>
      <c r="C100" s="321"/>
      <c r="D100" s="322"/>
      <c r="E100" s="324"/>
      <c r="U100" s="20" t="s">
        <v>4621</v>
      </c>
      <c r="W100" s="304" t="s">
        <v>5139</v>
      </c>
      <c r="X100" s="9"/>
      <c r="Y100" s="9"/>
      <c r="Z100" s="9"/>
      <c r="AB100" s="9"/>
      <c r="AC100" s="54"/>
      <c r="AD100" s="9"/>
      <c r="AE100" s="9"/>
      <c r="AG100" s="295"/>
    </row>
    <row r="101" spans="2:33" ht="14.4">
      <c r="B101" s="317" t="s">
        <v>4595</v>
      </c>
      <c r="C101" s="321" t="s">
        <v>4622</v>
      </c>
      <c r="D101" s="322">
        <v>43</v>
      </c>
      <c r="E101" s="324" t="s">
        <v>4623</v>
      </c>
      <c r="U101" s="20" t="s">
        <v>1907</v>
      </c>
      <c r="W101" s="304" t="s">
        <v>5140</v>
      </c>
      <c r="X101" s="9"/>
      <c r="Y101" s="9"/>
      <c r="Z101" s="9"/>
      <c r="AB101" s="9"/>
      <c r="AC101" s="54"/>
      <c r="AD101" s="9"/>
      <c r="AE101" s="9"/>
      <c r="AG101" s="295"/>
    </row>
    <row r="102" spans="2:33" ht="14.4">
      <c r="B102" s="317" t="s">
        <v>4595</v>
      </c>
      <c r="C102" s="321"/>
      <c r="D102" s="322"/>
      <c r="E102" s="324"/>
      <c r="U102" s="20" t="s">
        <v>4624</v>
      </c>
      <c r="W102" s="294" t="s">
        <v>1907</v>
      </c>
      <c r="X102" s="9"/>
      <c r="Y102" s="9"/>
      <c r="Z102" s="9"/>
      <c r="AB102" s="9"/>
      <c r="AC102" s="54"/>
      <c r="AD102" s="9"/>
      <c r="AE102" s="9"/>
      <c r="AG102" s="295"/>
    </row>
    <row r="103" spans="2:33" ht="14.4">
      <c r="B103" s="317" t="s">
        <v>4595</v>
      </c>
      <c r="C103" s="321" t="s">
        <v>4625</v>
      </c>
      <c r="D103" s="322">
        <v>44</v>
      </c>
      <c r="E103" s="324" t="s">
        <v>4626</v>
      </c>
      <c r="U103" s="20" t="s">
        <v>1907</v>
      </c>
      <c r="W103" s="304" t="s">
        <v>5141</v>
      </c>
      <c r="X103" s="9"/>
      <c r="Y103" s="9"/>
      <c r="Z103" s="9"/>
      <c r="AB103" s="9"/>
      <c r="AC103" s="54"/>
      <c r="AD103" s="9"/>
      <c r="AE103" s="9"/>
      <c r="AG103" s="295"/>
    </row>
    <row r="104" spans="2:33" ht="14.4">
      <c r="B104" s="317" t="s">
        <v>4595</v>
      </c>
      <c r="C104" s="321"/>
      <c r="D104" s="322"/>
      <c r="E104" s="324"/>
      <c r="U104" s="20" t="s">
        <v>4627</v>
      </c>
      <c r="W104" s="294" t="s">
        <v>1907</v>
      </c>
      <c r="X104" s="9"/>
      <c r="Y104" s="9"/>
      <c r="Z104" s="9"/>
      <c r="AB104" s="9"/>
      <c r="AC104" s="54"/>
      <c r="AD104" s="9"/>
      <c r="AE104" s="9"/>
      <c r="AG104" s="295"/>
    </row>
    <row r="105" spans="2:33" ht="14.4">
      <c r="B105" s="317" t="s">
        <v>4595</v>
      </c>
      <c r="C105" s="321"/>
      <c r="D105" s="322"/>
      <c r="E105" s="324"/>
      <c r="U105" s="20" t="s">
        <v>4629</v>
      </c>
      <c r="W105" s="294" t="s">
        <v>5142</v>
      </c>
      <c r="X105" s="9"/>
      <c r="Y105" s="9"/>
      <c r="Z105" s="9"/>
      <c r="AB105" s="9"/>
      <c r="AC105" s="54"/>
      <c r="AD105" s="9"/>
      <c r="AE105" s="9"/>
      <c r="AG105" s="295"/>
    </row>
    <row r="106" spans="2:33" ht="14.4">
      <c r="B106" s="317" t="s">
        <v>4595</v>
      </c>
      <c r="C106" s="321"/>
      <c r="D106" s="322"/>
      <c r="E106" s="324"/>
      <c r="U106" s="20" t="s">
        <v>4630</v>
      </c>
      <c r="W106" s="294" t="s">
        <v>5143</v>
      </c>
      <c r="X106" s="9"/>
      <c r="Y106" s="9"/>
      <c r="Z106" s="9"/>
      <c r="AB106" s="9"/>
      <c r="AC106" s="54"/>
      <c r="AD106" s="9"/>
      <c r="AE106" s="9"/>
      <c r="AG106" s="295"/>
    </row>
    <row r="107" spans="2:33" ht="14.4">
      <c r="B107" s="317" t="s">
        <v>4595</v>
      </c>
      <c r="C107" s="321" t="s">
        <v>4631</v>
      </c>
      <c r="D107" s="322">
        <v>45</v>
      </c>
      <c r="E107" s="324" t="s">
        <v>4632</v>
      </c>
      <c r="U107" s="20" t="s">
        <v>1907</v>
      </c>
      <c r="W107" s="294" t="s">
        <v>1907</v>
      </c>
      <c r="X107" s="9"/>
      <c r="Y107" s="9"/>
      <c r="Z107" s="9"/>
      <c r="AB107" s="9"/>
      <c r="AC107" s="54"/>
      <c r="AD107" s="9"/>
      <c r="AE107" s="9"/>
      <c r="AG107" s="295"/>
    </row>
    <row r="108" spans="2:33" ht="14.4">
      <c r="B108" s="317" t="s">
        <v>4595</v>
      </c>
      <c r="C108" s="321"/>
      <c r="D108" s="322"/>
      <c r="E108" s="324"/>
      <c r="U108" s="20" t="s">
        <v>4633</v>
      </c>
      <c r="W108" s="294" t="s">
        <v>5144</v>
      </c>
      <c r="X108" s="9"/>
      <c r="Y108" s="9"/>
      <c r="Z108" s="9"/>
      <c r="AB108" s="9"/>
      <c r="AC108" s="54"/>
      <c r="AD108" s="9"/>
      <c r="AE108" s="9"/>
      <c r="AG108" s="295"/>
    </row>
    <row r="109" spans="2:33" ht="14.4">
      <c r="B109" s="317" t="s">
        <v>4595</v>
      </c>
      <c r="C109" s="321" t="s">
        <v>4634</v>
      </c>
      <c r="D109" s="322">
        <v>46</v>
      </c>
      <c r="E109" s="324" t="s">
        <v>4635</v>
      </c>
      <c r="U109" s="20" t="s">
        <v>1907</v>
      </c>
      <c r="W109" s="294" t="s">
        <v>1907</v>
      </c>
      <c r="X109" s="9"/>
      <c r="Y109" s="9"/>
      <c r="Z109" s="9"/>
      <c r="AB109" s="9"/>
      <c r="AC109" s="54"/>
      <c r="AD109" s="9"/>
      <c r="AE109" s="9"/>
      <c r="AG109" s="295"/>
    </row>
    <row r="110" spans="2:33" ht="14.4">
      <c r="B110" s="317" t="s">
        <v>4595</v>
      </c>
      <c r="C110" s="321"/>
      <c r="D110" s="322"/>
      <c r="E110" s="324"/>
      <c r="U110" s="25" t="s">
        <v>4636</v>
      </c>
      <c r="W110" s="294" t="s">
        <v>5145</v>
      </c>
      <c r="X110" s="9"/>
      <c r="Y110" s="9"/>
      <c r="Z110" s="9"/>
      <c r="AB110" s="9"/>
      <c r="AC110" s="54"/>
      <c r="AD110" s="9"/>
      <c r="AE110" s="9"/>
      <c r="AG110" s="295"/>
    </row>
    <row r="111" spans="2:33" ht="14.4">
      <c r="B111" s="317" t="s">
        <v>2710</v>
      </c>
      <c r="C111" s="321" t="s">
        <v>4637</v>
      </c>
      <c r="D111" s="322">
        <v>47</v>
      </c>
      <c r="E111" s="324" t="s">
        <v>4638</v>
      </c>
      <c r="U111" s="20" t="s">
        <v>1907</v>
      </c>
      <c r="W111" s="294" t="s">
        <v>5146</v>
      </c>
      <c r="X111" s="9"/>
      <c r="Y111" s="9"/>
      <c r="Z111" s="9"/>
      <c r="AB111" s="9"/>
      <c r="AC111" s="54"/>
      <c r="AD111" s="9"/>
      <c r="AE111" s="9"/>
      <c r="AG111" s="295"/>
    </row>
    <row r="112" spans="2:33" ht="14.4">
      <c r="B112" s="317" t="s">
        <v>2710</v>
      </c>
      <c r="C112" s="321"/>
      <c r="D112" s="322"/>
      <c r="E112" s="324"/>
      <c r="U112" s="20" t="s">
        <v>4639</v>
      </c>
      <c r="W112" s="294" t="s">
        <v>1907</v>
      </c>
      <c r="X112" s="9"/>
      <c r="Y112" s="9"/>
      <c r="Z112" s="9"/>
      <c r="AB112" s="9"/>
      <c r="AC112" s="54"/>
      <c r="AD112" s="9"/>
      <c r="AE112" s="9"/>
      <c r="AG112" s="295"/>
    </row>
    <row r="113" spans="2:33" ht="14.4">
      <c r="B113" s="317" t="s">
        <v>2710</v>
      </c>
      <c r="C113" s="321" t="s">
        <v>4640</v>
      </c>
      <c r="D113" s="322">
        <v>48</v>
      </c>
      <c r="E113" s="324" t="s">
        <v>4641</v>
      </c>
      <c r="U113" s="20" t="s">
        <v>1907</v>
      </c>
      <c r="W113" s="294" t="s">
        <v>5147</v>
      </c>
      <c r="X113" s="9"/>
      <c r="Y113" s="9"/>
      <c r="Z113" s="9"/>
      <c r="AB113" s="9"/>
      <c r="AC113" s="54"/>
      <c r="AD113" s="9"/>
      <c r="AE113" s="9"/>
      <c r="AG113" s="295"/>
    </row>
    <row r="114" spans="2:33" ht="14.4">
      <c r="B114" s="317" t="s">
        <v>2710</v>
      </c>
      <c r="C114" s="321"/>
      <c r="D114" s="322"/>
      <c r="E114" s="324"/>
      <c r="U114" s="20" t="s">
        <v>4642</v>
      </c>
      <c r="W114" s="294" t="s">
        <v>1907</v>
      </c>
      <c r="X114" s="9"/>
      <c r="Y114" s="9"/>
      <c r="Z114" s="9"/>
      <c r="AB114" s="9"/>
      <c r="AC114" s="54"/>
      <c r="AD114" s="9"/>
      <c r="AE114" s="9"/>
      <c r="AG114" s="295"/>
    </row>
    <row r="115" spans="2:33" ht="14.4">
      <c r="B115" s="317" t="s">
        <v>2710</v>
      </c>
      <c r="C115" s="321" t="s">
        <v>4643</v>
      </c>
      <c r="D115" s="322">
        <v>49</v>
      </c>
      <c r="E115" s="324" t="s">
        <v>4644</v>
      </c>
      <c r="U115" s="20" t="s">
        <v>1907</v>
      </c>
      <c r="W115" s="294" t="s">
        <v>5148</v>
      </c>
      <c r="X115" s="9"/>
      <c r="Y115" s="9"/>
      <c r="Z115" s="9"/>
      <c r="AB115" s="9"/>
      <c r="AC115" s="54"/>
      <c r="AD115" s="9"/>
      <c r="AE115" s="9"/>
      <c r="AG115" s="295" t="s">
        <v>5149</v>
      </c>
    </row>
    <row r="116" spans="2:33" ht="14.4">
      <c r="B116" s="317" t="s">
        <v>2710</v>
      </c>
      <c r="C116" s="321"/>
      <c r="D116" s="322"/>
      <c r="E116" s="324"/>
      <c r="U116" s="20" t="s">
        <v>4645</v>
      </c>
      <c r="W116" s="294" t="s">
        <v>5150</v>
      </c>
      <c r="X116" s="9"/>
      <c r="Y116" s="9"/>
      <c r="Z116" s="9"/>
      <c r="AB116" s="9"/>
      <c r="AC116" s="54"/>
      <c r="AD116" s="9"/>
      <c r="AE116" s="9"/>
      <c r="AG116" s="295"/>
    </row>
    <row r="117" spans="2:33" ht="14.4">
      <c r="B117" s="317" t="s">
        <v>2710</v>
      </c>
      <c r="C117" s="321"/>
      <c r="D117" s="322"/>
      <c r="E117" s="324"/>
      <c r="U117" s="25" t="s">
        <v>4646</v>
      </c>
      <c r="W117" s="294" t="s">
        <v>5151</v>
      </c>
      <c r="X117" s="9"/>
      <c r="Y117" s="9"/>
      <c r="Z117" s="9"/>
      <c r="AB117" s="9"/>
      <c r="AC117" s="54"/>
      <c r="AD117" s="9"/>
      <c r="AE117" s="9"/>
      <c r="AG117" s="295"/>
    </row>
    <row r="118" spans="2:33" ht="14.4">
      <c r="B118" s="317" t="s">
        <v>2710</v>
      </c>
      <c r="C118" s="321"/>
      <c r="D118" s="322"/>
      <c r="E118" s="324"/>
      <c r="U118" s="25" t="s">
        <v>4647</v>
      </c>
      <c r="W118" s="294" t="s">
        <v>1907</v>
      </c>
      <c r="X118" s="9"/>
      <c r="Y118" s="9"/>
      <c r="Z118" s="9"/>
      <c r="AB118" s="9"/>
      <c r="AC118" s="54"/>
      <c r="AD118" s="9"/>
      <c r="AE118" s="9"/>
      <c r="AG118" s="306" t="s">
        <v>5120</v>
      </c>
    </row>
    <row r="119" spans="2:33" ht="14.4">
      <c r="B119" s="317" t="s">
        <v>2710</v>
      </c>
      <c r="C119" s="321" t="s">
        <v>4648</v>
      </c>
      <c r="D119" s="322">
        <v>50</v>
      </c>
      <c r="E119" s="324" t="s">
        <v>4649</v>
      </c>
      <c r="U119" s="20" t="s">
        <v>1907</v>
      </c>
      <c r="W119" s="294" t="s">
        <v>5152</v>
      </c>
      <c r="X119" s="9"/>
      <c r="Y119" s="9"/>
      <c r="Z119" s="9"/>
      <c r="AB119" s="9"/>
      <c r="AC119" s="54"/>
      <c r="AD119" s="9"/>
      <c r="AE119" s="9"/>
      <c r="AG119" s="306" t="s">
        <v>5120</v>
      </c>
    </row>
    <row r="120" spans="2:33" ht="14.4">
      <c r="B120" s="317" t="s">
        <v>2710</v>
      </c>
      <c r="C120" s="321"/>
      <c r="D120" s="322"/>
      <c r="E120" s="324"/>
      <c r="U120" s="20" t="s">
        <v>4650</v>
      </c>
      <c r="W120" s="294" t="s">
        <v>1907</v>
      </c>
      <c r="X120" s="9"/>
      <c r="Y120" s="9"/>
      <c r="Z120" s="9"/>
      <c r="AB120" s="9"/>
      <c r="AC120" s="54"/>
      <c r="AD120" s="9"/>
      <c r="AE120" s="9"/>
      <c r="AG120" s="295"/>
    </row>
    <row r="121" spans="2:33" ht="14.4">
      <c r="B121" s="317" t="s">
        <v>2710</v>
      </c>
      <c r="C121" s="321" t="s">
        <v>4651</v>
      </c>
      <c r="D121" s="322">
        <v>51</v>
      </c>
      <c r="E121" s="324" t="s">
        <v>4652</v>
      </c>
      <c r="U121" s="20" t="s">
        <v>1907</v>
      </c>
      <c r="W121" s="304" t="s">
        <v>4636</v>
      </c>
      <c r="X121" s="9"/>
      <c r="Y121" s="9"/>
      <c r="Z121" s="9"/>
      <c r="AB121" s="9"/>
      <c r="AC121" s="54"/>
      <c r="AD121" s="9"/>
      <c r="AE121" s="9"/>
      <c r="AG121" s="295"/>
    </row>
    <row r="122" spans="2:33" ht="14.4">
      <c r="B122" s="317" t="s">
        <v>2710</v>
      </c>
      <c r="C122" s="321"/>
      <c r="D122" s="322"/>
      <c r="E122" s="324"/>
      <c r="U122" s="20" t="s">
        <v>4653</v>
      </c>
      <c r="W122" s="294" t="s">
        <v>1907</v>
      </c>
      <c r="X122" s="9"/>
      <c r="Y122" s="9"/>
      <c r="Z122" s="9"/>
      <c r="AB122" s="9"/>
      <c r="AC122" s="54"/>
      <c r="AD122" s="9"/>
      <c r="AE122" s="9"/>
      <c r="AG122" s="295"/>
    </row>
    <row r="123" spans="2:33" ht="14.4">
      <c r="B123" s="317" t="s">
        <v>2710</v>
      </c>
      <c r="C123" s="321" t="s">
        <v>4654</v>
      </c>
      <c r="D123" s="322">
        <v>52</v>
      </c>
      <c r="E123" s="324" t="s">
        <v>4655</v>
      </c>
      <c r="U123" s="20" t="s">
        <v>1907</v>
      </c>
      <c r="W123" s="294" t="s">
        <v>5153</v>
      </c>
      <c r="X123" s="9"/>
      <c r="Y123" s="9"/>
      <c r="Z123" s="9"/>
      <c r="AB123" s="9"/>
      <c r="AC123" s="54"/>
      <c r="AD123" s="9"/>
      <c r="AE123" s="9"/>
      <c r="AG123" s="295"/>
    </row>
    <row r="124" spans="2:33" ht="14.4">
      <c r="B124" s="317" t="s">
        <v>2710</v>
      </c>
      <c r="C124" s="321"/>
      <c r="D124" s="322"/>
      <c r="E124" s="324"/>
      <c r="U124" s="20" t="s">
        <v>4656</v>
      </c>
      <c r="W124" s="294" t="s">
        <v>1907</v>
      </c>
      <c r="X124" s="9"/>
      <c r="Y124" s="9"/>
      <c r="Z124" s="9"/>
      <c r="AB124" s="9"/>
      <c r="AC124" s="54"/>
      <c r="AD124" s="9"/>
      <c r="AE124" s="9"/>
      <c r="AG124" s="295"/>
    </row>
    <row r="125" spans="2:33" ht="14.4">
      <c r="B125" s="317" t="s">
        <v>2710</v>
      </c>
      <c r="C125" s="321" t="s">
        <v>4657</v>
      </c>
      <c r="D125" s="322">
        <v>53</v>
      </c>
      <c r="E125" s="324" t="s">
        <v>4658</v>
      </c>
      <c r="U125" s="20" t="s">
        <v>1907</v>
      </c>
      <c r="W125" s="294" t="s">
        <v>5154</v>
      </c>
      <c r="X125" s="9"/>
      <c r="Y125" s="9"/>
      <c r="Z125" s="9"/>
      <c r="AB125" s="9"/>
      <c r="AC125" s="54"/>
      <c r="AD125" s="9"/>
      <c r="AE125" s="9"/>
      <c r="AG125" s="295"/>
    </row>
    <row r="126" spans="2:33">
      <c r="B126" s="317" t="s">
        <v>2710</v>
      </c>
      <c r="C126" s="321"/>
      <c r="D126" s="322"/>
      <c r="E126" s="324"/>
      <c r="U126" s="24" t="s">
        <v>4659</v>
      </c>
      <c r="W126" s="294" t="s">
        <v>1907</v>
      </c>
      <c r="X126" s="9"/>
      <c r="Y126" s="9"/>
      <c r="Z126" s="9"/>
      <c r="AB126" s="9"/>
      <c r="AC126" s="54"/>
      <c r="AD126" s="9"/>
      <c r="AE126" s="9"/>
      <c r="AG126" s="295"/>
    </row>
    <row r="127" spans="2:33" ht="14.4">
      <c r="B127" s="317" t="s">
        <v>2710</v>
      </c>
      <c r="C127" s="321" t="s">
        <v>4660</v>
      </c>
      <c r="D127" s="322">
        <v>54</v>
      </c>
      <c r="E127" s="324" t="s">
        <v>4661</v>
      </c>
      <c r="U127" s="20" t="s">
        <v>1907</v>
      </c>
      <c r="W127" s="294" t="s">
        <v>5155</v>
      </c>
      <c r="X127" s="9"/>
      <c r="Y127" s="9"/>
      <c r="Z127" s="9"/>
      <c r="AB127" s="9"/>
      <c r="AC127" s="54"/>
      <c r="AD127" s="9"/>
      <c r="AE127" s="9"/>
      <c r="AG127" s="295"/>
    </row>
    <row r="128" spans="2:33" ht="14.4">
      <c r="B128" s="317" t="s">
        <v>2710</v>
      </c>
      <c r="C128" s="321"/>
      <c r="D128" s="322"/>
      <c r="E128" s="324"/>
      <c r="U128" s="20" t="s">
        <v>4662</v>
      </c>
      <c r="W128" s="304" t="s">
        <v>4646</v>
      </c>
      <c r="X128" s="9"/>
      <c r="Y128" s="9"/>
      <c r="Z128" s="9"/>
      <c r="AB128" s="9"/>
      <c r="AC128" s="54"/>
      <c r="AD128" s="9"/>
      <c r="AE128" s="9"/>
      <c r="AG128" s="304"/>
    </row>
    <row r="129" spans="2:7">
      <c r="B129" s="9"/>
      <c r="C129" s="9"/>
      <c r="D129" s="9"/>
      <c r="E129" s="9"/>
      <c r="F129" s="9"/>
      <c r="G129" s="9"/>
    </row>
  </sheetData>
  <phoneticPr fontId="1" type="noConversion"/>
  <conditionalFormatting sqref="AD1:AD128">
    <cfRule type="cellIs" dxfId="2077" priority="1" operator="equal">
      <formula>"수정-신규"</formula>
    </cfRule>
  </conditionalFormatting>
  <conditionalFormatting sqref="AE1:AF128 AB1:AC128">
    <cfRule type="cellIs" dxfId="2076" priority="7" operator="equal">
      <formula>"수정-신규"</formula>
    </cfRule>
    <cfRule type="cellIs" dxfId="2075" priority="8" operator="equal">
      <formula>"수정"</formula>
    </cfRule>
    <cfRule type="cellIs" dxfId="2074" priority="9" operator="equal">
      <formula>"신규"</formula>
    </cfRule>
  </conditionalFormatting>
  <conditionalFormatting sqref="AD1:AD128">
    <cfRule type="cellIs" dxfId="2073" priority="2" operator="equal">
      <formula>"수정-신규"</formula>
    </cfRule>
    <cfRule type="cellIs" dxfId="2072" priority="3" operator="equal">
      <formula>"수정"</formula>
    </cfRule>
    <cfRule type="cellIs" dxfId="2071" priority="4" operator="equal">
      <formula>"신규"</formula>
    </cfRule>
  </conditionalFormatting>
  <conditionalFormatting sqref="Z1:Z128">
    <cfRule type="cellIs" dxfId="2070" priority="6" operator="equal">
      <formula>"화면"</formula>
    </cfRule>
  </conditionalFormatting>
  <conditionalFormatting sqref="AE1:AF128 AB1:AC128">
    <cfRule type="cellIs" dxfId="2069" priority="5" operator="equal">
      <formula>"수정-신규"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235"/>
  <sheetViews>
    <sheetView topLeftCell="A157" zoomScale="70" zoomScaleNormal="70" workbookViewId="0">
      <selection activeCell="AF215" sqref="AF215"/>
    </sheetView>
  </sheetViews>
  <sheetFormatPr defaultRowHeight="17.399999999999999"/>
  <cols>
    <col min="1" max="1" width="18" style="313" customWidth="1"/>
    <col min="2" max="2" width="5.69921875" style="9" customWidth="1"/>
    <col min="3" max="3" width="10.5" style="9" bestFit="1" customWidth="1"/>
    <col min="4" max="4" width="25.59765625" style="9" customWidth="1"/>
    <col min="5" max="5" width="3.3984375" style="9" bestFit="1" customWidth="1"/>
    <col min="6" max="6" width="13.5" style="9" customWidth="1"/>
    <col min="7" max="7" width="8" style="12" bestFit="1" customWidth="1"/>
    <col min="8" max="11" width="4.796875" style="12" bestFit="1" customWidth="1"/>
    <col min="12" max="14" width="3.69921875" style="12" hidden="1" customWidth="1"/>
    <col min="15" max="15" width="11.3984375" style="12" hidden="1" customWidth="1"/>
    <col min="16" max="19" width="12.19921875" style="12" hidden="1" customWidth="1"/>
    <col min="20" max="20" width="2.09765625" style="12" hidden="1" customWidth="1"/>
    <col min="21" max="21" width="2.8984375" style="12" hidden="1" customWidth="1"/>
    <col min="22" max="22" width="4.796875" bestFit="1" customWidth="1"/>
    <col min="23" max="23" width="37.19921875" style="12" customWidth="1"/>
    <col min="24" max="24" width="9.796875" style="1" bestFit="1" customWidth="1"/>
    <col min="25" max="25" width="7.69921875" style="1" bestFit="1" customWidth="1"/>
    <col min="26" max="26" width="11.3984375" style="1" bestFit="1" customWidth="1"/>
    <col min="27" max="27" width="25.3984375" bestFit="1" customWidth="1"/>
    <col min="28" max="28" width="21.5" bestFit="1" customWidth="1"/>
    <col min="30" max="31" width="10" bestFit="1" customWidth="1"/>
    <col min="32" max="32" width="12.796875" bestFit="1" customWidth="1"/>
  </cols>
  <sheetData>
    <row r="1" spans="1:32">
      <c r="B1" s="10"/>
      <c r="C1" s="10"/>
      <c r="D1" s="10"/>
      <c r="E1" s="10"/>
      <c r="F1" s="10"/>
      <c r="G1" s="10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W1" s="11"/>
    </row>
    <row r="2" spans="1:32">
      <c r="B2" s="5" t="s">
        <v>1817</v>
      </c>
      <c r="C2" s="5" t="s">
        <v>2822</v>
      </c>
      <c r="D2" s="5"/>
      <c r="E2" s="5"/>
      <c r="F2" s="5"/>
      <c r="G2" s="5" t="s">
        <v>2823</v>
      </c>
      <c r="H2" s="5">
        <v>2</v>
      </c>
      <c r="I2" s="5">
        <v>3</v>
      </c>
      <c r="J2" s="5">
        <v>4</v>
      </c>
      <c r="K2" s="5">
        <v>5</v>
      </c>
      <c r="L2" s="5" t="s">
        <v>2828</v>
      </c>
      <c r="M2" s="5" t="s">
        <v>2829</v>
      </c>
      <c r="N2" s="5" t="s">
        <v>2830</v>
      </c>
      <c r="O2" s="5" t="s">
        <v>2831</v>
      </c>
      <c r="P2" s="5" t="s">
        <v>2832</v>
      </c>
      <c r="Q2" s="5" t="s">
        <v>2833</v>
      </c>
      <c r="R2" s="5" t="s">
        <v>2834</v>
      </c>
      <c r="S2" s="5" t="s">
        <v>2835</v>
      </c>
      <c r="T2" s="5" t="s">
        <v>2836</v>
      </c>
      <c r="U2" s="5" t="s">
        <v>2837</v>
      </c>
      <c r="V2" s="5" t="s">
        <v>1941</v>
      </c>
      <c r="W2" s="6" t="s">
        <v>2820</v>
      </c>
      <c r="X2" s="5" t="s">
        <v>62</v>
      </c>
      <c r="Y2" s="5" t="s">
        <v>2838</v>
      </c>
      <c r="Z2" s="5" t="s">
        <v>2839</v>
      </c>
      <c r="AA2" s="7" t="s">
        <v>2840</v>
      </c>
      <c r="AB2" s="7" t="s">
        <v>2843</v>
      </c>
      <c r="AC2" s="53"/>
      <c r="AD2" s="5" t="s">
        <v>2841</v>
      </c>
      <c r="AE2" s="5" t="s">
        <v>2842</v>
      </c>
      <c r="AF2" s="5" t="s">
        <v>363</v>
      </c>
    </row>
    <row r="3" spans="1:32">
      <c r="A3" s="314"/>
      <c r="B3" s="52"/>
      <c r="C3" s="52" t="s">
        <v>4773</v>
      </c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311"/>
      <c r="W3" s="55" t="s">
        <v>4798</v>
      </c>
      <c r="X3" s="312" t="s">
        <v>4802</v>
      </c>
      <c r="Y3" s="312" t="s">
        <v>5167</v>
      </c>
      <c r="Z3" s="312" t="s">
        <v>5168</v>
      </c>
      <c r="AA3" s="13" t="str" cm="1">
        <f t="array" ref="AA3">a("class",C3,G3,H3,I3,J3,K3,L3,M3) &amp; Z3 &amp; "." &amp; Y3</f>
        <v>SampleController.Java</v>
      </c>
      <c r="AB3" s="49"/>
      <c r="AC3" s="4"/>
      <c r="AD3" s="47"/>
      <c r="AE3" s="47"/>
      <c r="AF3" s="47"/>
    </row>
    <row r="4" spans="1:32">
      <c r="A4" s="315"/>
      <c r="B4" s="47"/>
      <c r="C4" s="47" t="s">
        <v>4773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50" t="s">
        <v>1941</v>
      </c>
      <c r="W4" s="309" t="s">
        <v>4781</v>
      </c>
      <c r="X4" s="310" t="s">
        <v>4802</v>
      </c>
      <c r="Y4" s="310" t="s">
        <v>5166</v>
      </c>
      <c r="Z4" s="310" t="s">
        <v>5169</v>
      </c>
      <c r="AA4" s="17" t="str" cm="1">
        <f t="array" ref="AA4">a(Y4,Z4,C4,G4,H4,I4,J4,K4,L4,M4,N4,O4,P4,Q4,R4,S4)</f>
        <v>viewSample</v>
      </c>
      <c r="AB4" s="49" t="str" cm="1">
        <f t="array" ref="AB4">"/"&amp;a("",C4,G4,H4,I4,J4,K4,L4,M4,N4,O4,P4,Q4,R4,S4) &amp; "/" &amp; a("",Z4) &amp;".do"</f>
        <v>/sample/.do</v>
      </c>
      <c r="AC4" s="4"/>
      <c r="AD4" s="47"/>
      <c r="AE4" s="47"/>
      <c r="AF4" s="47"/>
    </row>
    <row r="5" spans="1:32">
      <c r="A5" s="315"/>
      <c r="B5" s="47"/>
      <c r="C5" s="47" t="s">
        <v>4773</v>
      </c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0" t="s">
        <v>1941</v>
      </c>
      <c r="W5" s="309" t="s">
        <v>4783</v>
      </c>
      <c r="X5" s="310" t="s">
        <v>4802</v>
      </c>
      <c r="Y5" s="310" t="s">
        <v>5166</v>
      </c>
      <c r="Z5" s="310" t="s">
        <v>5170</v>
      </c>
      <c r="AA5" s="17" t="str" cm="1">
        <f t="array" ref="AA5">a(Y5,Z5,C5,G5,H5,I5,J5,K5,L5,M5,N5,O5,P5,Q5,R5,S5)</f>
        <v>viewDetailSample</v>
      </c>
      <c r="AB5" s="49" t="str" cm="1">
        <f t="array" ref="AB5">"/"&amp;a("",C5,G5,H5,I5,J5,K5,L5,M5,N5,O5,P5,Q5,R5,S5) &amp; "/" &amp; a("",Z5) &amp;".do"</f>
        <v>/sample/detail.do</v>
      </c>
      <c r="AC5" s="4"/>
      <c r="AD5" s="47"/>
      <c r="AE5" s="47"/>
      <c r="AF5" s="47"/>
    </row>
    <row r="6" spans="1:32">
      <c r="A6" s="315"/>
      <c r="B6" s="47"/>
      <c r="C6" s="47" t="s">
        <v>4773</v>
      </c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50" t="s">
        <v>1941</v>
      </c>
      <c r="W6" s="309" t="s">
        <v>4780</v>
      </c>
      <c r="X6" s="310" t="s">
        <v>4802</v>
      </c>
      <c r="Y6" s="310" t="s">
        <v>5166</v>
      </c>
      <c r="Z6" s="310" t="s">
        <v>5171</v>
      </c>
      <c r="AA6" s="17" t="str" cm="1">
        <f t="array" ref="AA6">a(Y6,Z6,C6,G6,H6,I6,J6,K6,L6,M6,N6,O6,P6,Q6,R6,S6)</f>
        <v>viewSample</v>
      </c>
      <c r="AB6" s="49" t="str" cm="1">
        <f t="array" ref="AB6">"/"&amp;a("",C6,G6,H6,I6,J6,K6,L6,M6,N6,O6,P6,Q6,R6,S6) &amp; "/" &amp; a("",Z6) &amp;".do"</f>
        <v>/sample/.do</v>
      </c>
      <c r="AC6" s="4"/>
      <c r="AD6" s="47"/>
      <c r="AE6" s="47"/>
      <c r="AF6" s="47"/>
    </row>
    <row r="7" spans="1:32">
      <c r="A7" s="315"/>
      <c r="B7" s="47"/>
      <c r="C7" s="47" t="s">
        <v>4773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50"/>
      <c r="W7" s="309" t="s">
        <v>4793</v>
      </c>
      <c r="X7" s="310" t="s">
        <v>4802</v>
      </c>
      <c r="Y7" s="310" t="s">
        <v>5172</v>
      </c>
      <c r="Z7" s="310" t="s">
        <v>5169</v>
      </c>
      <c r="AA7" s="17" t="str" cm="1">
        <f t="array" ref="AA7">a(Y7,Z7,C7,G7,H7,I7,J7,K7,L7,M7,N7,O7,P7,Q7,R7,S7)</f>
        <v>selectSample</v>
      </c>
      <c r="AB7" s="49" t="str" cm="1">
        <f t="array" ref="AB7">"/"&amp; a("",C7) &amp; "/" &amp; a("",D7) &amp; IF(D7&lt;&gt;"","/","") &amp;a("",Y7) &amp; IF(a("",G7,H7,I7,J7,K7,L7,M7,N7,O7,P7,Q7,R7,S7,Z7)&lt;&gt;"","/" &amp; a("",G7,H7,I7,J7,K7,L7,M7,N7,O7,P7,Q7,R7,S7,Z7),"")</f>
        <v>/sample/select</v>
      </c>
      <c r="AC7" s="4"/>
      <c r="AD7" s="47"/>
      <c r="AE7" s="47"/>
      <c r="AF7" s="47"/>
    </row>
    <row r="8" spans="1:32">
      <c r="A8" s="315"/>
      <c r="B8" s="47"/>
      <c r="C8" s="47" t="s">
        <v>4773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50"/>
      <c r="W8" s="309" t="s">
        <v>4794</v>
      </c>
      <c r="X8" s="310" t="s">
        <v>4802</v>
      </c>
      <c r="Y8" s="310" t="s">
        <v>5172</v>
      </c>
      <c r="Z8" s="310"/>
      <c r="AA8" s="17" t="str" cm="1">
        <f t="array" ref="AA8">a(Y8,Z8,C8,G8,H8,I8,J8,K8,L8,M8,N8,O8,P8,Q8,R8,S8)</f>
        <v>selectSample</v>
      </c>
      <c r="AB8" s="49" t="str" cm="1">
        <f t="array" ref="AB8">"/"&amp; a("",C8) &amp; "/" &amp; a("",D8) &amp; IF(D8&lt;&gt;"","/","") &amp;a("",Y8) &amp; IF(a("",G8,H8,I8,J8,K8,L8,M8,N8,O8,P8,Q8,R8,S8,Z8)&lt;&gt;"","/" &amp; a("",G8,H8,I8,J8,K8,L8,M8,N8,O8,P8,Q8,R8,S8,Z8),"")</f>
        <v>/sample/select</v>
      </c>
      <c r="AC8" s="4"/>
      <c r="AD8" s="47"/>
      <c r="AE8" s="47"/>
      <c r="AF8" s="47"/>
    </row>
    <row r="9" spans="1:32">
      <c r="A9" s="315"/>
      <c r="B9" s="47"/>
      <c r="C9" s="47" t="s">
        <v>4773</v>
      </c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50"/>
      <c r="W9" s="309" t="s">
        <v>4795</v>
      </c>
      <c r="X9" s="310" t="s">
        <v>4802</v>
      </c>
      <c r="Y9" s="310" t="s">
        <v>31</v>
      </c>
      <c r="Z9" s="310"/>
      <c r="AA9" s="17" t="str" cm="1">
        <f t="array" ref="AA9">a(Y9,Z9,C9,G9,H9,I9,J9,K9,L9,M9,N9,O9,P9,Q9,R9,S9)</f>
        <v>saveSample</v>
      </c>
      <c r="AB9" s="49" t="str" cm="1">
        <f t="array" ref="AB9">"/"&amp; a("",C9) &amp; "/" &amp; a("",D9) &amp; IF(D9&lt;&gt;"","/","") &amp;a("",Y9) &amp; IF(a("",G9,H9,I9,J9,K9,L9,M9,N9,O9,P9,Q9,R9,S9,Z9)&lt;&gt;"","/" &amp; a("",G9,H9,I9,J9,K9,L9,M9,N9,O9,P9,Q9,R9,S9,Z9),"")</f>
        <v>/sample/save</v>
      </c>
      <c r="AC9" s="4"/>
      <c r="AD9" s="47"/>
      <c r="AE9" s="47"/>
      <c r="AF9" s="47"/>
    </row>
    <row r="10" spans="1:32">
      <c r="A10" s="315"/>
      <c r="B10" s="47"/>
      <c r="C10" s="47" t="s">
        <v>4773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50"/>
      <c r="W10" s="309" t="s">
        <v>4796</v>
      </c>
      <c r="X10" s="310" t="s">
        <v>4802</v>
      </c>
      <c r="Y10" s="310" t="s">
        <v>37</v>
      </c>
      <c r="Z10" s="310"/>
      <c r="AA10" s="17" t="str" cm="1">
        <f t="array" ref="AA10">a(Y10,Z10,C10,G10,H10,I10,J10,K10,L10,M10,N10,O10,P10,Q10,R10,S10)</f>
        <v>deleteSample</v>
      </c>
      <c r="AB10" s="49" t="str" cm="1">
        <f t="array" ref="AB10">"/"&amp; a("",C10) &amp; "/" &amp; a("",D10) &amp; IF(D10&lt;&gt;"","/","") &amp;a("",Y10) &amp; IF(a("",G10,H10,I10,J10,K10,L10,M10,N10,O10,P10,Q10,R10,S10,Z10)&lt;&gt;"","/" &amp; a("",G10,H10,I10,J10,K10,L10,M10,N10,O10,P10,Q10,R10,S10,Z10),"")</f>
        <v>/sample/delete</v>
      </c>
      <c r="AC10" s="4"/>
      <c r="AD10" s="47"/>
      <c r="AE10" s="47"/>
      <c r="AF10" s="47"/>
    </row>
    <row r="11" spans="1:32">
      <c r="A11" s="315"/>
      <c r="B11" s="47"/>
      <c r="C11" s="47" t="s">
        <v>4773</v>
      </c>
      <c r="D11" s="47"/>
      <c r="E11" s="47"/>
      <c r="F11" s="47"/>
      <c r="G11" s="10" t="s">
        <v>5</v>
      </c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50" t="s">
        <v>1941</v>
      </c>
      <c r="W11" s="309" t="s">
        <v>4785</v>
      </c>
      <c r="X11" s="310" t="s">
        <v>5173</v>
      </c>
      <c r="Y11" s="310" t="s">
        <v>5173</v>
      </c>
      <c r="Z11" s="310"/>
      <c r="AA11" s="17" t="str" cm="1">
        <f t="array" ref="AA11">"/"&amp; a("",C11) &amp; "/" &amp; (IF(Z11&lt;&gt;"",Z11&amp;"/","")) &amp; b("",G11,H11,I11,J11,K11,L11,M11,N11,O11,P11,Q11,R11,S11) &amp;"."&amp;Y11</f>
        <v>/sample/list.jsp</v>
      </c>
      <c r="AB11" s="49"/>
      <c r="AC11" s="4"/>
      <c r="AD11" s="47"/>
      <c r="AE11" s="47"/>
      <c r="AF11" s="47"/>
    </row>
    <row r="12" spans="1:32">
      <c r="A12" s="315"/>
      <c r="B12" s="47"/>
      <c r="C12" s="47" t="s">
        <v>4773</v>
      </c>
      <c r="D12" s="47"/>
      <c r="E12" s="47"/>
      <c r="F12" s="47"/>
      <c r="G12" s="10" t="s">
        <v>5074</v>
      </c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50" t="s">
        <v>1941</v>
      </c>
      <c r="W12" s="309" t="s">
        <v>4786</v>
      </c>
      <c r="X12" s="310" t="s">
        <v>5173</v>
      </c>
      <c r="Y12" s="310" t="s">
        <v>5173</v>
      </c>
      <c r="Z12" s="310"/>
      <c r="AA12" s="17" t="str" cm="1">
        <f t="array" ref="AA12">"/"&amp; a("",C12) &amp; "/" &amp; (IF(Z12&lt;&gt;"",Z12&amp;"/","")) &amp; b("",G12,H12,I12,J12,K12,L12,M12,N12,O12,P12,Q12,R12,S12) &amp;"."&amp;Y12</f>
        <v>/sample/form.jsp</v>
      </c>
      <c r="AB12" s="49"/>
      <c r="AC12" s="4"/>
      <c r="AD12" s="47"/>
      <c r="AE12" s="47"/>
      <c r="AF12" s="47"/>
    </row>
    <row r="13" spans="1:32">
      <c r="A13" s="315"/>
      <c r="B13" s="47"/>
      <c r="C13" s="47" t="s">
        <v>4773</v>
      </c>
      <c r="D13" s="47"/>
      <c r="E13" s="47"/>
      <c r="F13" s="47"/>
      <c r="G13" s="10" t="s">
        <v>6</v>
      </c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50" t="s">
        <v>1941</v>
      </c>
      <c r="W13" s="309" t="s">
        <v>4787</v>
      </c>
      <c r="X13" s="310" t="s">
        <v>5173</v>
      </c>
      <c r="Y13" s="310" t="s">
        <v>5173</v>
      </c>
      <c r="Z13" s="310"/>
      <c r="AA13" s="17" t="str" cm="1">
        <f t="array" ref="AA13">"/"&amp; a("",C13) &amp; "/" &amp; (IF(Z13&lt;&gt;"",Z13&amp;"/","")) &amp; b("",G13,H13,I13,J13,K13,L13,M13,N13,O13,P13,Q13,R13,S13) &amp;"."&amp;Y13</f>
        <v>/sample/detail.jsp</v>
      </c>
      <c r="AB13" s="49"/>
      <c r="AC13" s="4"/>
      <c r="AD13" s="47"/>
      <c r="AE13" s="47"/>
      <c r="AF13" s="47"/>
    </row>
    <row r="14" spans="1:32">
      <c r="A14" s="315"/>
      <c r="B14" s="52"/>
      <c r="C14" s="52" t="s">
        <v>4773</v>
      </c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311"/>
      <c r="W14" s="55" t="s">
        <v>4799</v>
      </c>
      <c r="X14" s="312" t="s">
        <v>5174</v>
      </c>
      <c r="Y14" s="312" t="s">
        <v>5167</v>
      </c>
      <c r="Z14" s="312" t="s">
        <v>5175</v>
      </c>
      <c r="AA14" s="13" t="str" cm="1">
        <f t="array" ref="AA14">a("class",C14,G14,H14,I14,J14,K14,L14,M14,N14,O14,P14,Q14,R14,S14) &amp; Z14 &amp; "." &amp; Y14</f>
        <v>SampleVO.Java</v>
      </c>
      <c r="AB14" s="49"/>
      <c r="AC14" s="4"/>
      <c r="AD14" s="47"/>
      <c r="AE14" s="47"/>
      <c r="AF14" s="47"/>
    </row>
    <row r="15" spans="1:32">
      <c r="A15" s="315"/>
      <c r="B15" s="52"/>
      <c r="C15" s="52" t="s">
        <v>4773</v>
      </c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311"/>
      <c r="W15" s="55" t="s">
        <v>4800</v>
      </c>
      <c r="X15" s="312" t="s">
        <v>5176</v>
      </c>
      <c r="Y15" s="312" t="s">
        <v>5167</v>
      </c>
      <c r="Z15" s="312" t="s">
        <v>5177</v>
      </c>
      <c r="AA15" s="13" t="str" cm="1">
        <f t="array" ref="AA15">a("class",C15,G15,H15,I15,J15,K15,L15,M15,N15,O15,P15,Q15,R15,S15) &amp; Z15 &amp; "." &amp; Y15</f>
        <v>SampleService.Java</v>
      </c>
      <c r="AB15" s="49"/>
      <c r="AC15" s="4"/>
      <c r="AD15" s="47"/>
      <c r="AE15" s="47"/>
      <c r="AF15" s="47"/>
    </row>
    <row r="16" spans="1:32">
      <c r="A16" s="315"/>
      <c r="B16" s="52"/>
      <c r="C16" s="52" t="s">
        <v>4773</v>
      </c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311"/>
      <c r="W16" s="55" t="s">
        <v>4801</v>
      </c>
      <c r="X16" s="312" t="s">
        <v>5176</v>
      </c>
      <c r="Y16" s="312" t="s">
        <v>5167</v>
      </c>
      <c r="Z16" s="312" t="s">
        <v>5178</v>
      </c>
      <c r="AA16" s="13" t="str" cm="1">
        <f t="array" ref="AA16">a("class",C16,G16,H16,I16,J16,K16,L16,M16,N16,O16,P16,Q16,R16,S16) &amp; Z16 &amp; "." &amp; Y16</f>
        <v>SampleServiceImpl.Java</v>
      </c>
      <c r="AB16" s="49"/>
      <c r="AC16" s="4"/>
      <c r="AD16" s="47"/>
      <c r="AE16" s="47"/>
      <c r="AF16" s="47"/>
    </row>
    <row r="17" spans="1:32">
      <c r="A17" s="315"/>
      <c r="B17" s="47"/>
      <c r="C17" s="47" t="s">
        <v>4773</v>
      </c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50"/>
      <c r="W17" s="20" t="s">
        <v>4774</v>
      </c>
      <c r="X17" s="310" t="s">
        <v>5176</v>
      </c>
      <c r="Y17" s="310" t="s">
        <v>5172</v>
      </c>
      <c r="Z17" s="310" t="s">
        <v>5169</v>
      </c>
      <c r="AA17" s="17" t="str" cm="1">
        <f t="array" ref="AA17">a(Y17,Z17,C17,G17,H17,I17,J17,K17,L17,M17,N17,O17,P17,Q17,R17,S17)</f>
        <v>selectSample</v>
      </c>
      <c r="AB17" s="49"/>
      <c r="AC17" s="4"/>
      <c r="AD17" s="47"/>
      <c r="AE17" s="47"/>
      <c r="AF17" s="47"/>
    </row>
    <row r="18" spans="1:32">
      <c r="A18" s="315"/>
      <c r="B18" s="47"/>
      <c r="C18" s="47" t="s">
        <v>4773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50"/>
      <c r="W18" s="20" t="s">
        <v>4784</v>
      </c>
      <c r="X18" s="310" t="s">
        <v>5176</v>
      </c>
      <c r="Y18" s="310" t="s">
        <v>5172</v>
      </c>
      <c r="Z18" s="310"/>
      <c r="AA18" s="17" t="str" cm="1">
        <f t="array" ref="AA18">a(Y18,Z18,C18,G18,H18,I18,J18,K18,L18,M18,N18,O18,P18,Q18,R18,S18)</f>
        <v>selectSample</v>
      </c>
      <c r="AB18" s="49"/>
      <c r="AC18" s="4"/>
      <c r="AD18" s="47"/>
      <c r="AE18" s="47"/>
      <c r="AF18" s="47"/>
    </row>
    <row r="19" spans="1:32">
      <c r="A19" s="315"/>
      <c r="B19" s="47"/>
      <c r="C19" s="47" t="s">
        <v>4773</v>
      </c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50"/>
      <c r="W19" s="20" t="s">
        <v>4782</v>
      </c>
      <c r="X19" s="310" t="s">
        <v>5176</v>
      </c>
      <c r="Y19" s="310" t="s">
        <v>30</v>
      </c>
      <c r="Z19" s="310"/>
      <c r="AA19" s="17" t="str" cm="1">
        <f t="array" ref="AA19">a(Y19,Z19,C19,G19,H19,I19,J19,K19,L19,M19,N19,O19,P19,Q19,R19,S19)</f>
        <v>updateSample</v>
      </c>
      <c r="AB19" s="49"/>
      <c r="AC19" s="4"/>
      <c r="AD19" s="47"/>
      <c r="AE19" s="47"/>
      <c r="AF19" s="47"/>
    </row>
    <row r="20" spans="1:32">
      <c r="A20" s="315"/>
      <c r="B20" s="47"/>
      <c r="C20" s="47" t="s">
        <v>4773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50"/>
      <c r="W20" s="20" t="s">
        <v>4788</v>
      </c>
      <c r="X20" s="310" t="s">
        <v>5176</v>
      </c>
      <c r="Y20" s="310" t="s">
        <v>37</v>
      </c>
      <c r="Z20" s="310"/>
      <c r="AA20" s="17" t="str" cm="1">
        <f t="array" ref="AA20">a(Y20,Z20,C20,G20,H20,I20,J20,K20,L20,M20,N20,O20,P20,Q20,R20,S20)</f>
        <v>deleteSample</v>
      </c>
      <c r="AB20" s="49"/>
      <c r="AC20" s="4"/>
      <c r="AD20" s="47"/>
      <c r="AE20" s="47"/>
      <c r="AF20" s="47"/>
    </row>
    <row r="21" spans="1:32">
      <c r="A21" s="315"/>
      <c r="B21" s="52"/>
      <c r="C21" s="52" t="s">
        <v>4773</v>
      </c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311"/>
      <c r="W21" s="55" t="s">
        <v>4803</v>
      </c>
      <c r="X21" s="312" t="s">
        <v>5179</v>
      </c>
      <c r="Y21" s="312" t="s">
        <v>5180</v>
      </c>
      <c r="Z21" s="312" t="s">
        <v>5181</v>
      </c>
      <c r="AA21" s="13" t="str" cm="1">
        <f t="array" ref="AA21">a("class",C21,G21,H21,I21,J21,K21,L21,M21,N21,O21,P21,Q21,R21,S21) &amp; Z21 &amp; "." &amp; Y21</f>
        <v>SampleDAO.java</v>
      </c>
      <c r="AB21" s="49"/>
      <c r="AC21" s="4"/>
      <c r="AD21" s="47"/>
      <c r="AE21" s="47"/>
      <c r="AF21" s="47"/>
    </row>
    <row r="22" spans="1:32">
      <c r="A22" s="315"/>
      <c r="B22" s="52"/>
      <c r="C22" s="52" t="s">
        <v>4773</v>
      </c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311"/>
      <c r="W22" s="55" t="s">
        <v>4804</v>
      </c>
      <c r="X22" s="312" t="s">
        <v>5182</v>
      </c>
      <c r="Y22" s="312" t="s">
        <v>5180</v>
      </c>
      <c r="Z22" s="312" t="s">
        <v>5183</v>
      </c>
      <c r="AA22" s="13" t="str" cm="1">
        <f t="array" ref="AA22">a("class",C22,G22,H22,I22,J22,K22,L22,M22,N22,O22,P22,Q22,R22,S22) &amp; Z22 &amp; "." &amp; Y22</f>
        <v>SampleMapper.java</v>
      </c>
      <c r="AB22" s="49"/>
      <c r="AC22" s="4"/>
      <c r="AD22" s="47"/>
      <c r="AE22" s="47"/>
      <c r="AF22" s="47"/>
    </row>
    <row r="23" spans="1:32">
      <c r="A23" s="315"/>
      <c r="B23" s="52"/>
      <c r="C23" s="52" t="s">
        <v>4773</v>
      </c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311"/>
      <c r="W23" s="55" t="s">
        <v>4805</v>
      </c>
      <c r="X23" s="312" t="s">
        <v>5184</v>
      </c>
      <c r="Y23" s="312" t="s">
        <v>5185</v>
      </c>
      <c r="Z23" s="312" t="s">
        <v>5186</v>
      </c>
      <c r="AA23" s="13" t="str" cm="1">
        <f t="array" ref="AA23">a("class",C23,G23,H23,I23,J23,K23,L23,M23,N23,O23,P23,Q23,R23,S23) &amp; Z23 &amp; "." &amp; Y23</f>
        <v>SampleServiceSQL.xml</v>
      </c>
      <c r="AB23" s="49"/>
      <c r="AC23" s="4"/>
      <c r="AD23" s="47"/>
      <c r="AE23" s="47"/>
      <c r="AF23" s="47"/>
    </row>
    <row r="24" spans="1:32">
      <c r="A24" s="315"/>
      <c r="B24" s="47"/>
      <c r="C24" s="47" t="s">
        <v>4773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50"/>
      <c r="W24" s="20" t="s">
        <v>4774</v>
      </c>
      <c r="X24" s="310" t="s">
        <v>5179</v>
      </c>
      <c r="Y24" s="310" t="s">
        <v>5172</v>
      </c>
      <c r="Z24" s="310" t="s">
        <v>5169</v>
      </c>
      <c r="AA24" s="17" t="str" cm="1">
        <f t="array" ref="AA24">a(Y24,Z24,C24,G24,H24,I24,J24,K24,L24,M24,N24,O24,P24,Q24,R24,S24)</f>
        <v>selectSample</v>
      </c>
      <c r="AB24" s="49"/>
      <c r="AC24" s="4"/>
      <c r="AD24" s="47"/>
      <c r="AE24" s="47"/>
      <c r="AF24" s="47"/>
    </row>
    <row r="25" spans="1:32">
      <c r="A25" s="315"/>
      <c r="B25" s="47"/>
      <c r="C25" s="47" t="s">
        <v>4773</v>
      </c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50"/>
      <c r="W25" s="20" t="s">
        <v>4784</v>
      </c>
      <c r="X25" s="310" t="s">
        <v>5179</v>
      </c>
      <c r="Y25" s="310" t="s">
        <v>5172</v>
      </c>
      <c r="Z25" s="310"/>
      <c r="AA25" s="17" t="str" cm="1">
        <f t="array" ref="AA25">a(Y25,Z25,C25,G25,H25,I25,J25,K25,L25,M25,N25,O25,P25,Q25,R25,S25)</f>
        <v>selectSample</v>
      </c>
      <c r="AB25" s="49"/>
      <c r="AC25" s="4"/>
      <c r="AD25" s="47"/>
      <c r="AE25" s="47"/>
      <c r="AF25" s="47"/>
    </row>
    <row r="26" spans="1:32">
      <c r="A26" s="315"/>
      <c r="B26" s="47"/>
      <c r="C26" s="47" t="s">
        <v>4773</v>
      </c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50"/>
      <c r="W26" s="20" t="s">
        <v>4791</v>
      </c>
      <c r="X26" s="310" t="s">
        <v>5179</v>
      </c>
      <c r="Y26" s="310" t="s">
        <v>5187</v>
      </c>
      <c r="Z26" s="310"/>
      <c r="AA26" s="17" t="str" cm="1">
        <f t="array" ref="AA26">a(Y26,Z26,C26,G26,H26,I26,J26,K26,L26,M26,N26,O26,P26,Q26,R26,S26)</f>
        <v>insertSample</v>
      </c>
      <c r="AB26" s="49"/>
      <c r="AC26" s="4"/>
      <c r="AD26" s="47"/>
      <c r="AE26" s="47"/>
      <c r="AF26" s="47"/>
    </row>
    <row r="27" spans="1:32">
      <c r="A27" s="315"/>
      <c r="B27" s="47"/>
      <c r="C27" s="47" t="s">
        <v>4773</v>
      </c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50"/>
      <c r="W27" s="20" t="s">
        <v>4782</v>
      </c>
      <c r="X27" s="310" t="s">
        <v>5179</v>
      </c>
      <c r="Y27" s="310" t="s">
        <v>30</v>
      </c>
      <c r="Z27" s="310"/>
      <c r="AA27" s="17" t="str" cm="1">
        <f t="array" ref="AA27">a(Y27,Z27,C27,G27,H27,I27,J27,K27,L27,M27,N27,O27,P27,Q27,R27,S27)</f>
        <v>updateSample</v>
      </c>
      <c r="AB27" s="49"/>
      <c r="AC27" s="4"/>
      <c r="AD27" s="47"/>
      <c r="AE27" s="47"/>
      <c r="AF27" s="47"/>
    </row>
    <row r="28" spans="1:32">
      <c r="A28" s="315"/>
      <c r="B28" s="47"/>
      <c r="C28" s="47" t="s">
        <v>4773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50"/>
      <c r="W28" s="20" t="s">
        <v>4788</v>
      </c>
      <c r="X28" s="310" t="s">
        <v>5179</v>
      </c>
      <c r="Y28" s="310" t="s">
        <v>37</v>
      </c>
      <c r="Z28" s="310"/>
      <c r="AA28" s="17" t="str" cm="1">
        <f t="array" ref="AA28">a(Y28,Z28,C28,G28,H28,I28,J28,K28,L28,M28,N28,O28,P28,Q28,R28,S28)</f>
        <v>deleteSample</v>
      </c>
      <c r="AB28" s="49"/>
      <c r="AC28" s="4"/>
      <c r="AD28" s="47"/>
      <c r="AE28" s="47"/>
      <c r="AF28" s="47"/>
    </row>
    <row r="29" spans="1:32">
      <c r="A29" s="315"/>
      <c r="B29" s="47"/>
      <c r="C29" s="52" t="s">
        <v>1</v>
      </c>
      <c r="D29" s="47"/>
      <c r="E29" s="47"/>
      <c r="F29" s="47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0"/>
      <c r="W29" s="308"/>
      <c r="AA29" s="49"/>
      <c r="AB29" s="49"/>
      <c r="AC29" s="4"/>
      <c r="AD29" s="47"/>
      <c r="AE29" s="47"/>
      <c r="AF29" s="47"/>
    </row>
    <row r="30" spans="1:32">
      <c r="A30" s="314"/>
      <c r="B30" s="52"/>
      <c r="C30" s="52" t="s">
        <v>1</v>
      </c>
      <c r="D30" s="52" t="str" cm="1">
        <f t="array" ref="D30">"kr.go.prpr.app."&amp;a("",C30)&amp;"."&amp;LOWER(IF(Z30="Controller","web",Z30))</f>
        <v>kr.go.prpr.app.mbr.web</v>
      </c>
      <c r="E30" s="52"/>
      <c r="F30" s="52"/>
      <c r="G30" s="52" t="s">
        <v>2</v>
      </c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312" t="s">
        <v>2844</v>
      </c>
      <c r="W30" s="55" t="s">
        <v>4808</v>
      </c>
      <c r="X30" s="312" t="s">
        <v>4802</v>
      </c>
      <c r="Y30" s="312" t="s">
        <v>5167</v>
      </c>
      <c r="Z30" s="312" t="s">
        <v>2844</v>
      </c>
      <c r="AA30" s="13" t="str" cm="1">
        <f t="array" ref="AA30">a("class",C30,G30,H30,I30,J30,K30,L30,M30,N30,O30,P30,Q30,R30,S30) &amp; Z30 &amp; "." &amp; Y30</f>
        <v>MbrLoginController.Java</v>
      </c>
      <c r="AB30" s="49"/>
      <c r="AC30" s="4"/>
      <c r="AD30" s="47"/>
      <c r="AE30" s="47"/>
      <c r="AF30" s="47"/>
    </row>
    <row r="31" spans="1:32">
      <c r="A31" s="316" t="s">
        <v>5156</v>
      </c>
      <c r="B31" s="47"/>
      <c r="C31" s="52" t="s">
        <v>1</v>
      </c>
      <c r="D31" s="47"/>
      <c r="E31" s="47"/>
      <c r="F31" s="47"/>
      <c r="G31" s="47" t="s">
        <v>2</v>
      </c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50" t="s">
        <v>1941</v>
      </c>
      <c r="W31" s="44" t="s">
        <v>4813</v>
      </c>
      <c r="X31" s="310" t="s">
        <v>4802</v>
      </c>
      <c r="Y31" s="310" t="s">
        <v>5166</v>
      </c>
      <c r="Z31" s="310"/>
      <c r="AA31" s="17" t="str" cm="1">
        <f t="array" ref="AA31">a(Y31,Z31,C31,G31,H31,I31,J31,K31,L31,M31,N31,O31,P31,Q31,R31,S31)</f>
        <v>viewMbrLogin</v>
      </c>
      <c r="AB31" s="49" t="str" cm="1">
        <f t="array" ref="AB31">"/"&amp; a("",C31) &amp; "/" &amp; a("",G31,H31,I31,J31,K31,L31,M31,N31,O31,P31,Q31,R31,S31,"",Z31) &amp;".do"</f>
        <v>/mbr/login.do</v>
      </c>
      <c r="AC31" s="4"/>
      <c r="AD31" s="154">
        <v>44508</v>
      </c>
      <c r="AE31" s="154">
        <v>44510</v>
      </c>
      <c r="AF31" s="47"/>
    </row>
    <row r="32" spans="1:32">
      <c r="A32" s="315"/>
      <c r="B32" s="47"/>
      <c r="C32" s="52" t="s">
        <v>1</v>
      </c>
      <c r="D32" s="47"/>
      <c r="E32" s="47"/>
      <c r="F32" s="47"/>
      <c r="G32" s="47" t="s">
        <v>2</v>
      </c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50" t="s">
        <v>5247</v>
      </c>
      <c r="W32" s="44" t="s">
        <v>4797</v>
      </c>
      <c r="X32" s="310" t="s">
        <v>4802</v>
      </c>
      <c r="Y32" s="310" t="s">
        <v>33</v>
      </c>
      <c r="Z32" s="310"/>
      <c r="AA32" s="17" t="str" cm="1">
        <f t="array" ref="AA32">a(Y32,Z32,C32,G32,H32,I32,J32,K32,L32,M32,N32,O32,P32,Q32,R32,S32)</f>
        <v>checkMbrLogin</v>
      </c>
      <c r="AB32" s="49" t="str" cm="1">
        <f t="array" ref="AB32">"/"&amp; a("",C32) &amp; "/" &amp; a("",D32) &amp; IF(D32&lt;&gt;"","/","") &amp;a("",Y32) &amp; IF(a("",G32,H32,I32,J32,K32,L32,M32,N32,O32,P32,Q32,R32,S32,Z32)&lt;&gt;"","/" &amp; a("",G32,H32,I32,J32,K32,L32,M32,N32,O32,P32,Q32,R32,S32,Z32),"")</f>
        <v>/mbr/check/login</v>
      </c>
      <c r="AC32" s="4"/>
      <c r="AD32" s="47"/>
      <c r="AE32" s="47"/>
      <c r="AF32" s="47"/>
    </row>
    <row r="33" spans="1:32">
      <c r="A33" s="315"/>
      <c r="B33" s="47"/>
      <c r="C33" s="52" t="s">
        <v>1</v>
      </c>
      <c r="D33" s="47"/>
      <c r="E33" s="47"/>
      <c r="F33" s="47"/>
      <c r="G33" s="47" t="s">
        <v>2</v>
      </c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310" t="s">
        <v>5173</v>
      </c>
      <c r="W33" s="44" t="s">
        <v>4812</v>
      </c>
      <c r="X33" s="310" t="s">
        <v>5173</v>
      </c>
      <c r="Y33" s="310" t="s">
        <v>5173</v>
      </c>
      <c r="Z33" s="310"/>
      <c r="AA33" s="17" t="str" cm="1">
        <f t="array" ref="AA33">"/"&amp; a("",C33) &amp; "/" &amp; (IF(Z33&lt;&gt;"",Z33&amp;"/","")) &amp; b("",G33,H33,I33,J33,K33,L33,M33,N33,O33,P33,Q33,R33,S33) &amp;"."&amp;Y33</f>
        <v>/mbr/login.jsp</v>
      </c>
      <c r="AB33" s="49"/>
      <c r="AC33" s="4"/>
      <c r="AD33" s="47"/>
      <c r="AE33" s="47"/>
      <c r="AF33" s="47"/>
    </row>
    <row r="34" spans="1:32">
      <c r="A34" s="315"/>
      <c r="B34" s="52"/>
      <c r="C34" s="52" t="s">
        <v>1</v>
      </c>
      <c r="D34" s="52" t="str" cm="1">
        <f t="array" ref="D34">"kr.go.prpr.app."&amp;a("",C34)&amp;"."&amp;LOWER(IF(Z34="Controller","web",Z34))</f>
        <v>kr.go.prpr.app.mbr.vo</v>
      </c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311"/>
      <c r="W34" s="55" t="s">
        <v>5075</v>
      </c>
      <c r="X34" s="312" t="s">
        <v>5174</v>
      </c>
      <c r="Y34" s="312" t="s">
        <v>5167</v>
      </c>
      <c r="Z34" s="312" t="s">
        <v>5175</v>
      </c>
      <c r="AA34" s="13" t="str" cm="1">
        <f t="array" ref="AA34">a("class",C34,G34,H34,I34,J34,K34,L34,M34,N34,O34,P34,Q34,R34,S34) &amp; Z34 &amp; "." &amp; Y34</f>
        <v>MbrVO.Java</v>
      </c>
      <c r="AB34" s="49"/>
      <c r="AC34" s="4"/>
      <c r="AD34" s="47"/>
      <c r="AE34" s="47"/>
      <c r="AF34" s="47"/>
    </row>
    <row r="35" spans="1:32">
      <c r="A35" s="315"/>
      <c r="B35" s="52"/>
      <c r="C35" s="52" t="s">
        <v>1</v>
      </c>
      <c r="D35" s="52" t="str" cm="1">
        <f t="array" ref="D35">"kr.go.prpr.app."&amp;a("",C35)&amp;"."&amp;LOWER(IF(Z35="Controller","web",Z35))</f>
        <v>kr.go.prpr.app.mbr.vo</v>
      </c>
      <c r="E35" s="52"/>
      <c r="F35" s="52"/>
      <c r="G35" s="52" t="s">
        <v>2</v>
      </c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311"/>
      <c r="W35" s="55" t="s">
        <v>5075</v>
      </c>
      <c r="X35" s="312" t="s">
        <v>5174</v>
      </c>
      <c r="Y35" s="312" t="s">
        <v>5167</v>
      </c>
      <c r="Z35" s="312" t="s">
        <v>5175</v>
      </c>
      <c r="AA35" s="13" t="str" cm="1">
        <f t="array" ref="AA35">a("class",C35,G35,H35,I35,J35,K35,L35,M35,N35,O35,P35,Q35,R35,S35) &amp; Z35 &amp; "." &amp; Y35</f>
        <v>MbrLoginVO.Java</v>
      </c>
      <c r="AB35" s="49"/>
      <c r="AC35" s="4"/>
      <c r="AD35" s="47"/>
      <c r="AE35" s="47"/>
      <c r="AF35" s="47"/>
    </row>
    <row r="36" spans="1:32">
      <c r="A36" s="315"/>
      <c r="B36" s="52"/>
      <c r="C36" s="52" t="s">
        <v>1</v>
      </c>
      <c r="D36" s="52" t="str" cm="1">
        <f t="array" ref="D36">"kr.go.prpr.app."&amp;a("",C36)&amp;"."&amp;LOWER(IF(Z36="Controller","web",Z36))</f>
        <v>kr.go.prpr.app.mbr.service</v>
      </c>
      <c r="E36" s="52"/>
      <c r="F36" s="52"/>
      <c r="G36" s="52" t="s">
        <v>2</v>
      </c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312" t="s">
        <v>5177</v>
      </c>
      <c r="W36" s="55" t="s">
        <v>4809</v>
      </c>
      <c r="X36" s="312" t="s">
        <v>5176</v>
      </c>
      <c r="Y36" s="312" t="s">
        <v>5167</v>
      </c>
      <c r="Z36" s="312" t="s">
        <v>5177</v>
      </c>
      <c r="AA36" s="13" t="str" cm="1">
        <f t="array" ref="AA36">a("class",C36,G36,H36,I36,J36,K36,L36,M36,N36,O36,P36,Q36,R36,S36) &amp; Z36 &amp; "." &amp; Y36</f>
        <v>MbrLoginService.Java</v>
      </c>
      <c r="AB36" s="49"/>
      <c r="AC36" s="4"/>
      <c r="AD36" s="47"/>
      <c r="AE36" s="47"/>
      <c r="AF36" s="47"/>
    </row>
    <row r="37" spans="1:32">
      <c r="A37" s="315"/>
      <c r="B37" s="52"/>
      <c r="C37" s="52" t="s">
        <v>1</v>
      </c>
      <c r="D37" s="52" t="str" cm="1">
        <f t="array" ref="D37">"kr.go.prpr.app."&amp;a("",C37)&amp;"."&amp;LOWER(IF(Z37="Controller","web",Z37))</f>
        <v>kr.go.prpr.app.mbr.serviceimpl</v>
      </c>
      <c r="E37" s="52"/>
      <c r="F37" s="52"/>
      <c r="G37" s="52" t="s">
        <v>2</v>
      </c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312" t="s">
        <v>5178</v>
      </c>
      <c r="W37" s="55" t="s">
        <v>4810</v>
      </c>
      <c r="X37" s="312" t="s">
        <v>5176</v>
      </c>
      <c r="Y37" s="312" t="s">
        <v>5167</v>
      </c>
      <c r="Z37" s="312" t="s">
        <v>5178</v>
      </c>
      <c r="AA37" s="13" t="str" cm="1">
        <f t="array" ref="AA37">a("class",C37,G37,H37,I37,J37,K37,L37,M37,N37,O37,P37,Q37,R37,S37) &amp; Z37 &amp; "." &amp; Y37</f>
        <v>MbrLoginServiceImpl.Java</v>
      </c>
      <c r="AB37" s="49"/>
      <c r="AC37" s="4"/>
      <c r="AD37" s="47"/>
      <c r="AE37" s="47"/>
      <c r="AF37" s="47"/>
    </row>
    <row r="38" spans="1:32">
      <c r="A38" s="315"/>
      <c r="B38" s="47"/>
      <c r="C38" s="52" t="s">
        <v>1</v>
      </c>
      <c r="D38" s="47"/>
      <c r="E38" s="47"/>
      <c r="F38" s="47"/>
      <c r="G38" s="47" t="s">
        <v>2</v>
      </c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50" t="s">
        <v>5250</v>
      </c>
      <c r="W38" s="44" t="s">
        <v>5073</v>
      </c>
      <c r="X38" s="310" t="s">
        <v>5176</v>
      </c>
      <c r="Y38" s="310" t="s">
        <v>5172</v>
      </c>
      <c r="Z38" s="310"/>
      <c r="AA38" s="17" t="str" cm="1">
        <f t="array" ref="AA38">a(Y38,Z38,C38,G38,H38,I38,J38,K38,L38,M38,N38,O38,P38,Q38,R38,S38)</f>
        <v>selectMbrLogin</v>
      </c>
      <c r="AB38" s="49"/>
      <c r="AC38" s="4"/>
      <c r="AD38" s="47"/>
      <c r="AE38" s="47"/>
      <c r="AF38" s="47"/>
    </row>
    <row r="39" spans="1:32">
      <c r="A39" s="315"/>
      <c r="B39" s="47"/>
      <c r="C39" s="52" t="s">
        <v>1</v>
      </c>
      <c r="D39" s="47"/>
      <c r="E39" s="47"/>
      <c r="F39" s="47"/>
      <c r="G39" s="47" t="s">
        <v>2</v>
      </c>
      <c r="H39" s="47" t="s">
        <v>5189</v>
      </c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50" t="s">
        <v>5250</v>
      </c>
      <c r="W39" s="44" t="s">
        <v>5157</v>
      </c>
      <c r="X39" s="310" t="s">
        <v>5176</v>
      </c>
      <c r="Y39" s="310" t="s">
        <v>30</v>
      </c>
      <c r="Z39" s="310"/>
      <c r="AA39" s="17" t="str" cm="1">
        <f t="array" ref="AA39">a(Y39,Z39,C39,G39,H39,I39,J39,K39,L39,M39,N39,O39,P39,Q39,R39,S39)</f>
        <v>updateMbrLoginIp</v>
      </c>
      <c r="AB39" s="49"/>
      <c r="AC39" s="4"/>
      <c r="AD39" s="47"/>
      <c r="AE39" s="47"/>
      <c r="AF39" s="47"/>
    </row>
    <row r="40" spans="1:32">
      <c r="A40" s="315"/>
      <c r="B40" s="52"/>
      <c r="C40" s="52" t="s">
        <v>1</v>
      </c>
      <c r="D40" s="52"/>
      <c r="E40" s="52"/>
      <c r="F40" s="52"/>
      <c r="G40" s="52" t="s">
        <v>2</v>
      </c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312" t="s">
        <v>5251</v>
      </c>
      <c r="W40" s="55" t="s">
        <v>5076</v>
      </c>
      <c r="X40" s="312" t="s">
        <v>5184</v>
      </c>
      <c r="Y40" s="312" t="s">
        <v>5185</v>
      </c>
      <c r="Z40" s="312" t="s">
        <v>5186</v>
      </c>
      <c r="AA40" s="13" t="str" cm="1">
        <f t="array" ref="AA40">"/"&amp; a("",C40) &amp; "/" &amp; a("class",C40,G40,H40,I40,J40,K40,L40,M40,N40,O40,P40,Q40,R40,S40) &amp; Z40 &amp; "." &amp; Y40</f>
        <v>/mbr/MbrLoginServiceSQL.xml</v>
      </c>
      <c r="AB40" s="49"/>
      <c r="AC40" s="4"/>
      <c r="AD40" s="47"/>
      <c r="AE40" s="47"/>
      <c r="AF40" s="47"/>
    </row>
    <row r="41" spans="1:32">
      <c r="A41" s="315"/>
      <c r="B41" s="47"/>
      <c r="C41" s="52" t="s">
        <v>1</v>
      </c>
      <c r="D41" s="47"/>
      <c r="E41" s="47"/>
      <c r="F41" s="47"/>
      <c r="G41" s="47" t="s">
        <v>2</v>
      </c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50" t="s">
        <v>2848</v>
      </c>
      <c r="W41" s="44" t="s">
        <v>5073</v>
      </c>
      <c r="X41" s="310" t="s">
        <v>5179</v>
      </c>
      <c r="Y41" s="310" t="s">
        <v>5172</v>
      </c>
      <c r="Z41" s="310"/>
      <c r="AA41" s="17" t="str" cm="1">
        <f t="array" ref="AA41">a(Y41,Z41,C41,G41,H41,I41,J41,K41,L41,M41,N41,O41,P41,Q41,R41,S41)</f>
        <v>selectMbrLogin</v>
      </c>
      <c r="AB41" s="49"/>
      <c r="AC41" s="4"/>
      <c r="AD41" s="47"/>
      <c r="AE41" s="47"/>
      <c r="AF41" s="47"/>
    </row>
    <row r="42" spans="1:32">
      <c r="A42" s="315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50"/>
      <c r="W42" s="48"/>
      <c r="X42" s="310"/>
      <c r="Y42" s="310"/>
      <c r="Z42" s="310"/>
      <c r="AA42" s="47"/>
      <c r="AB42" s="47"/>
      <c r="AC42" s="4"/>
      <c r="AD42" s="47"/>
      <c r="AE42" s="47"/>
      <c r="AF42" s="47"/>
    </row>
    <row r="43" spans="1:32">
      <c r="A43" s="314"/>
      <c r="B43" s="52"/>
      <c r="C43" s="52" t="s">
        <v>4518</v>
      </c>
      <c r="D43" s="52" t="str" cm="1">
        <f t="array" ref="D43">"kr.go.prpr.app."&amp;a("",C43)&amp;"."&amp;LOWER(IF(Z43="Controller","web",Z43))</f>
        <v>kr.go.prpr.app.prgn.web</v>
      </c>
      <c r="E43" s="52"/>
      <c r="F43" s="52"/>
      <c r="G43" s="52" t="s">
        <v>2710</v>
      </c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312" t="s">
        <v>5168</v>
      </c>
      <c r="W43" s="55" t="s">
        <v>5162</v>
      </c>
      <c r="X43" s="312" t="s">
        <v>4802</v>
      </c>
      <c r="Y43" s="312" t="s">
        <v>5167</v>
      </c>
      <c r="Z43" s="312" t="s">
        <v>5168</v>
      </c>
      <c r="AA43" s="13" t="str" cm="1">
        <f t="array" ref="AA43">a("class",C43,G43,H43,I43,J43,K43,L43,M43,N43,O43,P43,Q43,R43,S43) &amp; Z43 &amp; "." &amp; Y43</f>
        <v>PrgnMainController.Java</v>
      </c>
      <c r="AB43" s="49"/>
      <c r="AC43" s="4"/>
      <c r="AD43" s="47"/>
      <c r="AE43" s="47"/>
      <c r="AF43" s="42"/>
    </row>
    <row r="44" spans="1:32">
      <c r="A44" s="316" t="s">
        <v>5188</v>
      </c>
      <c r="B44" s="47"/>
      <c r="C44" s="52" t="s">
        <v>4518</v>
      </c>
      <c r="D44" s="47"/>
      <c r="E44" s="47"/>
      <c r="F44" s="47"/>
      <c r="G44" s="307" t="s">
        <v>2710</v>
      </c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50" t="s">
        <v>1941</v>
      </c>
      <c r="W44" s="44" t="s">
        <v>5080</v>
      </c>
      <c r="X44" s="310" t="s">
        <v>4802</v>
      </c>
      <c r="Y44" s="310" t="s">
        <v>5166</v>
      </c>
      <c r="Z44" s="310"/>
      <c r="AA44" s="17" t="str" cm="1">
        <f t="array" ref="AA44">a(Y44,Z44,C44,G44,H44,I44,J44,K44,L44,M44,N44,O44,P44,Q44,R44,S44)</f>
        <v>viewPrgnMain</v>
      </c>
      <c r="AB44" s="49" t="str" cm="1">
        <f t="array" ref="AB44">"/"&amp; a("",C44) &amp; "/" &amp; a("",G44,H44,I44,J44,K44,L44,M44,N44,O44,P44,Q44,R44,S44,"",Z44) &amp;".do"</f>
        <v>/prgn/main.do</v>
      </c>
      <c r="AC44" s="4"/>
      <c r="AD44" s="154">
        <v>44511</v>
      </c>
      <c r="AE44" s="154">
        <v>44515</v>
      </c>
      <c r="AF44" s="47"/>
    </row>
    <row r="45" spans="1:32">
      <c r="A45" s="315"/>
      <c r="B45" s="47"/>
      <c r="C45" s="52" t="s">
        <v>4518</v>
      </c>
      <c r="D45" s="47"/>
      <c r="E45" s="47"/>
      <c r="F45" s="47"/>
      <c r="G45" s="47" t="s">
        <v>2710</v>
      </c>
      <c r="H45" s="47" t="s">
        <v>5078</v>
      </c>
      <c r="I45" s="47" t="s">
        <v>5079</v>
      </c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50" t="s">
        <v>5247</v>
      </c>
      <c r="W45" s="20" t="s">
        <v>5161</v>
      </c>
      <c r="X45" s="310" t="s">
        <v>4802</v>
      </c>
      <c r="Y45" s="310" t="s">
        <v>5172</v>
      </c>
      <c r="Z45" s="310"/>
      <c r="AA45" s="17" t="str" cm="1">
        <f t="array" ref="AA45">a(Y45,Z45,C45,G45,H45,I45,J45,K45,L45,M45,N45,O45,P45,Q45,R45,S45)</f>
        <v>selectPrgnMainNtcItm</v>
      </c>
      <c r="AB45" s="49" t="str" cm="1">
        <f t="array" ref="AB45">"/"&amp; a("",C45) &amp; "/" &amp; a("",D45) &amp; IF(D45&lt;&gt;"","/","") &amp;a("",Y45) &amp; IF(a("",G45,H45,I45,J45,K45,L45,M45,N45,O45,P45,Q45,R45,S45,Z45)&lt;&gt;"","/" &amp; a("",G45,H45,I45,J45,K45,L45,M45,N45,O45,P45,Q45,R45,S45,Z45),"")</f>
        <v>/prgn/select/mainNtcItm</v>
      </c>
      <c r="AC45" s="4"/>
      <c r="AD45" s="47"/>
      <c r="AE45" s="47"/>
      <c r="AF45" s="47"/>
    </row>
    <row r="46" spans="1:32">
      <c r="A46" s="315"/>
      <c r="B46" s="47"/>
      <c r="C46" s="52" t="s">
        <v>4518</v>
      </c>
      <c r="D46" s="47"/>
      <c r="E46" s="47"/>
      <c r="F46" s="47"/>
      <c r="G46" s="47" t="s">
        <v>2710</v>
      </c>
      <c r="H46" s="47" t="s">
        <v>5165</v>
      </c>
      <c r="I46" s="47" t="s">
        <v>4</v>
      </c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50" t="s">
        <v>5247</v>
      </c>
      <c r="W46" s="20" t="s">
        <v>5164</v>
      </c>
      <c r="X46" s="310" t="s">
        <v>4802</v>
      </c>
      <c r="Y46" s="310" t="s">
        <v>5172</v>
      </c>
      <c r="Z46" s="310"/>
      <c r="AA46" s="17" t="str" cm="1">
        <f t="array" ref="AA46">a(Y46,Z46,C46,G46,H46,I46,J46,K46,L46,M46,N46,O46,P46,Q46,R46,S46)</f>
        <v>selectPrgnMainNotcInfo</v>
      </c>
      <c r="AB46" s="49" t="str" cm="1">
        <f t="array" ref="AB46">"/"&amp; a("",C46) &amp; "/" &amp; a("",D46) &amp; IF(D46&lt;&gt;"","/","") &amp;a("",Y46) &amp; IF(a("",G46,H46,I46,J46,K46,L46,M46,N46,O46,P46,Q46,R46,S46,Z46)&lt;&gt;"","/" &amp; a("",G46,H46,I46,J46,K46,L46,M46,N46,O46,P46,Q46,R46,S46,Z46),"")</f>
        <v>/prgn/select/mainNotcInfo</v>
      </c>
      <c r="AC46" s="4"/>
      <c r="AD46" s="47"/>
      <c r="AE46" s="47"/>
      <c r="AF46" s="47"/>
    </row>
    <row r="47" spans="1:32">
      <c r="A47" s="315"/>
      <c r="B47" s="47"/>
      <c r="C47" s="52" t="s">
        <v>4518</v>
      </c>
      <c r="D47" s="47"/>
      <c r="E47" s="47"/>
      <c r="F47" s="47"/>
      <c r="G47" s="47" t="s">
        <v>2710</v>
      </c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310" t="s">
        <v>5173</v>
      </c>
      <c r="W47" s="44" t="s">
        <v>5158</v>
      </c>
      <c r="X47" s="310" t="s">
        <v>5173</v>
      </c>
      <c r="Y47" s="310" t="s">
        <v>5173</v>
      </c>
      <c r="Z47" s="310"/>
      <c r="AA47" s="17" t="str" cm="1">
        <f t="array" ref="AA47">"/"&amp; a("",C47) &amp; "/" &amp; (IF(Z47&lt;&gt;"",Z47&amp;"/","")) &amp; b("",G47,H47,I47,J47,K47,L47,M47,N47,O47,P47,Q47,R47,S47) &amp;"."&amp;Y47</f>
        <v>/prgn/main.jsp</v>
      </c>
      <c r="AB47" s="49"/>
      <c r="AC47" s="4"/>
      <c r="AD47" s="47"/>
      <c r="AE47" s="47"/>
      <c r="AF47" s="47"/>
    </row>
    <row r="48" spans="1:32">
      <c r="A48" s="315"/>
      <c r="B48" s="52"/>
      <c r="C48" s="52" t="s">
        <v>4518</v>
      </c>
      <c r="D48" s="52" t="str" cm="1">
        <f t="array" ref="D48">"kr.go.prpr.app."&amp;a("",C48)&amp;"."&amp;LOWER(IF(Z48="Controller","web",Z48))</f>
        <v>kr.go.prpr.app.prgn.service</v>
      </c>
      <c r="E48" s="52"/>
      <c r="F48" s="52"/>
      <c r="G48" s="52" t="s">
        <v>2710</v>
      </c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312" t="s">
        <v>5177</v>
      </c>
      <c r="W48" s="55" t="s">
        <v>5160</v>
      </c>
      <c r="X48" s="312" t="s">
        <v>5176</v>
      </c>
      <c r="Y48" s="312" t="s">
        <v>5167</v>
      </c>
      <c r="Z48" s="312" t="s">
        <v>5177</v>
      </c>
      <c r="AA48" s="13" t="str" cm="1">
        <f t="array" ref="AA48">a("class",C48,G48,H48,I48,J48,K48,L48,M48,N48,O48,P48,Q48,R48,S48) &amp; Z48 &amp; "." &amp; Y48</f>
        <v>PrgnMainService.Java</v>
      </c>
      <c r="AB48" s="49"/>
      <c r="AC48" s="4"/>
      <c r="AD48" s="47"/>
      <c r="AE48" s="47"/>
      <c r="AF48" s="47"/>
    </row>
    <row r="49" spans="1:32">
      <c r="A49" s="315"/>
      <c r="B49" s="52"/>
      <c r="C49" s="52" t="s">
        <v>4518</v>
      </c>
      <c r="D49" s="52" t="str" cm="1">
        <f t="array" ref="D49">"kr.go.prpr.app."&amp;a("",C49)&amp;"."&amp;LOWER(IF(Z49="Controller","web",Z49))</f>
        <v>kr.go.prpr.app.prgn.serviceimpl</v>
      </c>
      <c r="E49" s="52"/>
      <c r="F49" s="52"/>
      <c r="G49" s="52" t="s">
        <v>2710</v>
      </c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312" t="s">
        <v>5178</v>
      </c>
      <c r="W49" s="55" t="s">
        <v>5159</v>
      </c>
      <c r="X49" s="312" t="s">
        <v>5176</v>
      </c>
      <c r="Y49" s="312" t="s">
        <v>5167</v>
      </c>
      <c r="Z49" s="312" t="s">
        <v>5178</v>
      </c>
      <c r="AA49" s="13" t="str" cm="1">
        <f t="array" ref="AA49">a("class",C49,G49,H49,I49,J49,K49,L49,M49,N49,O49,P49,Q49,R49,S49) &amp; Z49 &amp; "." &amp; Y49</f>
        <v>PrgnMainServiceImpl.Java</v>
      </c>
      <c r="AB49" s="49"/>
      <c r="AC49" s="4"/>
      <c r="AD49" s="47"/>
      <c r="AE49" s="47"/>
      <c r="AF49" s="47"/>
    </row>
    <row r="50" spans="1:32">
      <c r="A50" s="315"/>
      <c r="B50" s="47"/>
      <c r="C50" s="52" t="s">
        <v>4518</v>
      </c>
      <c r="D50" s="47"/>
      <c r="E50" s="47"/>
      <c r="F50" s="47"/>
      <c r="G50" s="47" t="s">
        <v>2710</v>
      </c>
      <c r="H50" s="47" t="s">
        <v>5078</v>
      </c>
      <c r="I50" s="47" t="s">
        <v>5079</v>
      </c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50" t="s">
        <v>5250</v>
      </c>
      <c r="W50" s="20" t="s">
        <v>5161</v>
      </c>
      <c r="X50" s="310" t="s">
        <v>5176</v>
      </c>
      <c r="Y50" s="310" t="s">
        <v>5172</v>
      </c>
      <c r="Z50" s="310"/>
      <c r="AA50" s="17" t="str" cm="1">
        <f t="array" ref="AA50">a(Y50,Z50,C50,G50,H50,I50,J50,K50,L50,M50,N50,O50,P50,Q50,R50,S50)</f>
        <v>selectPrgnMainNtcItm</v>
      </c>
      <c r="AB50" s="49"/>
      <c r="AC50" s="4"/>
      <c r="AD50" s="47"/>
      <c r="AE50" s="47"/>
      <c r="AF50" s="47"/>
    </row>
    <row r="51" spans="1:32">
      <c r="A51" s="315"/>
      <c r="B51" s="47"/>
      <c r="C51" s="52" t="s">
        <v>4518</v>
      </c>
      <c r="D51" s="47"/>
      <c r="E51" s="47"/>
      <c r="F51" s="47"/>
      <c r="G51" s="47" t="s">
        <v>2710</v>
      </c>
      <c r="H51" s="47" t="s">
        <v>5165</v>
      </c>
      <c r="I51" s="47" t="s">
        <v>4</v>
      </c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50" t="s">
        <v>5250</v>
      </c>
      <c r="W51" s="20" t="s">
        <v>5164</v>
      </c>
      <c r="X51" s="310" t="s">
        <v>5176</v>
      </c>
      <c r="Y51" s="310" t="s">
        <v>5172</v>
      </c>
      <c r="Z51" s="310"/>
      <c r="AA51" s="17" t="str" cm="1">
        <f t="array" ref="AA51">a(Y51,Z51,C51,G51,H51,I51,J51,K51,L51,M51,N51,O51,P51,Q51,R51,S51)</f>
        <v>selectPrgnMainNotcInfo</v>
      </c>
      <c r="AB51" s="49"/>
      <c r="AC51" s="4"/>
      <c r="AD51" s="47"/>
      <c r="AE51" s="47"/>
      <c r="AF51" s="47"/>
    </row>
    <row r="52" spans="1:32">
      <c r="A52" s="315"/>
      <c r="B52" s="52"/>
      <c r="C52" s="52" t="s">
        <v>4518</v>
      </c>
      <c r="D52" s="52"/>
      <c r="E52" s="52"/>
      <c r="F52" s="52"/>
      <c r="G52" s="52" t="s">
        <v>182</v>
      </c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312" t="s">
        <v>5251</v>
      </c>
      <c r="W52" s="55" t="s">
        <v>5163</v>
      </c>
      <c r="X52" s="312" t="s">
        <v>5184</v>
      </c>
      <c r="Y52" s="312" t="s">
        <v>5185</v>
      </c>
      <c r="Z52" s="312" t="s">
        <v>5186</v>
      </c>
      <c r="AA52" s="13" t="str" cm="1">
        <f t="array" ref="AA52">"/"&amp; a("",C52) &amp; "/" &amp; a("class",C52,G52,H52,I52,J52,K52,L52,M52,N52,O52,P52,Q52,R52,S52) &amp; Z52 &amp; "." &amp; Y52</f>
        <v>/prgn/PrgnMainServiceSQL.xml</v>
      </c>
      <c r="AB52" s="49"/>
      <c r="AC52" s="4"/>
      <c r="AD52" s="47"/>
      <c r="AE52" s="47"/>
      <c r="AF52" s="47"/>
    </row>
    <row r="53" spans="1:32">
      <c r="A53" s="315"/>
      <c r="B53" s="47"/>
      <c r="C53" s="52" t="s">
        <v>4518</v>
      </c>
      <c r="D53" s="47"/>
      <c r="E53" s="47"/>
      <c r="F53" s="47"/>
      <c r="G53" s="47" t="s">
        <v>182</v>
      </c>
      <c r="H53" s="47" t="s">
        <v>5078</v>
      </c>
      <c r="I53" s="47" t="s">
        <v>5079</v>
      </c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50" t="s">
        <v>2848</v>
      </c>
      <c r="W53" s="20" t="s">
        <v>5161</v>
      </c>
      <c r="X53" s="310" t="s">
        <v>5179</v>
      </c>
      <c r="Y53" s="310" t="s">
        <v>5172</v>
      </c>
      <c r="Z53" s="310"/>
      <c r="AA53" s="17" t="str" cm="1">
        <f t="array" ref="AA53">a(Y53,Z53,C53,G53,H53,I53,J53,K53,L53,M53,N53,O53,P53,Q53,R53,S53)</f>
        <v>selectPrgnMainNtcItm</v>
      </c>
      <c r="AB53" s="49"/>
      <c r="AC53" s="4"/>
      <c r="AD53" s="47"/>
      <c r="AE53" s="47"/>
      <c r="AF53" s="47"/>
    </row>
    <row r="54" spans="1:32">
      <c r="A54" s="315"/>
      <c r="B54" s="47"/>
      <c r="C54" s="52" t="s">
        <v>4518</v>
      </c>
      <c r="D54" s="47"/>
      <c r="E54" s="47"/>
      <c r="F54" s="47"/>
      <c r="G54" s="47" t="s">
        <v>182</v>
      </c>
      <c r="H54" s="47" t="s">
        <v>5165</v>
      </c>
      <c r="I54" s="47" t="s">
        <v>4</v>
      </c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50" t="s">
        <v>2848</v>
      </c>
      <c r="W54" s="20" t="s">
        <v>5164</v>
      </c>
      <c r="X54" s="310" t="s">
        <v>5179</v>
      </c>
      <c r="Y54" s="310" t="s">
        <v>5172</v>
      </c>
      <c r="Z54" s="310"/>
      <c r="AA54" s="17" t="str" cm="1">
        <f t="array" ref="AA54">a(Y54,Z54,C54,G54,H54,I54,J54,K54,L54,M54,N54,O54,P54,Q54,R54,S54)</f>
        <v>selectPrgnMainNotcInfo</v>
      </c>
      <c r="AB54" s="49"/>
      <c r="AC54" s="4"/>
      <c r="AD54" s="47"/>
      <c r="AE54" s="47"/>
      <c r="AF54" s="47"/>
    </row>
    <row r="55" spans="1:32">
      <c r="A55" s="315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50"/>
      <c r="W55" s="48"/>
      <c r="X55" s="310"/>
      <c r="Y55" s="310"/>
      <c r="Z55" s="310"/>
      <c r="AA55" s="47"/>
      <c r="AB55" s="47"/>
      <c r="AC55" s="4"/>
      <c r="AD55" s="47"/>
      <c r="AE55" s="47"/>
      <c r="AF55" s="47"/>
    </row>
    <row r="56" spans="1:32">
      <c r="A56" s="314"/>
      <c r="B56" s="52"/>
      <c r="C56" s="52" t="s">
        <v>1606</v>
      </c>
      <c r="D56" s="52" t="str" cm="1">
        <f t="array" ref="D56">"kr.go.prpr.app."&amp;a("",C56)&amp;"."&amp;LOWER(IF(Z56="Controller","web",Z56))</f>
        <v>kr.go.prpr.app.mbr.web</v>
      </c>
      <c r="E56" s="52"/>
      <c r="F56" s="52"/>
      <c r="G56" s="52" t="s">
        <v>3</v>
      </c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312" t="s">
        <v>5168</v>
      </c>
      <c r="W56" s="55" t="s">
        <v>5197</v>
      </c>
      <c r="X56" s="312" t="s">
        <v>4802</v>
      </c>
      <c r="Y56" s="312" t="s">
        <v>5167</v>
      </c>
      <c r="Z56" s="312" t="s">
        <v>5168</v>
      </c>
      <c r="AA56" s="13" t="str" cm="1">
        <f t="array" ref="AA56">a("class",C56,G56,H56,I56,J56,K56,L56,M56) &amp; Z56 &amp; "." &amp; Y56</f>
        <v>MbrJoinController.Java</v>
      </c>
      <c r="AB56" s="49"/>
      <c r="AC56" s="4"/>
      <c r="AD56" s="47"/>
      <c r="AE56" s="47"/>
      <c r="AF56" s="47"/>
    </row>
    <row r="57" spans="1:32">
      <c r="A57" s="316" t="s">
        <v>5198</v>
      </c>
      <c r="B57" s="47"/>
      <c r="C57" s="52" t="s">
        <v>1606</v>
      </c>
      <c r="D57" s="47"/>
      <c r="E57" s="47"/>
      <c r="F57" s="47"/>
      <c r="G57" s="307" t="s">
        <v>1268</v>
      </c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50" t="s">
        <v>1941</v>
      </c>
      <c r="W57" s="328" t="s">
        <v>5192</v>
      </c>
      <c r="X57" s="310" t="s">
        <v>4802</v>
      </c>
      <c r="Y57" s="310" t="s">
        <v>5166</v>
      </c>
      <c r="Z57" s="310"/>
      <c r="AA57" s="17" t="str" cm="1">
        <f t="array" ref="AA57">a(Y57,Z57,C57,G57,H57,I57,J57,K57,L57,M57)</f>
        <v>viewMbrJoin</v>
      </c>
      <c r="AB57" s="49" t="str" cm="1">
        <f t="array" ref="AB57">"/"&amp; a("",C57) &amp; "/" &amp; a("",G57,H57,I57,J57,K57,L57,M57,N57,O57,P57,Q57,R57,S57,"",Z57) &amp;".do"</f>
        <v>/mbr/join.do</v>
      </c>
      <c r="AC57" s="4"/>
      <c r="AD57" s="154">
        <v>44516</v>
      </c>
      <c r="AE57" s="154">
        <v>44518</v>
      </c>
      <c r="AF57" s="47"/>
    </row>
    <row r="58" spans="1:32">
      <c r="A58" s="316" t="s">
        <v>5203</v>
      </c>
      <c r="B58" s="47"/>
      <c r="C58" s="52" t="s">
        <v>1606</v>
      </c>
      <c r="D58" s="47"/>
      <c r="E58" s="47"/>
      <c r="F58" s="47"/>
      <c r="G58" s="307" t="s">
        <v>5204</v>
      </c>
      <c r="H58" s="47" t="s">
        <v>4</v>
      </c>
      <c r="I58" s="47" t="s">
        <v>5205</v>
      </c>
      <c r="J58" s="47" t="s">
        <v>5206</v>
      </c>
      <c r="K58" s="47" t="s">
        <v>5207</v>
      </c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50" t="s">
        <v>1941</v>
      </c>
      <c r="W58" s="329" t="s">
        <v>5211</v>
      </c>
      <c r="X58" s="310" t="s">
        <v>4802</v>
      </c>
      <c r="Y58" s="310" t="s">
        <v>5166</v>
      </c>
      <c r="Z58" s="310"/>
      <c r="AA58" s="17" t="str" cm="1">
        <f t="array" ref="AA58">a(Y58,Z58,C58,G58,H58,I58,J58,K58,L58,M58)</f>
        <v>viewMbrIndiInfoClctUseAgr</v>
      </c>
      <c r="AB58" s="49" t="str" cm="1">
        <f t="array" ref="AB58">"/"&amp; a("",C58) &amp; "/" &amp; a("",G58,H58,I58,J58,K58,L58,M58,N58,O58,P58,Q58,R58,S58,"",Z58) &amp;".do"</f>
        <v>/mbr/indiInfoClctUseAgr.do</v>
      </c>
      <c r="AC58" s="4"/>
      <c r="AD58" s="154">
        <v>44519</v>
      </c>
      <c r="AE58" s="154">
        <v>44519</v>
      </c>
      <c r="AF58" s="47"/>
    </row>
    <row r="59" spans="1:32">
      <c r="A59" s="316" t="s">
        <v>5209</v>
      </c>
      <c r="B59" s="47"/>
      <c r="C59" s="52" t="s">
        <v>1606</v>
      </c>
      <c r="D59" s="47"/>
      <c r="E59" s="47"/>
      <c r="F59" s="47"/>
      <c r="G59" s="307" t="s">
        <v>5208</v>
      </c>
      <c r="H59" s="47" t="s">
        <v>60</v>
      </c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50" t="s">
        <v>1941</v>
      </c>
      <c r="W59" s="329" t="s">
        <v>5210</v>
      </c>
      <c r="X59" s="310" t="s">
        <v>4802</v>
      </c>
      <c r="Y59" s="310" t="s">
        <v>5166</v>
      </c>
      <c r="Z59" s="310"/>
      <c r="AA59" s="17" t="str" cm="1">
        <f t="array" ref="AA59">a(Y59,Z59,C59,G59,H59,I59,J59,K59,L59,M59)</f>
        <v>viewMbrOwnCnfm</v>
      </c>
      <c r="AB59" s="49" t="str" cm="1">
        <f t="array" ref="AB59">"/"&amp; a("",C59) &amp; "/" &amp; a("",G59,H59,I59,J59,K59,L59,M59,N59,O59,P59,Q59,R59,S59,"",Z59) &amp;".do"</f>
        <v>/mbr/ownCnfm.do</v>
      </c>
      <c r="AC59" s="4"/>
      <c r="AD59" s="154">
        <v>44607</v>
      </c>
      <c r="AE59" s="154">
        <v>44608</v>
      </c>
      <c r="AF59" s="47"/>
    </row>
    <row r="60" spans="1:32">
      <c r="A60" s="316" t="s">
        <v>4495</v>
      </c>
      <c r="B60" s="47"/>
      <c r="C60" s="52" t="s">
        <v>1606</v>
      </c>
      <c r="D60" s="47"/>
      <c r="E60" s="47"/>
      <c r="F60" s="47"/>
      <c r="G60" s="307" t="s">
        <v>5215</v>
      </c>
      <c r="H60" s="47" t="s">
        <v>5216</v>
      </c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50" t="s">
        <v>1941</v>
      </c>
      <c r="W60" s="329" t="s">
        <v>4497</v>
      </c>
      <c r="X60" s="310" t="s">
        <v>4802</v>
      </c>
      <c r="Y60" s="310" t="s">
        <v>5166</v>
      </c>
      <c r="Z60" s="310"/>
      <c r="AA60" s="17" t="str" cm="1">
        <f t="array" ref="AA60">a(Y60,Z60,C60,G60,H60,I60,J60,K60,L60,M60)</f>
        <v>viewMbrIdSrch</v>
      </c>
      <c r="AB60" s="49" t="str" cm="1">
        <f t="array" ref="AB60">"/"&amp; a("",C60) &amp; "/" &amp; a("",G60,H60,I60,J60,K60,L60,M60,N60,O60,P60,Q60,R60,S60,"",Z60) &amp;".do"</f>
        <v>/mbr/idSrch.do</v>
      </c>
      <c r="AC60" s="4"/>
      <c r="AD60" s="154">
        <v>44522</v>
      </c>
      <c r="AE60" s="154">
        <v>44522</v>
      </c>
      <c r="AF60" s="47"/>
    </row>
    <row r="61" spans="1:32">
      <c r="A61" s="316" t="s">
        <v>4498</v>
      </c>
      <c r="B61" s="47"/>
      <c r="C61" s="52" t="s">
        <v>1606</v>
      </c>
      <c r="D61" s="47"/>
      <c r="E61" s="47"/>
      <c r="F61" s="47"/>
      <c r="G61" s="307" t="s">
        <v>5217</v>
      </c>
      <c r="H61" s="47" t="s">
        <v>5216</v>
      </c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50" t="s">
        <v>1941</v>
      </c>
      <c r="W61" s="329" t="s">
        <v>4500</v>
      </c>
      <c r="X61" s="310" t="s">
        <v>4802</v>
      </c>
      <c r="Y61" s="310" t="s">
        <v>5166</v>
      </c>
      <c r="Z61" s="310"/>
      <c r="AA61" s="17" t="str" cm="1">
        <f t="array" ref="AA61">a(Y61,Z61,C61,G61,H61,I61,J61,K61,L61,M61)</f>
        <v>viewMbrPwdSrch</v>
      </c>
      <c r="AB61" s="49" t="str" cm="1">
        <f t="array" ref="AB61">"/"&amp; a("",C61) &amp; "/" &amp; a("",G61,H61,I61,J61,K61,L61,M61,N61,O61,P61,Q61,R61,S61,"",Z61) &amp;".do"</f>
        <v>/mbr/pwdSrch.do</v>
      </c>
      <c r="AC61" s="4"/>
      <c r="AD61" s="154">
        <v>44523</v>
      </c>
      <c r="AE61" s="154">
        <v>44524</v>
      </c>
      <c r="AF61" s="47"/>
    </row>
    <row r="62" spans="1:32">
      <c r="A62" s="316" t="s">
        <v>4513</v>
      </c>
      <c r="B62" s="47"/>
      <c r="C62" s="52" t="s">
        <v>1606</v>
      </c>
      <c r="D62" s="47"/>
      <c r="E62" s="47"/>
      <c r="F62" s="47"/>
      <c r="G62" s="307" t="s">
        <v>5212</v>
      </c>
      <c r="H62" s="47" t="s">
        <v>61</v>
      </c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50" t="s">
        <v>1941</v>
      </c>
      <c r="W62" s="329" t="s">
        <v>5214</v>
      </c>
      <c r="X62" s="310" t="s">
        <v>4802</v>
      </c>
      <c r="Y62" s="310" t="s">
        <v>5166</v>
      </c>
      <c r="Z62" s="310"/>
      <c r="AA62" s="17" t="str" cm="1">
        <f t="array" ref="AA62">a(Y62,Z62,C62,G62,H62,I62,J62,K62,L62,M62)</f>
        <v>viewMbrAuthCert</v>
      </c>
      <c r="AB62" s="49" t="str" cm="1">
        <f t="array" ref="AB62">"/"&amp; a("",C62) &amp; "/" &amp; a("",G62,H62,I62,J62,K62,L62,M62,N62,O62,P62,Q62,R62,S62,"",Z62) &amp;".do"</f>
        <v>/mbr/authCert.do</v>
      </c>
      <c r="AC62" s="4"/>
      <c r="AD62" s="154">
        <v>44609</v>
      </c>
      <c r="AE62" s="154">
        <v>44610</v>
      </c>
      <c r="AF62" s="47"/>
    </row>
    <row r="63" spans="1:32">
      <c r="A63" s="316" t="s">
        <v>4508</v>
      </c>
      <c r="B63" s="47"/>
      <c r="C63" s="52" t="s">
        <v>1606</v>
      </c>
      <c r="D63" s="47"/>
      <c r="E63" s="47"/>
      <c r="F63" s="47"/>
      <c r="G63" s="307" t="s">
        <v>5232</v>
      </c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50" t="s">
        <v>1941</v>
      </c>
      <c r="W63" s="44" t="s">
        <v>5225</v>
      </c>
      <c r="X63" s="310" t="s">
        <v>4802</v>
      </c>
      <c r="Y63" s="310" t="s">
        <v>5166</v>
      </c>
      <c r="Z63" s="310"/>
      <c r="AA63" s="17" t="str" cm="1">
        <f t="array" ref="AA63">a(Y63,Z63,C63,G63,H63,I63,J63,K63,L63,M63)</f>
        <v>viewMbrWhdwl</v>
      </c>
      <c r="AB63" s="49" t="str" cm="1">
        <f t="array" ref="AB63">"/"&amp; a("",C63) &amp; "/" &amp; a("",G63,H63,I63,J63,K63,L63,M63,N63,O63,P63,Q63,R63,S63,"",Z63) &amp;".do"</f>
        <v>/mbr/whdwl.do</v>
      </c>
      <c r="AC63" s="4"/>
      <c r="AD63" s="154">
        <v>44532</v>
      </c>
      <c r="AE63" s="154">
        <v>44533</v>
      </c>
      <c r="AF63" s="47"/>
    </row>
    <row r="64" spans="1:32">
      <c r="A64" s="315"/>
      <c r="B64" s="47"/>
      <c r="C64" s="52" t="s">
        <v>1606</v>
      </c>
      <c r="D64" s="47"/>
      <c r="E64" s="47"/>
      <c r="F64" s="47"/>
      <c r="G64" s="47" t="s">
        <v>5190</v>
      </c>
      <c r="H64" s="47" t="s">
        <v>5191</v>
      </c>
      <c r="I64" s="47" t="s">
        <v>60</v>
      </c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9" t="s">
        <v>5247</v>
      </c>
      <c r="W64" s="329" t="s">
        <v>4487</v>
      </c>
      <c r="X64" s="310" t="s">
        <v>4802</v>
      </c>
      <c r="Y64" s="310" t="s">
        <v>4814</v>
      </c>
      <c r="Z64" s="310"/>
      <c r="AA64" s="17" t="str" cm="1">
        <f t="array" ref="AA64">a(Y64,Z64,C64,G64,H64,I64,J64,K64,L64,M64)</f>
        <v>checkMbrIdDupCnfm</v>
      </c>
      <c r="AB64" s="49" t="str" cm="1">
        <f t="array" ref="AB64">"/"&amp; a("",C64) &amp; "/" &amp; a("",D64) &amp; IF(D64&lt;&gt;"","/","") &amp;a("",Y64) &amp; IF(a("",G64,H64,I64,J64,K64,L64,M64,N64,O64,P64,Q64,R64,S64,Z64)&lt;&gt;"","/" &amp; a("",G64,H64,I64,J64,K64,L64,M64,N64,O64,P64,Q64,R64,S64,Z64),"")</f>
        <v>/mbr/check/idDupCnfm</v>
      </c>
      <c r="AC64" s="4"/>
      <c r="AD64" s="47"/>
      <c r="AE64" s="47"/>
      <c r="AF64" s="47"/>
    </row>
    <row r="65" spans="1:32">
      <c r="A65" s="315"/>
      <c r="B65" s="47"/>
      <c r="C65" s="52" t="s">
        <v>1606</v>
      </c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9" t="s">
        <v>5247</v>
      </c>
      <c r="W65" s="329" t="s">
        <v>5192</v>
      </c>
      <c r="X65" s="310" t="s">
        <v>4802</v>
      </c>
      <c r="Y65" s="310" t="s">
        <v>5193</v>
      </c>
      <c r="Z65" s="310"/>
      <c r="AA65" s="17" t="str" cm="1">
        <f t="array" ref="AA65">a(Y65,Z65,C65,G65,H65,I65,J65,K65,L65,M65,N65,O65,P65,Q65,R65,S65)</f>
        <v>joinMbr</v>
      </c>
      <c r="AB65" s="49" t="str" cm="1">
        <f t="array" ref="AB65">"/"&amp; a("",C65) &amp; "/" &amp; a("",D65) &amp; IF(D65&lt;&gt;"","/","") &amp;a("",Y65) &amp; IF(a("",G65,H65,I65,J65,K65,L65,M65,N65,O65,P65,Q65,R65,S65,Z65)&lt;&gt;"","/" &amp; a("",G65,H65,I65,J65,K65,L65,M65,N65,O65,P65,Q65,R65,S65,Z65),"")</f>
        <v>/mbr/join</v>
      </c>
      <c r="AC65" s="4"/>
      <c r="AD65" s="47"/>
      <c r="AE65" s="47"/>
      <c r="AF65" s="47"/>
    </row>
    <row r="66" spans="1:32">
      <c r="A66" s="315"/>
      <c r="B66" s="47"/>
      <c r="C66" s="52" t="s">
        <v>1606</v>
      </c>
      <c r="D66" s="47"/>
      <c r="E66" s="47"/>
      <c r="F66" s="47"/>
      <c r="G66" s="47" t="s">
        <v>5199</v>
      </c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9" t="s">
        <v>5247</v>
      </c>
      <c r="W66" s="329" t="s">
        <v>4489</v>
      </c>
      <c r="X66" s="310" t="s">
        <v>4802</v>
      </c>
      <c r="Y66" s="310" t="s">
        <v>5201</v>
      </c>
      <c r="Z66" s="310"/>
      <c r="AA66" s="17" t="str" cm="1">
        <f t="array" ref="AA66">a(Y66,Z66,C66,G66,H66,I66,J66,K66,L66,M66,N66,O66,P66,Q66,R66,S66)</f>
        <v>certMbrHp</v>
      </c>
      <c r="AB66" s="49" t="str" cm="1">
        <f t="array" ref="AB66">"/"&amp; a("",C66) &amp; "/" &amp; a("",D66) &amp; IF(D66&lt;&gt;"","/","") &amp;a("",Y66) &amp; IF(a("",G66,H66,I66,J66,K66,L66,M66,N66,O66,P66,Q66,R66,S66,Z66)&lt;&gt;"","/" &amp; a("",G66,H66,I66,J66,K66,L66,M66,N66,O66,P66,Q66,R66,S66,Z66),"")</f>
        <v>/mbr/cert/hp</v>
      </c>
      <c r="AC66" s="4"/>
      <c r="AD66" s="47"/>
      <c r="AE66" s="47"/>
      <c r="AF66" s="47"/>
    </row>
    <row r="67" spans="1:32">
      <c r="A67" s="315"/>
      <c r="B67" s="47"/>
      <c r="C67" s="52" t="s">
        <v>1606</v>
      </c>
      <c r="D67" s="47"/>
      <c r="E67" s="47"/>
      <c r="F67" s="47"/>
      <c r="G67" s="47" t="s">
        <v>5240</v>
      </c>
      <c r="H67" s="47" t="s">
        <v>5241</v>
      </c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9" t="s">
        <v>5247</v>
      </c>
      <c r="W67" s="329" t="s">
        <v>5245</v>
      </c>
      <c r="X67" s="310" t="s">
        <v>4802</v>
      </c>
      <c r="Y67" s="310" t="s">
        <v>5246</v>
      </c>
      <c r="Z67" s="310"/>
      <c r="AA67" s="17" t="str" cm="1">
        <f t="array" ref="AA67">a(Y67,Z67,C67,G67,H67,I67,J67,K67,L67,M67,N67,O67,P67,Q67,R67,S67)</f>
        <v>getMbrCerfImprt</v>
      </c>
      <c r="AB67" s="49" t="str" cm="1">
        <f t="array" ref="AB67">"/"&amp; a("",C67) &amp; "/" &amp; a("",D67) &amp; IF(D67&lt;&gt;"","/","") &amp;a("",Y67) &amp; IF(a("",G67,H67,I67,J67,K67,L67,M67,N67,O67,P67,Q67,R67,S67,Z67)&lt;&gt;"","/" &amp; a("",G67,H67,I67,J67,K67,L67,M67,N67,O67,P67,Q67,R67,S67,Z67),"")</f>
        <v>/mbr/get/cerfImprt</v>
      </c>
      <c r="AC67" s="4"/>
      <c r="AD67" s="154"/>
      <c r="AE67" s="154"/>
      <c r="AF67" s="47"/>
    </row>
    <row r="68" spans="1:32">
      <c r="A68" s="315"/>
      <c r="B68" s="47"/>
      <c r="C68" s="52" t="s">
        <v>1606</v>
      </c>
      <c r="D68" s="47"/>
      <c r="E68" s="47"/>
      <c r="F68" s="47"/>
      <c r="G68" s="47" t="s">
        <v>5240</v>
      </c>
      <c r="H68" s="47" t="s">
        <v>5242</v>
      </c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9" t="s">
        <v>5247</v>
      </c>
      <c r="W68" s="329" t="s">
        <v>5099</v>
      </c>
      <c r="X68" s="310" t="s">
        <v>4802</v>
      </c>
      <c r="Y68" s="310" t="s">
        <v>5246</v>
      </c>
      <c r="Z68" s="310"/>
      <c r="AA68" s="17" t="str" cm="1">
        <f t="array" ref="AA68">a(Y68,Z68,C68,G68,H68,I68,J68,K68,L68,M68,N68,O68,P68,Q68,R68,S68)</f>
        <v>getMbrCerfMng</v>
      </c>
      <c r="AB68" s="49" t="str" cm="1">
        <f t="array" ref="AB68">"/"&amp; a("",C68) &amp; "/" &amp; a("",D68) &amp; IF(D68&lt;&gt;"","/","") &amp;a("",Y68) &amp; IF(a("",G68,H68,I68,J68,K68,L68,M68,N68,O68,P68,Q68,R68,S68,Z68)&lt;&gt;"","/" &amp; a("",G68,H68,I68,J68,K68,L68,M68,N68,O68,P68,Q68,R68,S68,Z68),"")</f>
        <v>/mbr/get/cerfMng</v>
      </c>
      <c r="AC68" s="4"/>
      <c r="AD68" s="154"/>
      <c r="AE68" s="154"/>
      <c r="AF68" s="47"/>
    </row>
    <row r="69" spans="1:32">
      <c r="A69" s="315"/>
      <c r="B69" s="47"/>
      <c r="C69" s="52" t="s">
        <v>1606</v>
      </c>
      <c r="D69" s="47"/>
      <c r="E69" s="47"/>
      <c r="F69" s="47"/>
      <c r="G69" s="47" t="s">
        <v>5190</v>
      </c>
      <c r="H69" s="47" t="s">
        <v>5216</v>
      </c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9" t="s">
        <v>5247</v>
      </c>
      <c r="W69" s="329" t="s">
        <v>4497</v>
      </c>
      <c r="X69" s="310" t="s">
        <v>4802</v>
      </c>
      <c r="Y69" s="310" t="s">
        <v>2846</v>
      </c>
      <c r="Z69" s="310"/>
      <c r="AA69" s="17" t="str" cm="1">
        <f t="array" ref="AA69">a(Y69,Z69,C69,G69,H69,I69,J69,K69,L69,M69,N69,O69,P69,Q69,R69,S69)</f>
        <v>selectMbrIdSrch</v>
      </c>
      <c r="AB69" s="49" t="str" cm="1">
        <f t="array" ref="AB69">"/"&amp; a("",C69) &amp; "/" &amp; a("",D69) &amp; IF(D69&lt;&gt;"","/","") &amp;a("",Y69) &amp; IF(a("",G69,H69,I69,J69,K69,L69,M69,N69,O69,P69,Q69,R69,S69,Z69)&lt;&gt;"","/" &amp; a("",G69,H69,I69,J69,K69,L69,M69,N69,O69,P69,Q69,R69,S69,Z69),"")</f>
        <v>/mbr/select/idSrch</v>
      </c>
      <c r="AC69" s="4"/>
      <c r="AD69" s="47"/>
      <c r="AE69" s="47"/>
      <c r="AF69" s="47"/>
    </row>
    <row r="70" spans="1:32">
      <c r="A70" s="315"/>
      <c r="B70" s="47"/>
      <c r="C70" s="52" t="s">
        <v>1606</v>
      </c>
      <c r="D70" s="47"/>
      <c r="E70" s="47"/>
      <c r="F70" s="47"/>
      <c r="G70" s="307" t="s">
        <v>5217</v>
      </c>
      <c r="H70" s="47" t="s">
        <v>5216</v>
      </c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9" t="s">
        <v>5247</v>
      </c>
      <c r="W70" s="329" t="s">
        <v>4500</v>
      </c>
      <c r="X70" s="310" t="s">
        <v>4802</v>
      </c>
      <c r="Y70" s="310" t="s">
        <v>2846</v>
      </c>
      <c r="Z70" s="310"/>
      <c r="AA70" s="17" t="str" cm="1">
        <f t="array" ref="AA70">a(Y70,Z70,C70,G70,H70,I70,J70,K70,L70,M70,N70,O70,P70,Q70,R70,S70)</f>
        <v>selectMbrPwdSrch</v>
      </c>
      <c r="AB70" s="49" t="str" cm="1">
        <f t="array" ref="AB70">"/"&amp; a("",C70) &amp; "/" &amp; a("",D70) &amp; IF(D70&lt;&gt;"","/","") &amp;a("",Y70) &amp; IF(a("",G70,H70,I70,J70,K70,L70,M70,N70,O70,P70,Q70,R70,S70,Z70)&lt;&gt;"","/" &amp; a("",G70,H70,I70,J70,K70,L70,M70,N70,O70,P70,Q70,R70,S70,Z70),"")</f>
        <v>/mbr/select/pwdSrch</v>
      </c>
      <c r="AC70" s="4"/>
      <c r="AD70" s="47"/>
      <c r="AE70" s="47"/>
      <c r="AF70" s="47"/>
    </row>
    <row r="71" spans="1:32">
      <c r="A71" s="315"/>
      <c r="B71" s="47"/>
      <c r="C71" s="52" t="s">
        <v>1606</v>
      </c>
      <c r="D71" s="47"/>
      <c r="E71" s="47"/>
      <c r="F71" s="47"/>
      <c r="G71" s="47" t="s">
        <v>5232</v>
      </c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9" t="s">
        <v>5247</v>
      </c>
      <c r="W71" s="329" t="s">
        <v>5097</v>
      </c>
      <c r="X71" s="310" t="s">
        <v>4802</v>
      </c>
      <c r="Y71" s="310" t="s">
        <v>29</v>
      </c>
      <c r="Z71" s="310"/>
      <c r="AA71" s="17" t="str" cm="1">
        <f t="array" ref="AA71">a(Y71,Z71,C71,G71,H71,I71,J71,K71,L71,M71,N71,O71,P71,Q71,R71,S71)</f>
        <v>updateMbrWhdwl</v>
      </c>
      <c r="AB71" s="49" t="str" cm="1">
        <f t="array" ref="AB71">"/"&amp; a("",C71) &amp; "/" &amp; a("",D71) &amp; IF(D71&lt;&gt;"","/","") &amp;a("",Y71) &amp; IF(a("",G71,H71,I71,J71,K71,L71,M71,N71,O71,P71,Q71,R71,S71,Z71)&lt;&gt;"","/" &amp; a("",G71,H71,I71,J71,K71,L71,M71,N71,O71,P71,Q71,R71,S71,Z71),"")</f>
        <v>/mbr/update/whdwl</v>
      </c>
      <c r="AC71" s="4"/>
      <c r="AD71" s="154"/>
      <c r="AE71" s="154"/>
      <c r="AF71" s="47"/>
    </row>
    <row r="72" spans="1:32">
      <c r="A72" s="315"/>
      <c r="B72" s="47"/>
      <c r="C72" s="52" t="s">
        <v>1606</v>
      </c>
      <c r="D72" s="47"/>
      <c r="E72" s="47"/>
      <c r="F72" s="47"/>
      <c r="G72" s="307" t="s">
        <v>1268</v>
      </c>
      <c r="H72" s="47"/>
      <c r="I72" s="47"/>
      <c r="J72" s="47"/>
      <c r="K72" s="47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310" t="s">
        <v>5173</v>
      </c>
      <c r="W72" s="329" t="s">
        <v>5192</v>
      </c>
      <c r="X72" s="310" t="s">
        <v>5173</v>
      </c>
      <c r="Y72" s="310" t="s">
        <v>5173</v>
      </c>
      <c r="Z72" s="310"/>
      <c r="AA72" s="17" t="str" cm="1">
        <f t="array" ref="AA72">"/"&amp; a("",C72) &amp; "/" &amp; (IF(Z72&lt;&gt;"",Z72&amp;"/","")) &amp; b("",G72,H72,I72,J72,K72,L72,M72,N72,O72,P72,Q72,R72,S72) &amp;"."&amp;Y72</f>
        <v>/mbr/join.jsp</v>
      </c>
      <c r="AB72" s="49"/>
      <c r="AC72" s="4"/>
      <c r="AD72" s="47"/>
      <c r="AE72" s="47"/>
      <c r="AF72" s="47"/>
    </row>
    <row r="73" spans="1:32">
      <c r="A73" s="315"/>
      <c r="B73" s="47"/>
      <c r="C73" s="52" t="s">
        <v>1606</v>
      </c>
      <c r="D73" s="47"/>
      <c r="E73" s="47"/>
      <c r="F73" s="47"/>
      <c r="G73" s="307" t="s">
        <v>5204</v>
      </c>
      <c r="H73" s="47" t="s">
        <v>4</v>
      </c>
      <c r="I73" s="47" t="s">
        <v>5205</v>
      </c>
      <c r="J73" s="47" t="s">
        <v>5206</v>
      </c>
      <c r="K73" s="47" t="s">
        <v>5207</v>
      </c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310" t="s">
        <v>5173</v>
      </c>
      <c r="W73" s="329" t="s">
        <v>5211</v>
      </c>
      <c r="X73" s="310" t="s">
        <v>5173</v>
      </c>
      <c r="Y73" s="310" t="s">
        <v>5173</v>
      </c>
      <c r="Z73" s="310"/>
      <c r="AA73" s="17" t="str" cm="1">
        <f t="array" ref="AA73">"/"&amp; a("",C73) &amp; "/" &amp; (IF(Z73&lt;&gt;"",Z73&amp;"/","")) &amp; b("",G73,H73,I73,J73,K73,L73,M73,N73,O73,P73,Q73,R73,S73) &amp;"."&amp;Y73</f>
        <v>/mbr/indi_info_clct_use_agr.jsp</v>
      </c>
      <c r="AB73" s="49"/>
      <c r="AC73" s="4"/>
      <c r="AD73" s="47"/>
      <c r="AE73" s="47"/>
      <c r="AF73" s="47"/>
    </row>
    <row r="74" spans="1:32">
      <c r="A74" s="315"/>
      <c r="B74" s="47"/>
      <c r="C74" s="52" t="s">
        <v>1606</v>
      </c>
      <c r="D74" s="47"/>
      <c r="E74" s="47"/>
      <c r="F74" s="47"/>
      <c r="G74" s="307" t="s">
        <v>5208</v>
      </c>
      <c r="H74" s="47" t="s">
        <v>60</v>
      </c>
      <c r="I74" s="47"/>
      <c r="J74" s="47"/>
      <c r="K74" s="47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310" t="s">
        <v>5173</v>
      </c>
      <c r="W74" s="329" t="s">
        <v>5210</v>
      </c>
      <c r="X74" s="310" t="s">
        <v>5173</v>
      </c>
      <c r="Y74" s="310" t="s">
        <v>5173</v>
      </c>
      <c r="Z74" s="310"/>
      <c r="AA74" s="17" t="str" cm="1">
        <f t="array" ref="AA74">"/"&amp; a("",C74) &amp; "/" &amp; (IF(Z74&lt;&gt;"",Z74&amp;"/","")) &amp; b("",G74,H74,I74,J74,K74,L74,M74,N74,O74,P74,Q74,R74,S74) &amp;"."&amp;Y74</f>
        <v>/mbr/own_cnfm.jsp</v>
      </c>
      <c r="AB74" s="49"/>
      <c r="AC74" s="4"/>
      <c r="AD74" s="47"/>
      <c r="AE74" s="47"/>
      <c r="AF74" s="47"/>
    </row>
    <row r="75" spans="1:32">
      <c r="A75" s="315"/>
      <c r="B75" s="47"/>
      <c r="C75" s="52" t="s">
        <v>1606</v>
      </c>
      <c r="D75" s="47"/>
      <c r="E75" s="47"/>
      <c r="F75" s="47"/>
      <c r="G75" s="47" t="s">
        <v>5190</v>
      </c>
      <c r="H75" s="47" t="s">
        <v>5216</v>
      </c>
      <c r="I75" s="47"/>
      <c r="J75" s="47"/>
      <c r="K75" s="47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310" t="s">
        <v>5173</v>
      </c>
      <c r="W75" s="329" t="s">
        <v>4497</v>
      </c>
      <c r="X75" s="310" t="s">
        <v>5173</v>
      </c>
      <c r="Y75" s="310" t="s">
        <v>5173</v>
      </c>
      <c r="Z75" s="310"/>
      <c r="AA75" s="17" t="str" cm="1">
        <f t="array" ref="AA75">"/"&amp; a("",C75) &amp; "/" &amp; (IF(Z75&lt;&gt;"",Z75&amp;"/","")) &amp; b("",G75,H75,I75,J75,K75,L75,M75,N75,O75,P75,Q75,R75,S75) &amp;"."&amp;Y75</f>
        <v>/mbr/id_srch.jsp</v>
      </c>
      <c r="AB75" s="49"/>
      <c r="AC75" s="4"/>
      <c r="AD75" s="47"/>
      <c r="AE75" s="47"/>
      <c r="AF75" s="47"/>
    </row>
    <row r="76" spans="1:32">
      <c r="A76" s="315"/>
      <c r="B76" s="47"/>
      <c r="C76" s="52" t="s">
        <v>1606</v>
      </c>
      <c r="D76" s="47"/>
      <c r="E76" s="47"/>
      <c r="F76" s="47"/>
      <c r="G76" s="307" t="s">
        <v>5217</v>
      </c>
      <c r="H76" s="47" t="s">
        <v>5216</v>
      </c>
      <c r="I76" s="47"/>
      <c r="J76" s="47"/>
      <c r="K76" s="47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310" t="s">
        <v>5173</v>
      </c>
      <c r="W76" s="329" t="s">
        <v>4500</v>
      </c>
      <c r="X76" s="310" t="s">
        <v>5173</v>
      </c>
      <c r="Y76" s="310" t="s">
        <v>5173</v>
      </c>
      <c r="Z76" s="310"/>
      <c r="AA76" s="17" t="str" cm="1">
        <f t="array" ref="AA76">"/"&amp; a("",C76) &amp; "/" &amp; (IF(Z76&lt;&gt;"",Z76&amp;"/","")) &amp; b("",G76,H76,I76,J76,K76,L76,M76,N76,O76,P76,Q76,R76,S76) &amp;"."&amp;Y76</f>
        <v>/mbr/pwd_srch.jsp</v>
      </c>
      <c r="AB76" s="49"/>
      <c r="AC76" s="4"/>
      <c r="AD76" s="47"/>
      <c r="AE76" s="47"/>
      <c r="AF76" s="47"/>
    </row>
    <row r="77" spans="1:32">
      <c r="A77" s="315"/>
      <c r="B77" s="47"/>
      <c r="C77" s="52" t="s">
        <v>1606</v>
      </c>
      <c r="D77" s="47"/>
      <c r="E77" s="47"/>
      <c r="F77" s="47"/>
      <c r="G77" s="307" t="s">
        <v>5212</v>
      </c>
      <c r="H77" s="47" t="s">
        <v>61</v>
      </c>
      <c r="I77" s="47"/>
      <c r="J77" s="47"/>
      <c r="K77" s="47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310" t="s">
        <v>5173</v>
      </c>
      <c r="W77" s="329" t="s">
        <v>5214</v>
      </c>
      <c r="X77" s="310" t="s">
        <v>5173</v>
      </c>
      <c r="Y77" s="310" t="s">
        <v>5173</v>
      </c>
      <c r="Z77" s="310"/>
      <c r="AA77" s="17" t="str" cm="1">
        <f t="array" ref="AA77">"/"&amp; a("",C77) &amp; "/" &amp; (IF(Z77&lt;&gt;"",Z77&amp;"/","")) &amp; b("",G77,H77,I77,J77,K77,L77,M77,N77,O77,P77,Q77,R77,S77) &amp;"."&amp;Y77</f>
        <v>/mbr/auth_cert.jsp</v>
      </c>
      <c r="AB77" s="49"/>
      <c r="AC77" s="4"/>
      <c r="AD77" s="47"/>
      <c r="AE77" s="47"/>
      <c r="AF77" s="47"/>
    </row>
    <row r="78" spans="1:32">
      <c r="A78" s="315"/>
      <c r="B78" s="47"/>
      <c r="C78" s="52" t="s">
        <v>1606</v>
      </c>
      <c r="D78" s="47"/>
      <c r="E78" s="47"/>
      <c r="F78" s="47"/>
      <c r="G78" s="307" t="s">
        <v>5232</v>
      </c>
      <c r="H78" s="47"/>
      <c r="I78" s="47"/>
      <c r="J78" s="47"/>
      <c r="K78" s="47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310" t="s">
        <v>5173</v>
      </c>
      <c r="W78" s="44" t="s">
        <v>5225</v>
      </c>
      <c r="X78" s="310" t="s">
        <v>5173</v>
      </c>
      <c r="Y78" s="310" t="s">
        <v>5173</v>
      </c>
      <c r="Z78" s="310"/>
      <c r="AA78" s="17" t="str" cm="1">
        <f t="array" ref="AA78">"/"&amp; a("",C78) &amp; "/" &amp; (IF(Z78&lt;&gt;"",Z78&amp;"/","")) &amp; b("",G78,H78,I78,J78,K78,L78,M78,N78,O78,P78,Q78,R78,S78) &amp;"."&amp;Y78</f>
        <v>/mbr/whdwl.jsp</v>
      </c>
      <c r="AB78" s="49"/>
      <c r="AC78" s="4"/>
      <c r="AD78" s="47"/>
      <c r="AE78" s="47"/>
      <c r="AF78" s="47"/>
    </row>
    <row r="79" spans="1:32">
      <c r="A79" s="315"/>
      <c r="B79" s="52"/>
      <c r="C79" s="52" t="s">
        <v>1606</v>
      </c>
      <c r="D79" s="52" t="str" cm="1">
        <f t="array" ref="D79">"kr.go.prpr.app."&amp;a("",C79)&amp;"."&amp;LOWER(IF(Z79="Controller","web",Z79))</f>
        <v>kr.go.prpr.app.mbr.service</v>
      </c>
      <c r="E79" s="52"/>
      <c r="F79" s="52"/>
      <c r="G79" s="52" t="s">
        <v>1268</v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312" t="s">
        <v>5177</v>
      </c>
      <c r="W79" s="55" t="s">
        <v>5196</v>
      </c>
      <c r="X79" s="312" t="s">
        <v>5176</v>
      </c>
      <c r="Y79" s="312" t="s">
        <v>5167</v>
      </c>
      <c r="Z79" s="312" t="s">
        <v>5177</v>
      </c>
      <c r="AA79" s="13" t="str" cm="1">
        <f t="array" ref="AA79">a("class",C79,G79,H79,I79,J79,K79,L79,M79,N79,O79,P79,Q79,R79,S79) &amp; Z79 &amp; "." &amp; Y79</f>
        <v>MbrJoinService.Java</v>
      </c>
      <c r="AB79" s="49"/>
      <c r="AC79" s="4"/>
      <c r="AD79" s="47"/>
      <c r="AE79" s="47"/>
      <c r="AF79" s="47"/>
    </row>
    <row r="80" spans="1:32">
      <c r="A80" s="315"/>
      <c r="B80" s="52"/>
      <c r="C80" s="52" t="s">
        <v>1606</v>
      </c>
      <c r="D80" s="52" t="str" cm="1">
        <f t="array" ref="D80">"kr.go.prpr.app."&amp;a("",C80)&amp;"."&amp;LOWER(IF(Z80="Controller","web",Z80))</f>
        <v>kr.go.prpr.app.mbr.serviceimpl</v>
      </c>
      <c r="E80" s="52"/>
      <c r="F80" s="52"/>
      <c r="G80" s="52" t="s">
        <v>1268</v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312" t="s">
        <v>5178</v>
      </c>
      <c r="W80" s="55" t="s">
        <v>5195</v>
      </c>
      <c r="X80" s="312" t="s">
        <v>5176</v>
      </c>
      <c r="Y80" s="312" t="s">
        <v>5167</v>
      </c>
      <c r="Z80" s="312" t="s">
        <v>5178</v>
      </c>
      <c r="AA80" s="13" t="str" cm="1">
        <f t="array" ref="AA80">a("class",C80,G80,H80,I80,J80,K80,L80,M80,N80,O80,P80,Q80,R80,S80) &amp; Z80 &amp; "." &amp; Y80</f>
        <v>MbrJoinServiceImpl.Java</v>
      </c>
      <c r="AB80" s="49"/>
      <c r="AC80" s="4"/>
      <c r="AD80" s="47"/>
      <c r="AE80" s="47"/>
      <c r="AF80" s="47"/>
    </row>
    <row r="81" spans="1:32">
      <c r="A81" s="315"/>
      <c r="B81" s="47"/>
      <c r="C81" s="52" t="s">
        <v>1606</v>
      </c>
      <c r="D81" s="47"/>
      <c r="E81" s="47"/>
      <c r="F81" s="47"/>
      <c r="G81" s="47" t="s">
        <v>5190</v>
      </c>
      <c r="H81" s="47" t="s">
        <v>5191</v>
      </c>
      <c r="I81" s="47" t="s">
        <v>60</v>
      </c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50" t="s">
        <v>5250</v>
      </c>
      <c r="W81" s="330" t="s">
        <v>4487</v>
      </c>
      <c r="X81" s="310" t="s">
        <v>5176</v>
      </c>
      <c r="Y81" s="310" t="s">
        <v>5172</v>
      </c>
      <c r="Z81" s="310"/>
      <c r="AA81" s="17" t="str" cm="1">
        <f t="array" ref="AA81">a(Y81,Z81,C81,G81,H81,I81,J81,K81,L81,M81,N81,O81,P81,Q81,R81,S81)</f>
        <v>selectMbrIdDupCnfm</v>
      </c>
      <c r="AB81" s="49"/>
      <c r="AC81" s="4"/>
      <c r="AD81" s="47"/>
      <c r="AE81" s="47"/>
      <c r="AF81" s="47"/>
    </row>
    <row r="82" spans="1:32">
      <c r="A82" s="315"/>
      <c r="B82" s="47"/>
      <c r="C82" s="52" t="s">
        <v>1606</v>
      </c>
      <c r="D82" s="47"/>
      <c r="E82" s="47"/>
      <c r="F82" s="47"/>
      <c r="G82" s="47" t="s">
        <v>1268</v>
      </c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50" t="s">
        <v>5250</v>
      </c>
      <c r="W82" s="330" t="s">
        <v>5192</v>
      </c>
      <c r="X82" s="310" t="s">
        <v>5176</v>
      </c>
      <c r="Y82" s="310" t="s">
        <v>2847</v>
      </c>
      <c r="Z82" s="310"/>
      <c r="AA82" s="17" t="str" cm="1">
        <f t="array" ref="AA82">a(Y82,Z82,C82,G82,H82,I82,J82,K82,L82,M82,N82,O82,P82,Q82,R82,S82)</f>
        <v>insertMbrJoin</v>
      </c>
      <c r="AB82" s="49"/>
      <c r="AC82" s="4"/>
      <c r="AD82" s="47"/>
      <c r="AE82" s="47"/>
      <c r="AF82" s="47"/>
    </row>
    <row r="83" spans="1:32">
      <c r="A83" s="315"/>
      <c r="B83" s="47"/>
      <c r="C83" s="52" t="s">
        <v>1606</v>
      </c>
      <c r="D83" s="47"/>
      <c r="E83" s="47"/>
      <c r="F83" s="47"/>
      <c r="G83" s="47" t="s">
        <v>5199</v>
      </c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50" t="s">
        <v>5250</v>
      </c>
      <c r="W83" s="330" t="s">
        <v>4489</v>
      </c>
      <c r="X83" s="310" t="s">
        <v>5176</v>
      </c>
      <c r="Y83" s="310" t="s">
        <v>5172</v>
      </c>
      <c r="Z83" s="310"/>
      <c r="AA83" s="17" t="str" cm="1">
        <f t="array" ref="AA83">a(Y83,Z83,C83,G83,H83,I83,J83,K83,L83,M83,N83,O83,P83,Q83,R83,S83)</f>
        <v>selectMbrHp</v>
      </c>
      <c r="AB83" s="49"/>
      <c r="AC83" s="4"/>
      <c r="AD83" s="47"/>
      <c r="AE83" s="47"/>
      <c r="AF83" s="47"/>
    </row>
    <row r="84" spans="1:32">
      <c r="A84" s="315"/>
      <c r="B84" s="47"/>
      <c r="C84" s="52" t="s">
        <v>1606</v>
      </c>
      <c r="D84" s="47"/>
      <c r="E84" s="47"/>
      <c r="F84" s="47"/>
      <c r="G84" s="47" t="s">
        <v>5190</v>
      </c>
      <c r="H84" s="47" t="s">
        <v>5216</v>
      </c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50" t="s">
        <v>5250</v>
      </c>
      <c r="W84" s="329" t="s">
        <v>4497</v>
      </c>
      <c r="X84" s="310" t="s">
        <v>5176</v>
      </c>
      <c r="Y84" s="310" t="s">
        <v>5172</v>
      </c>
      <c r="Z84" s="310"/>
      <c r="AA84" s="17" t="str" cm="1">
        <f t="array" ref="AA84">a(Y84,Z84,C84,G84,H84,I84,J84,K84,L84,M84,N84,O84,P84,Q84,R84,S84)</f>
        <v>selectMbrIdSrch</v>
      </c>
      <c r="AB84" s="49"/>
      <c r="AC84" s="4"/>
      <c r="AD84" s="47"/>
      <c r="AE84" s="47"/>
      <c r="AF84" s="47"/>
    </row>
    <row r="85" spans="1:32">
      <c r="A85" s="315"/>
      <c r="B85" s="47"/>
      <c r="C85" s="52" t="s">
        <v>1606</v>
      </c>
      <c r="D85" s="47"/>
      <c r="E85" s="47"/>
      <c r="F85" s="47"/>
      <c r="G85" s="307" t="s">
        <v>5217</v>
      </c>
      <c r="H85" s="47" t="s">
        <v>5216</v>
      </c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50" t="s">
        <v>5250</v>
      </c>
      <c r="W85" s="329" t="s">
        <v>4500</v>
      </c>
      <c r="X85" s="310" t="s">
        <v>5176</v>
      </c>
      <c r="Y85" s="310" t="s">
        <v>5172</v>
      </c>
      <c r="Z85" s="310"/>
      <c r="AA85" s="17" t="str" cm="1">
        <f t="array" ref="AA85">a(Y85,Z85,C85,G85,H85,I85,J85,K85,L85,M85,N85,O85,P85,Q85,R85,S85)</f>
        <v>selectMbrPwdSrch</v>
      </c>
      <c r="AB85" s="49"/>
      <c r="AC85" s="4"/>
      <c r="AD85" s="47"/>
      <c r="AE85" s="47"/>
      <c r="AF85" s="47"/>
    </row>
    <row r="86" spans="1:32">
      <c r="A86" s="315"/>
      <c r="B86" s="47"/>
      <c r="C86" s="52" t="s">
        <v>1606</v>
      </c>
      <c r="D86" s="47"/>
      <c r="E86" s="47"/>
      <c r="F86" s="47"/>
      <c r="G86" s="47" t="s">
        <v>5232</v>
      </c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50"/>
      <c r="W86" s="329" t="s">
        <v>5097</v>
      </c>
      <c r="X86" s="310" t="s">
        <v>5176</v>
      </c>
      <c r="Y86" s="310" t="s">
        <v>29</v>
      </c>
      <c r="Z86" s="310"/>
      <c r="AA86" s="17" t="str" cm="1">
        <f t="array" ref="AA86">a(Y86,Z86,C86,G86,H86,I86,J86,K86,L86,M86,N86,O86,P86,Q86,R86,S86)</f>
        <v>updateMbrWhdwl</v>
      </c>
      <c r="AB86" s="49"/>
      <c r="AC86" s="4"/>
      <c r="AD86" s="47"/>
      <c r="AE86" s="47"/>
      <c r="AF86" s="47"/>
    </row>
    <row r="87" spans="1:32">
      <c r="A87" s="315"/>
      <c r="B87" s="52"/>
      <c r="C87" s="52" t="s">
        <v>1606</v>
      </c>
      <c r="D87" s="52"/>
      <c r="E87" s="52"/>
      <c r="F87" s="52"/>
      <c r="G87" s="52" t="s">
        <v>1268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312" t="s">
        <v>5251</v>
      </c>
      <c r="W87" s="55" t="s">
        <v>5194</v>
      </c>
      <c r="X87" s="312" t="s">
        <v>5184</v>
      </c>
      <c r="Y87" s="312" t="s">
        <v>5185</v>
      </c>
      <c r="Z87" s="312" t="s">
        <v>5186</v>
      </c>
      <c r="AA87" s="13" t="str" cm="1">
        <f t="array" ref="AA87">"/"&amp; a("",C87) &amp; "/" &amp; a("class",C87,G87,H87,I87,J87,K87,L87,M87,N87,O87,P87,Q87,R87,S87) &amp; Z87 &amp; "." &amp; Y87</f>
        <v>/mbr/MbrJoinServiceSQL.xml</v>
      </c>
      <c r="AB87" s="49"/>
      <c r="AC87" s="4"/>
      <c r="AD87" s="47"/>
      <c r="AE87" s="47"/>
      <c r="AF87" s="47"/>
    </row>
    <row r="88" spans="1:32">
      <c r="A88" s="315"/>
      <c r="B88" s="47"/>
      <c r="C88" s="52" t="s">
        <v>1606</v>
      </c>
      <c r="D88" s="47"/>
      <c r="E88" s="47"/>
      <c r="F88" s="47"/>
      <c r="G88" s="47" t="s">
        <v>5190</v>
      </c>
      <c r="H88" s="47" t="s">
        <v>5191</v>
      </c>
      <c r="I88" s="47" t="s">
        <v>60</v>
      </c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50" t="s">
        <v>2848</v>
      </c>
      <c r="W88" s="330" t="s">
        <v>4487</v>
      </c>
      <c r="X88" s="310" t="s">
        <v>5179</v>
      </c>
      <c r="Y88" s="310" t="s">
        <v>5172</v>
      </c>
      <c r="Z88" s="310"/>
      <c r="AA88" s="17" t="str" cm="1">
        <f t="array" ref="AA88">a(Y88,Z88,C88,G88,H88,I88,J88,K88,L88,M88,N88,O88,P88,Q88,R88,S88)</f>
        <v>selectMbrIdDupCnfm</v>
      </c>
      <c r="AB88" s="49"/>
      <c r="AC88" s="4"/>
      <c r="AD88" s="47"/>
      <c r="AE88" s="47"/>
      <c r="AF88" s="47"/>
    </row>
    <row r="89" spans="1:32">
      <c r="A89" s="315"/>
      <c r="B89" s="47"/>
      <c r="C89" s="52" t="s">
        <v>1606</v>
      </c>
      <c r="D89" s="47"/>
      <c r="E89" s="47"/>
      <c r="F89" s="47"/>
      <c r="G89" s="47" t="s">
        <v>1268</v>
      </c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50" t="s">
        <v>2848</v>
      </c>
      <c r="W89" s="330" t="s">
        <v>5192</v>
      </c>
      <c r="X89" s="310" t="s">
        <v>5179</v>
      </c>
      <c r="Y89" s="310" t="s">
        <v>2847</v>
      </c>
      <c r="Z89" s="310"/>
      <c r="AA89" s="17" t="str" cm="1">
        <f t="array" ref="AA89">a(Y89,Z89,C89,G89,H89,I89,J89,K89,L89,M89,N89,O89,P89,Q89,R89,S89)</f>
        <v>insertMbrJoin</v>
      </c>
      <c r="AB89" s="49"/>
      <c r="AC89" s="4"/>
      <c r="AD89" s="47"/>
      <c r="AE89" s="47"/>
      <c r="AF89" s="47"/>
    </row>
    <row r="90" spans="1:32">
      <c r="A90" s="315"/>
      <c r="B90" s="47"/>
      <c r="C90" s="52" t="s">
        <v>1606</v>
      </c>
      <c r="D90" s="47"/>
      <c r="E90" s="47"/>
      <c r="F90" s="47"/>
      <c r="G90" s="47" t="s">
        <v>5199</v>
      </c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50" t="s">
        <v>2848</v>
      </c>
      <c r="W90" s="330" t="s">
        <v>4489</v>
      </c>
      <c r="X90" s="310" t="s">
        <v>5179</v>
      </c>
      <c r="Y90" s="310" t="s">
        <v>5172</v>
      </c>
      <c r="Z90" s="310"/>
      <c r="AA90" s="17" t="str" cm="1">
        <f t="array" ref="AA90">a(Y90,Z90,C90,G90,H90,I90,J90,K90,L90,M90,N90,O90,P90,Q90,R90,S90)</f>
        <v>selectMbrHp</v>
      </c>
      <c r="AB90" s="49"/>
      <c r="AC90" s="4"/>
      <c r="AD90" s="47"/>
      <c r="AE90" s="47"/>
      <c r="AF90" s="47"/>
    </row>
    <row r="91" spans="1:32">
      <c r="A91" s="315"/>
      <c r="B91" s="47"/>
      <c r="C91" s="52" t="s">
        <v>1606</v>
      </c>
      <c r="D91" s="47"/>
      <c r="E91" s="47"/>
      <c r="F91" s="47"/>
      <c r="G91" s="47" t="s">
        <v>5190</v>
      </c>
      <c r="H91" s="47" t="s">
        <v>5216</v>
      </c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50" t="s">
        <v>2848</v>
      </c>
      <c r="W91" s="329" t="s">
        <v>4497</v>
      </c>
      <c r="X91" s="310" t="s">
        <v>5179</v>
      </c>
      <c r="Y91" s="310" t="s">
        <v>5172</v>
      </c>
      <c r="Z91" s="310"/>
      <c r="AA91" s="17" t="str" cm="1">
        <f t="array" ref="AA91">a(Y91,Z91,C91,G91,H91,I91,J91,K91,L91,M91,N91,O91,P91,Q91,R91,S91)</f>
        <v>selectMbrIdSrch</v>
      </c>
      <c r="AB91" s="49"/>
      <c r="AC91" s="4"/>
      <c r="AD91" s="47"/>
      <c r="AE91" s="47"/>
      <c r="AF91" s="47"/>
    </row>
    <row r="92" spans="1:32">
      <c r="A92" s="315"/>
      <c r="B92" s="47"/>
      <c r="C92" s="52" t="s">
        <v>1606</v>
      </c>
      <c r="D92" s="47"/>
      <c r="E92" s="47"/>
      <c r="F92" s="47"/>
      <c r="G92" s="307" t="s">
        <v>5217</v>
      </c>
      <c r="H92" s="47" t="s">
        <v>5216</v>
      </c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50" t="s">
        <v>2848</v>
      </c>
      <c r="W92" s="329" t="s">
        <v>4500</v>
      </c>
      <c r="X92" s="310" t="s">
        <v>5179</v>
      </c>
      <c r="Y92" s="310" t="s">
        <v>5172</v>
      </c>
      <c r="Z92" s="310"/>
      <c r="AA92" s="17" t="str" cm="1">
        <f t="array" ref="AA92">a(Y92,Z92,C92,G92,H92,I92,J92,K92,L92,M92,N92,O92,P92,Q92,R92,S92)</f>
        <v>selectMbrPwdSrch</v>
      </c>
      <c r="AB92" s="49"/>
      <c r="AC92" s="4"/>
      <c r="AD92" s="47"/>
      <c r="AE92" s="47"/>
      <c r="AF92" s="47"/>
    </row>
    <row r="93" spans="1:32">
      <c r="A93" s="315"/>
      <c r="B93" s="47"/>
      <c r="C93" s="52" t="s">
        <v>1606</v>
      </c>
      <c r="D93" s="47"/>
      <c r="E93" s="47"/>
      <c r="F93" s="47"/>
      <c r="G93" s="47" t="s">
        <v>5232</v>
      </c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50"/>
      <c r="W93" s="329" t="s">
        <v>5097</v>
      </c>
      <c r="X93" s="310" t="s">
        <v>5179</v>
      </c>
      <c r="Y93" s="310" t="s">
        <v>29</v>
      </c>
      <c r="Z93" s="310"/>
      <c r="AA93" s="17" t="str" cm="1">
        <f t="array" ref="AA93">a(Y93,Z93,C93,G93,H93,I93,J93,K93,L93,M93,N93,O93,P93,Q93,R93,S93)</f>
        <v>updateMbrWhdwl</v>
      </c>
      <c r="AB93" s="49"/>
      <c r="AC93" s="4"/>
      <c r="AD93" s="47"/>
      <c r="AE93" s="47"/>
      <c r="AF93" s="47"/>
    </row>
    <row r="94" spans="1:32">
      <c r="A94" s="315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50"/>
      <c r="W94" s="48"/>
      <c r="AA94" s="47"/>
      <c r="AB94" s="47"/>
      <c r="AC94" s="4"/>
      <c r="AD94" s="47"/>
      <c r="AE94" s="47"/>
      <c r="AF94" s="47"/>
    </row>
    <row r="95" spans="1:32">
      <c r="A95" s="314"/>
      <c r="B95" s="52"/>
      <c r="C95" s="52" t="s">
        <v>5219</v>
      </c>
      <c r="D95" s="52" t="str" cm="1">
        <f t="array" ref="D95">"kr.go.prpr.app."&amp;a("",C95)&amp;"."&amp;LOWER(IF(Z95="Controller","web",Z95))</f>
        <v>kr.go.prpr.app.my.web</v>
      </c>
      <c r="E95" s="52"/>
      <c r="F95" s="52"/>
      <c r="G95" s="52" t="s">
        <v>5221</v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311"/>
      <c r="W95" s="55" t="s">
        <v>5248</v>
      </c>
      <c r="X95" s="312" t="s">
        <v>4802</v>
      </c>
      <c r="Y95" s="312" t="s">
        <v>5167</v>
      </c>
      <c r="Z95" s="312" t="s">
        <v>5168</v>
      </c>
      <c r="AA95" s="13" t="str" cm="1">
        <f t="array" ref="AA95">a("class",C95,G95,H95,I95,J95,K95,L95,M95) &amp; Z95 &amp; "." &amp; Y95</f>
        <v>MyMenuController.Java</v>
      </c>
      <c r="AB95" s="49"/>
      <c r="AC95" s="4"/>
      <c r="AD95" s="47"/>
      <c r="AE95" s="47"/>
      <c r="AF95" s="47"/>
    </row>
    <row r="96" spans="1:32">
      <c r="A96" s="316" t="s">
        <v>4501</v>
      </c>
      <c r="B96" s="47"/>
      <c r="C96" s="52" t="s">
        <v>5218</v>
      </c>
      <c r="D96" s="47"/>
      <c r="E96" s="47"/>
      <c r="F96" s="47"/>
      <c r="G96" s="47" t="s">
        <v>5221</v>
      </c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50" t="s">
        <v>1941</v>
      </c>
      <c r="W96" s="328" t="s">
        <v>5223</v>
      </c>
      <c r="X96" s="310" t="s">
        <v>4802</v>
      </c>
      <c r="Y96" s="310" t="s">
        <v>5166</v>
      </c>
      <c r="Z96" s="310"/>
      <c r="AA96" s="17" t="str" cm="1">
        <f t="array" ref="AA96">a(Y96,Z96,C96,G96,H96,I96,J96,K96,L96,M96)</f>
        <v>viewMyMenu</v>
      </c>
      <c r="AB96" s="49" t="str" cm="1">
        <f t="array" ref="AB96">"/"&amp; a("",C96) &amp; "/" &amp; a("",G96,H96,I96,J96,K96,L96,M96,N96,O96,P96,Q96,R96,S96,"",Z96) &amp;".do"</f>
        <v>/my/menu.do</v>
      </c>
      <c r="AC96" s="4"/>
      <c r="AD96" s="154">
        <v>44525</v>
      </c>
      <c r="AE96" s="154">
        <v>44529</v>
      </c>
      <c r="AF96" s="47"/>
    </row>
    <row r="97" spans="1:32">
      <c r="A97" s="316" t="s">
        <v>4505</v>
      </c>
      <c r="B97" s="47"/>
      <c r="C97" s="52" t="s">
        <v>5218</v>
      </c>
      <c r="D97" s="47"/>
      <c r="E97" s="47"/>
      <c r="F97" s="47"/>
      <c r="G97" s="307" t="s">
        <v>5217</v>
      </c>
      <c r="H97" s="47" t="s">
        <v>5231</v>
      </c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50" t="s">
        <v>1941</v>
      </c>
      <c r="W97" s="44" t="s">
        <v>5224</v>
      </c>
      <c r="X97" s="310" t="s">
        <v>4802</v>
      </c>
      <c r="Y97" s="310" t="s">
        <v>5166</v>
      </c>
      <c r="Z97" s="310"/>
      <c r="AA97" s="17" t="str" cm="1">
        <f t="array" ref="AA97">a(Y97,Z97,C97,G97,H97,I97,J97,K97,L97,M97)</f>
        <v>viewMyPwdChg</v>
      </c>
      <c r="AB97" s="49" t="str" cm="1">
        <f t="array" ref="AB97">"/"&amp; a("",C97) &amp; "/" &amp; a("",G97,H97,I97,J97,K97,L97,M97,N97,O97,P97,Q97,R97,S97,"",Z97) &amp;".do"</f>
        <v>/my/pwdChg.do</v>
      </c>
      <c r="AC97" s="4"/>
      <c r="AD97" s="154">
        <v>44530</v>
      </c>
      <c r="AE97" s="154">
        <v>44531</v>
      </c>
      <c r="AF97" s="47"/>
    </row>
    <row r="98" spans="1:32">
      <c r="A98" s="316" t="s">
        <v>5228</v>
      </c>
      <c r="B98" s="47"/>
      <c r="C98" s="52" t="s">
        <v>5218</v>
      </c>
      <c r="D98" s="47"/>
      <c r="E98" s="47"/>
      <c r="F98" s="47"/>
      <c r="G98" s="307" t="s">
        <v>5204</v>
      </c>
      <c r="H98" s="47" t="s">
        <v>4</v>
      </c>
      <c r="I98" s="47" t="s">
        <v>1940</v>
      </c>
      <c r="J98" s="47" t="s">
        <v>5227</v>
      </c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50" t="s">
        <v>1941</v>
      </c>
      <c r="W98" s="44" t="s">
        <v>5226</v>
      </c>
      <c r="X98" s="310" t="s">
        <v>4802</v>
      </c>
      <c r="Y98" s="310" t="s">
        <v>5166</v>
      </c>
      <c r="Z98" s="310"/>
      <c r="AA98" s="17" t="str" cm="1">
        <f t="array" ref="AA98">a(Y98,Z98,C98,G98,H98,I98,J98,K98,L98,M98)</f>
        <v>viewMyIndiInfoPrcsGdln</v>
      </c>
      <c r="AB98" s="49" t="str" cm="1">
        <f t="array" ref="AB98">"/"&amp; a("",C98) &amp; "/" &amp; a("",G98,H98,I98,J98,K98,L98,M98,N98,O98,P98,Q98,R98,S98,"",Z98) &amp;".do"</f>
        <v>/my/indiInfoPrcsGdln.do</v>
      </c>
      <c r="AC98" s="4"/>
      <c r="AD98" s="154">
        <v>44536</v>
      </c>
      <c r="AE98" s="154">
        <v>44536</v>
      </c>
      <c r="AF98" s="47"/>
    </row>
    <row r="99" spans="1:32">
      <c r="A99" s="315"/>
      <c r="B99" s="47"/>
      <c r="C99" s="52" t="s">
        <v>5218</v>
      </c>
      <c r="D99" s="47"/>
      <c r="E99" s="47"/>
      <c r="F99" s="47"/>
      <c r="G99" s="47" t="s">
        <v>5233</v>
      </c>
      <c r="H99" s="47" t="s">
        <v>4</v>
      </c>
      <c r="I99" s="47" t="s">
        <v>7</v>
      </c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9" t="s">
        <v>5247</v>
      </c>
      <c r="W99" s="329" t="s">
        <v>5094</v>
      </c>
      <c r="X99" s="310" t="s">
        <v>4802</v>
      </c>
      <c r="Y99" s="310" t="s">
        <v>2846</v>
      </c>
      <c r="Z99" s="310"/>
      <c r="AA99" s="17" t="str" cm="1">
        <f t="array" ref="AA99">a(Y99,Z99,C99,D99,G99,H99,I99,J99,K99,L99,M99,N99,O99,P99,Q99,R99)</f>
        <v>selectMyMyInfoSrch</v>
      </c>
      <c r="AB99" s="49" t="str" cm="1">
        <f t="array" ref="AB99">"/"&amp; a("",C99) &amp; "/" &amp; a("",D99) &amp; IF(D99&lt;&gt;"","/","") &amp;a("",Y99) &amp; IF(a("",G99,H99,I99,J99,K99,L99,M99,N99,O99,P99,Q99,R99,S99,Z99)&lt;&gt;"","/" &amp; a("",G99,H99,I99,J99,K99,L99,M99,N99,O99,P99,Q99,R99,S99,Z99),"")</f>
        <v>/my/select/myInfoSrch</v>
      </c>
      <c r="AC99" s="4"/>
      <c r="AD99" s="47"/>
      <c r="AE99" s="47"/>
      <c r="AF99" s="47"/>
    </row>
    <row r="100" spans="1:32">
      <c r="A100" s="315"/>
      <c r="B100" s="47"/>
      <c r="C100" s="52" t="s">
        <v>5218</v>
      </c>
      <c r="D100" s="47"/>
      <c r="E100" s="47"/>
      <c r="F100" s="47"/>
      <c r="G100" s="47" t="s">
        <v>5235</v>
      </c>
      <c r="H100" s="47" t="s">
        <v>2</v>
      </c>
      <c r="I100" s="47" t="s">
        <v>5236</v>
      </c>
      <c r="J100" s="47" t="s">
        <v>5237</v>
      </c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9" t="s">
        <v>5247</v>
      </c>
      <c r="W100" s="329" t="s">
        <v>5095</v>
      </c>
      <c r="X100" s="310" t="s">
        <v>4802</v>
      </c>
      <c r="Y100" s="310" t="s">
        <v>25</v>
      </c>
      <c r="Z100" s="310"/>
      <c r="AA100" s="17" t="str" cm="1">
        <f t="array" ref="AA100">a(Y100,Z100,C100,D100,G100,H100,I100,J100,K100,L100,M100,N100,O100,P100,Q100,R100)</f>
        <v>saveMyAtLoginOnOff</v>
      </c>
      <c r="AB100" s="49" t="str" cm="1">
        <f t="array" ref="AB100">"/"&amp; a("",C100) &amp; "/" &amp; a("",D100) &amp; IF(D100&lt;&gt;"","/","") &amp;a("",Y100) &amp; IF(a("",G100,H100,I100,J100,K100,L100,M100,N100,O100,P100,Q100,R100,S100,Z100)&lt;&gt;"","/" &amp; a("",G100,H100,I100,J100,K100,L100,M100,N100,O100,P100,Q100,R100,S100,Z100),"")</f>
        <v>/my/save/atLoginOnOff</v>
      </c>
      <c r="AC100" s="4"/>
      <c r="AD100" s="47"/>
      <c r="AE100" s="47"/>
      <c r="AF100" s="47"/>
    </row>
    <row r="101" spans="1:32">
      <c r="A101" s="315"/>
      <c r="B101" s="47"/>
      <c r="C101" s="52" t="s">
        <v>5218</v>
      </c>
      <c r="D101" s="47"/>
      <c r="E101" s="47"/>
      <c r="F101" s="47"/>
      <c r="G101" s="47" t="s">
        <v>5217</v>
      </c>
      <c r="H101" s="47" t="s">
        <v>5231</v>
      </c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9" t="s">
        <v>5247</v>
      </c>
      <c r="W101" s="329" t="s">
        <v>5096</v>
      </c>
      <c r="X101" s="310" t="s">
        <v>4802</v>
      </c>
      <c r="Y101" s="310" t="s">
        <v>29</v>
      </c>
      <c r="Z101" s="310"/>
      <c r="AA101" s="17" t="str" cm="1">
        <f t="array" ref="AA101">a(Y101,Z101,C101,D101,G101,H101,I101,J101,K101,L101,M101,N101,O101,P101,Q101,R101)</f>
        <v>updateMyPwdChg</v>
      </c>
      <c r="AB101" s="49" t="str" cm="1">
        <f t="array" ref="AB101">"/"&amp; a("",C101) &amp; "/" &amp; a("",D101) &amp; IF(D101&lt;&gt;"","/","") &amp;a("",Y101) &amp; IF(a("",G101,H101,I101,J101,K101,L101,M101,N101,O101,P101,Q101,R101,S101,Z101)&lt;&gt;"","/" &amp; a("",G101,H101,I101,J101,K101,L101,M101,N101,O101,P101,Q101,R101,S101,Z101),"")</f>
        <v>/my/update/pwdChg</v>
      </c>
      <c r="AC101" s="4"/>
      <c r="AD101" s="47"/>
      <c r="AE101" s="47"/>
      <c r="AF101" s="47"/>
    </row>
    <row r="102" spans="1:32">
      <c r="A102" s="315"/>
      <c r="B102" s="47"/>
      <c r="C102" s="52" t="s">
        <v>5218</v>
      </c>
      <c r="D102" s="47"/>
      <c r="E102" s="47"/>
      <c r="F102" s="47"/>
      <c r="G102" s="47" t="s">
        <v>5221</v>
      </c>
      <c r="H102" s="47"/>
      <c r="I102" s="47"/>
      <c r="J102" s="47"/>
      <c r="K102" s="47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310" t="s">
        <v>5173</v>
      </c>
      <c r="W102" s="328" t="s">
        <v>5223</v>
      </c>
      <c r="X102" s="310" t="s">
        <v>5173</v>
      </c>
      <c r="Y102" s="310" t="s">
        <v>5173</v>
      </c>
      <c r="Z102" s="310"/>
      <c r="AA102" s="17" t="str" cm="1">
        <f t="array" ref="AA102">"/"&amp; a("",C102) &amp; "/" &amp; (IF(Z102&lt;&gt;"",Z102&amp;"/","")) &amp; b("",G102,H102,I102,J102,K102,L102,M102,N102,O102,P102,Q102,R102,S102) &amp;"."&amp;Y102</f>
        <v>/my/menu.jsp</v>
      </c>
      <c r="AB102" s="49"/>
      <c r="AC102" s="4"/>
      <c r="AD102" s="47"/>
      <c r="AE102" s="47"/>
      <c r="AF102" s="47"/>
    </row>
    <row r="103" spans="1:32">
      <c r="A103" s="315"/>
      <c r="B103" s="47"/>
      <c r="C103" s="52" t="s">
        <v>5218</v>
      </c>
      <c r="D103" s="47"/>
      <c r="E103" s="47"/>
      <c r="F103" s="47"/>
      <c r="G103" s="307" t="s">
        <v>5217</v>
      </c>
      <c r="H103" s="47" t="s">
        <v>5231</v>
      </c>
      <c r="I103" s="47"/>
      <c r="J103" s="47"/>
      <c r="K103" s="47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310" t="s">
        <v>5173</v>
      </c>
      <c r="W103" s="44" t="s">
        <v>5224</v>
      </c>
      <c r="X103" s="310" t="s">
        <v>5173</v>
      </c>
      <c r="Y103" s="310" t="s">
        <v>5173</v>
      </c>
      <c r="Z103" s="310"/>
      <c r="AA103" s="17" t="str" cm="1">
        <f t="array" ref="AA103">"/"&amp; a("",C103) &amp; "/" &amp; (IF(Z103&lt;&gt;"",Z103&amp;"/","")) &amp; b("",G103,H103,I103,J103,K103,L103,M103,N103,O103,P103,Q103,R103,S103) &amp;"."&amp;Y103</f>
        <v>/my/pwd_chg.jsp</v>
      </c>
      <c r="AB103" s="49"/>
      <c r="AC103" s="4"/>
      <c r="AD103" s="47"/>
      <c r="AE103" s="47"/>
      <c r="AF103" s="47"/>
    </row>
    <row r="104" spans="1:32">
      <c r="A104" s="315"/>
      <c r="B104" s="47"/>
      <c r="C104" s="52" t="s">
        <v>5218</v>
      </c>
      <c r="D104" s="47"/>
      <c r="E104" s="47"/>
      <c r="F104" s="47"/>
      <c r="G104" s="307" t="s">
        <v>5204</v>
      </c>
      <c r="H104" s="47" t="s">
        <v>4</v>
      </c>
      <c r="I104" s="47" t="s">
        <v>1940</v>
      </c>
      <c r="J104" s="47" t="s">
        <v>5227</v>
      </c>
      <c r="K104" s="47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310" t="s">
        <v>5173</v>
      </c>
      <c r="W104" s="44" t="s">
        <v>5226</v>
      </c>
      <c r="X104" s="310" t="s">
        <v>5173</v>
      </c>
      <c r="Y104" s="310" t="s">
        <v>5173</v>
      </c>
      <c r="Z104" s="310"/>
      <c r="AA104" s="17" t="str" cm="1">
        <f t="array" ref="AA104">"/"&amp; a("",C104) &amp; "/" &amp; (IF(Z104&lt;&gt;"",Z104&amp;"/","")) &amp; b("",G104,H104,I104,J104,K104,L104,M104,N104,O104,P104,Q104,R104,S104) &amp;"."&amp;Y104</f>
        <v>/my/indi_info_prcs_gdln.jsp</v>
      </c>
      <c r="AB104" s="49"/>
      <c r="AC104" s="4"/>
      <c r="AD104" s="47"/>
      <c r="AE104" s="47"/>
      <c r="AF104" s="47"/>
    </row>
    <row r="105" spans="1:32">
      <c r="A105" s="315"/>
      <c r="B105" s="52"/>
      <c r="C105" s="52" t="s">
        <v>5218</v>
      </c>
      <c r="D105" s="52" t="str" cm="1">
        <f t="array" ref="D105">"kr.go.prpr.app."&amp;a("",C105)&amp;"."&amp;LOWER(IF(Z105="Controller","web",Z105))</f>
        <v>kr.go.prpr.app.my.service</v>
      </c>
      <c r="E105" s="52"/>
      <c r="F105" s="52"/>
      <c r="G105" s="52" t="s">
        <v>177</v>
      </c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311"/>
      <c r="W105" s="55" t="s">
        <v>5238</v>
      </c>
      <c r="X105" s="312" t="s">
        <v>5176</v>
      </c>
      <c r="Y105" s="312" t="s">
        <v>5167</v>
      </c>
      <c r="Z105" s="312" t="s">
        <v>5177</v>
      </c>
      <c r="AA105" s="13" t="str" cm="1">
        <f t="array" ref="AA105">a("class",C105,G105,H105,I105,J105,K105,L105,M105,N105,O105,P105,Q105,R105,S105) &amp; Z105 &amp; "." &amp; Y105</f>
        <v>MyMenuService.Java</v>
      </c>
      <c r="AB105" s="49"/>
      <c r="AC105" s="4"/>
      <c r="AD105" s="47"/>
      <c r="AE105" s="47"/>
      <c r="AF105" s="47"/>
    </row>
    <row r="106" spans="1:32">
      <c r="A106" s="315"/>
      <c r="B106" s="52"/>
      <c r="C106" s="52" t="s">
        <v>5218</v>
      </c>
      <c r="D106" s="52" t="str" cm="1">
        <f t="array" ref="D106">"kr.go.prpr.app."&amp;a("",C106)&amp;"."&amp;LOWER(IF(Z106="Controller","web",Z106))</f>
        <v>kr.go.prpr.app.my.serviceimpl</v>
      </c>
      <c r="E106" s="52"/>
      <c r="F106" s="52"/>
      <c r="G106" s="52" t="s">
        <v>5221</v>
      </c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311"/>
      <c r="W106" s="55" t="s">
        <v>5239</v>
      </c>
      <c r="X106" s="312" t="s">
        <v>5176</v>
      </c>
      <c r="Y106" s="312" t="s">
        <v>5167</v>
      </c>
      <c r="Z106" s="312" t="s">
        <v>5178</v>
      </c>
      <c r="AA106" s="13" t="str" cm="1">
        <f t="array" ref="AA106">a("class",C106,G106,H106,I106,J106,K106,L106,M106,N106,O106,P106,Q106,R106,S106) &amp; Z106 &amp; "." &amp; Y106</f>
        <v>MyMenuServiceImpl.Java</v>
      </c>
      <c r="AB106" s="49"/>
      <c r="AC106" s="4"/>
      <c r="AD106" s="47"/>
      <c r="AE106" s="47"/>
      <c r="AF106" s="47"/>
    </row>
    <row r="107" spans="1:32">
      <c r="A107" s="315"/>
      <c r="B107" s="47"/>
      <c r="C107" s="52" t="s">
        <v>5218</v>
      </c>
      <c r="D107" s="47"/>
      <c r="E107" s="47"/>
      <c r="F107" s="47"/>
      <c r="G107" s="47" t="s">
        <v>5233</v>
      </c>
      <c r="H107" s="47" t="s">
        <v>4</v>
      </c>
      <c r="I107" s="47" t="s">
        <v>7</v>
      </c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50"/>
      <c r="W107" s="329" t="s">
        <v>5094</v>
      </c>
      <c r="X107" s="310" t="s">
        <v>5176</v>
      </c>
      <c r="Y107" s="310" t="s">
        <v>5172</v>
      </c>
      <c r="Z107" s="310"/>
      <c r="AA107" s="17" t="str" cm="1">
        <f t="array" ref="AA107">a(Y107,Z107,C107,G107,H107,I107,J107,K107,L107,M107,N107,O107,P107,Q107,R107,S107)</f>
        <v>selectMyMyInfoSrch</v>
      </c>
      <c r="AB107" s="49"/>
      <c r="AC107" s="4"/>
      <c r="AD107" s="47"/>
      <c r="AE107" s="47"/>
      <c r="AF107" s="47"/>
    </row>
    <row r="108" spans="1:32">
      <c r="A108" s="315"/>
      <c r="B108" s="47"/>
      <c r="C108" s="52" t="s">
        <v>5218</v>
      </c>
      <c r="D108" s="47"/>
      <c r="E108" s="47"/>
      <c r="F108" s="47"/>
      <c r="G108" s="47" t="s">
        <v>5235</v>
      </c>
      <c r="H108" s="47" t="s">
        <v>2</v>
      </c>
      <c r="I108" s="47" t="s">
        <v>5236</v>
      </c>
      <c r="J108" s="47" t="s">
        <v>5237</v>
      </c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50"/>
      <c r="W108" s="329" t="s">
        <v>5095</v>
      </c>
      <c r="X108" s="310" t="s">
        <v>5176</v>
      </c>
      <c r="Y108" s="310" t="s">
        <v>25</v>
      </c>
      <c r="Z108" s="310"/>
      <c r="AA108" s="17" t="str" cm="1">
        <f t="array" ref="AA108">a(Y108,Z108,C108,G108,H108,I108,J108,K108,L108,M108,N108,O108,P108,Q108,R108,S108)</f>
        <v>saveMyAtLoginOnOff</v>
      </c>
      <c r="AB108" s="49"/>
      <c r="AC108" s="4"/>
      <c r="AD108" s="47"/>
      <c r="AE108" s="47"/>
      <c r="AF108" s="47"/>
    </row>
    <row r="109" spans="1:32">
      <c r="A109" s="315"/>
      <c r="B109" s="47"/>
      <c r="C109" s="52" t="s">
        <v>5218</v>
      </c>
      <c r="D109" s="47"/>
      <c r="E109" s="47"/>
      <c r="F109" s="47"/>
      <c r="G109" s="47" t="s">
        <v>5217</v>
      </c>
      <c r="H109" s="47" t="s">
        <v>5231</v>
      </c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50"/>
      <c r="W109" s="329" t="s">
        <v>5096</v>
      </c>
      <c r="X109" s="310" t="s">
        <v>5176</v>
      </c>
      <c r="Y109" s="310" t="s">
        <v>29</v>
      </c>
      <c r="Z109" s="310"/>
      <c r="AA109" s="17" t="str" cm="1">
        <f t="array" ref="AA109">a(Y109,Z109,C109,G109,H109,I109,J109,K109,L109,M109,N109,O109,P109,Q109,R109,S109)</f>
        <v>updateMyPwdChg</v>
      </c>
      <c r="AB109" s="49"/>
      <c r="AC109" s="4"/>
      <c r="AD109" s="47"/>
      <c r="AE109" s="47"/>
      <c r="AF109" s="47"/>
    </row>
    <row r="110" spans="1:32">
      <c r="A110" s="315"/>
      <c r="B110" s="52"/>
      <c r="C110" s="52" t="s">
        <v>5218</v>
      </c>
      <c r="D110" s="52"/>
      <c r="E110" s="52"/>
      <c r="F110" s="52"/>
      <c r="G110" s="52" t="s">
        <v>5221</v>
      </c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311"/>
      <c r="W110" s="55" t="s">
        <v>5249</v>
      </c>
      <c r="X110" s="312" t="s">
        <v>5184</v>
      </c>
      <c r="Y110" s="312" t="s">
        <v>5185</v>
      </c>
      <c r="Z110" s="312" t="s">
        <v>5186</v>
      </c>
      <c r="AA110" s="13" t="str" cm="1">
        <f t="array" ref="AA110">"/"&amp; a("",C110) &amp; "/" &amp; a("class",C110,G110,H110,I110,J110,K110,L110,M110,N110,O110,P110,Q110,R110,S110) &amp; Z110 &amp; "." &amp; Y110</f>
        <v>/my/MyMenuServiceSQL.xml</v>
      </c>
      <c r="AB110" s="49"/>
      <c r="AC110" s="4"/>
      <c r="AD110" s="47"/>
      <c r="AE110" s="47"/>
      <c r="AF110" s="47"/>
    </row>
    <row r="111" spans="1:32">
      <c r="A111" s="315"/>
      <c r="B111" s="47"/>
      <c r="C111" s="52" t="s">
        <v>5218</v>
      </c>
      <c r="D111" s="47"/>
      <c r="E111" s="47"/>
      <c r="F111" s="47"/>
      <c r="G111" s="47" t="s">
        <v>5233</v>
      </c>
      <c r="H111" s="47" t="s">
        <v>4</v>
      </c>
      <c r="I111" s="47" t="s">
        <v>7</v>
      </c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50"/>
      <c r="W111" s="329" t="s">
        <v>5094</v>
      </c>
      <c r="X111" s="310" t="s">
        <v>5179</v>
      </c>
      <c r="Y111" s="310" t="s">
        <v>5172</v>
      </c>
      <c r="Z111" s="310"/>
      <c r="AA111" s="17" t="str" cm="1">
        <f t="array" ref="AA111">a(Y111,Z111,C111,G111,H111,I111,J111,K111,L111,M111,N111,O111,P111,Q111,R111,S111)</f>
        <v>selectMyMyInfoSrch</v>
      </c>
      <c r="AB111" s="49"/>
      <c r="AC111" s="4"/>
      <c r="AD111" s="47"/>
      <c r="AE111" s="47"/>
      <c r="AF111" s="47"/>
    </row>
    <row r="112" spans="1:32">
      <c r="A112" s="315"/>
      <c r="B112" s="47"/>
      <c r="C112" s="52" t="s">
        <v>5218</v>
      </c>
      <c r="D112" s="47"/>
      <c r="E112" s="47"/>
      <c r="F112" s="47"/>
      <c r="G112" s="47" t="s">
        <v>5235</v>
      </c>
      <c r="H112" s="47" t="s">
        <v>2</v>
      </c>
      <c r="I112" s="47" t="s">
        <v>5236</v>
      </c>
      <c r="J112" s="47" t="s">
        <v>5237</v>
      </c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50"/>
      <c r="W112" s="329" t="s">
        <v>5095</v>
      </c>
      <c r="X112" s="310" t="s">
        <v>5179</v>
      </c>
      <c r="Y112" s="310" t="s">
        <v>25</v>
      </c>
      <c r="Z112" s="310"/>
      <c r="AA112" s="17" t="str" cm="1">
        <f t="array" ref="AA112">a(Y112,Z112,C112,G112,H112,I112,J112,K112,L112,M112,N112,O112,P112,Q112,R112,S112)</f>
        <v>saveMyAtLoginOnOff</v>
      </c>
      <c r="AB112" s="49"/>
      <c r="AC112" s="4"/>
      <c r="AD112" s="47"/>
      <c r="AE112" s="47"/>
      <c r="AF112" s="47"/>
    </row>
    <row r="113" spans="1:32">
      <c r="A113" s="315"/>
      <c r="B113" s="47"/>
      <c r="C113" s="52" t="s">
        <v>5218</v>
      </c>
      <c r="D113" s="47"/>
      <c r="E113" s="47"/>
      <c r="F113" s="47"/>
      <c r="G113" s="47" t="s">
        <v>5217</v>
      </c>
      <c r="H113" s="47" t="s">
        <v>5231</v>
      </c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50"/>
      <c r="W113" s="329" t="s">
        <v>5096</v>
      </c>
      <c r="X113" s="310" t="s">
        <v>5179</v>
      </c>
      <c r="Y113" s="310" t="s">
        <v>29</v>
      </c>
      <c r="Z113" s="310"/>
      <c r="AA113" s="17" t="str" cm="1">
        <f t="array" ref="AA113">a(Y113,Z113,C113,G113,H113,I113,J113,K113,L113,M113,N113,O113,P113,Q113,R113,S113)</f>
        <v>updateMyPwdChg</v>
      </c>
      <c r="AB113" s="49"/>
      <c r="AC113" s="4"/>
      <c r="AD113" s="47"/>
      <c r="AE113" s="47"/>
      <c r="AF113" s="47"/>
    </row>
    <row r="114" spans="1:32">
      <c r="A114" s="315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50"/>
      <c r="W114" s="48"/>
      <c r="AA114" s="47"/>
      <c r="AB114" s="47"/>
      <c r="AC114" s="4"/>
      <c r="AD114" s="47"/>
      <c r="AE114" s="47"/>
      <c r="AF114" s="47"/>
    </row>
    <row r="115" spans="1:32">
      <c r="A115" s="314"/>
      <c r="B115" s="52"/>
      <c r="C115" s="52" t="s">
        <v>4518</v>
      </c>
      <c r="D115" s="52" t="str" cm="1">
        <f t="array" ref="D115">"kr.go.prpr.app."&amp;a("",C115)&amp;"."&amp;LOWER(IF(Z115="Controller","web",Z115))</f>
        <v>kr.go.prpr.app.prgn.web</v>
      </c>
      <c r="E115" s="52"/>
      <c r="F115" s="52"/>
      <c r="G115" s="52" t="s">
        <v>4</v>
      </c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311"/>
      <c r="W115" s="55" t="s">
        <v>5252</v>
      </c>
      <c r="X115" s="312" t="s">
        <v>4802</v>
      </c>
      <c r="Y115" s="312" t="s">
        <v>5167</v>
      </c>
      <c r="Z115" s="312" t="s">
        <v>5168</v>
      </c>
      <c r="AA115" s="13" t="str" cm="1">
        <f t="array" ref="AA115">a("class",C115,G115,H115,I115,J115,K115,L115,M115) &amp; Z115 &amp; "." &amp; Y115</f>
        <v>PrgnInfoController.Java</v>
      </c>
      <c r="AB115" s="49"/>
      <c r="AC115" s="4"/>
      <c r="AD115" s="47"/>
      <c r="AE115" s="47"/>
      <c r="AF115" s="47"/>
    </row>
    <row r="116" spans="1:32">
      <c r="A116" s="316" t="s">
        <v>4517</v>
      </c>
      <c r="B116" s="47"/>
      <c r="C116" s="52" t="s">
        <v>2483</v>
      </c>
      <c r="D116" s="47" t="s">
        <v>4</v>
      </c>
      <c r="E116" s="47"/>
      <c r="F116" s="47"/>
      <c r="G116" s="47" t="s">
        <v>4779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50" t="s">
        <v>1941</v>
      </c>
      <c r="W116" s="328" t="s">
        <v>5253</v>
      </c>
      <c r="X116" s="310" t="s">
        <v>4802</v>
      </c>
      <c r="Y116" s="310" t="s">
        <v>5166</v>
      </c>
      <c r="Z116" s="310"/>
      <c r="AA116" s="17" t="str" cm="1">
        <f t="array" ref="AA116">a(Y116,Z116,C116,D116,G116,H116,I116,J116,K116,L116,M116)</f>
        <v>viewPrgnInfoView</v>
      </c>
      <c r="AB116" s="49" t="str" cm="1">
        <f t="array" ref="AB116">"/"&amp; a("",C116) &amp; "/" &amp;a("",D116) &amp; IF(D116&lt;&gt;"","/","") &amp; a("",G116,H116,I116,J116,K116,L116,M116,N116,O116,P116,Q116,R116,S116,"",Z116) &amp;".do"</f>
        <v>/prgn/info/view.do</v>
      </c>
      <c r="AC116" s="4"/>
      <c r="AD116" s="154">
        <v>44537</v>
      </c>
      <c r="AE116" s="154">
        <v>44538</v>
      </c>
      <c r="AF116" s="47"/>
    </row>
    <row r="117" spans="1:32">
      <c r="A117" s="316" t="s">
        <v>4521</v>
      </c>
      <c r="B117" s="47"/>
      <c r="C117" s="52" t="s">
        <v>2483</v>
      </c>
      <c r="D117" s="47" t="s">
        <v>4</v>
      </c>
      <c r="E117" s="47"/>
      <c r="F117" s="47"/>
      <c r="G117" s="47" t="s">
        <v>5256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50" t="s">
        <v>1941</v>
      </c>
      <c r="W117" s="44" t="s">
        <v>5254</v>
      </c>
      <c r="X117" s="310" t="s">
        <v>4802</v>
      </c>
      <c r="Y117" s="310" t="s">
        <v>5166</v>
      </c>
      <c r="Z117" s="310"/>
      <c r="AA117" s="17" t="str" cm="1">
        <f t="array" ref="AA117">a(Y117,Z117,C117,D117,G117,H117,I117,J117,K117,L117,M117)</f>
        <v>viewPrgnInfoReg</v>
      </c>
      <c r="AB117" s="49" t="str" cm="1">
        <f t="array" ref="AB117">"/"&amp; a("",C117) &amp; "/" &amp;a("",D117) &amp; IF(D117&lt;&gt;"","/","") &amp; a("",G117,H117,I117,J117,K117,L117,M117,N117,O117,P117,Q117,R117,S117,"",Z117) &amp;".do"</f>
        <v>/prgn/info/reg.do</v>
      </c>
      <c r="AC117" s="4"/>
      <c r="AD117" s="154">
        <v>44539</v>
      </c>
      <c r="AE117" s="154">
        <v>44543</v>
      </c>
      <c r="AF117" s="47"/>
    </row>
    <row r="118" spans="1:32">
      <c r="A118" s="316" t="s">
        <v>4526</v>
      </c>
      <c r="B118" s="47"/>
      <c r="C118" s="52" t="s">
        <v>2483</v>
      </c>
      <c r="D118" s="47" t="s">
        <v>4</v>
      </c>
      <c r="E118" s="47"/>
      <c r="F118" s="47"/>
      <c r="G118" s="47" t="s">
        <v>5257</v>
      </c>
      <c r="H118" s="47" t="s">
        <v>4</v>
      </c>
      <c r="I118" s="47" t="s">
        <v>5256</v>
      </c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50" t="s">
        <v>1941</v>
      </c>
      <c r="W118" s="44" t="s">
        <v>5255</v>
      </c>
      <c r="X118" s="310" t="s">
        <v>4802</v>
      </c>
      <c r="Y118" s="310" t="s">
        <v>5166</v>
      </c>
      <c r="Z118" s="310"/>
      <c r="AA118" s="17" t="str" cm="1">
        <f t="array" ref="AA118">a(Y118,Z118,C118,D118,G118,H118,I118,J118,K118,L118,M118)</f>
        <v>viewPrgnInfoPaturInfoReg</v>
      </c>
      <c r="AB118" s="49" t="str" cm="1">
        <f t="array" ref="AB118">"/"&amp; a("",C118) &amp; "/" &amp;a("",D118) &amp; IF(D118&lt;&gt;"","/","") &amp; a("",G118,H118,I118,J118,K118,L118,M118,N118,O118,P118,Q118,R118,S118,"",Z118) &amp;".do"</f>
        <v>/prgn/info/paturInfoReg.do</v>
      </c>
      <c r="AC118" s="4"/>
      <c r="AD118" s="154">
        <v>44544</v>
      </c>
      <c r="AE118" s="154">
        <v>44546</v>
      </c>
      <c r="AF118" s="47"/>
    </row>
    <row r="119" spans="1:32">
      <c r="A119" s="315"/>
      <c r="B119" s="47"/>
      <c r="C119" s="52" t="s">
        <v>2483</v>
      </c>
      <c r="D119" s="47" t="s">
        <v>1525</v>
      </c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9" t="s">
        <v>5247</v>
      </c>
      <c r="W119" s="329" t="s">
        <v>5100</v>
      </c>
      <c r="X119" s="310" t="s">
        <v>4802</v>
      </c>
      <c r="Y119" s="310" t="s">
        <v>2846</v>
      </c>
      <c r="Z119" s="310"/>
      <c r="AA119" s="17" t="str" cm="1">
        <f t="array" ref="AA119">a(Y119,Z119,C119,D119,G119,H119,I119,J119,K119,L119,M119)</f>
        <v>selectPrgnInfo</v>
      </c>
      <c r="AB119" s="49" t="str" cm="1">
        <f t="array" ref="AB119">"/"&amp; a("",C119) &amp; "/" &amp; a("",D119) &amp; IF(D119&lt;&gt;"","/","") &amp;a("",Y119) &amp; IF(a("",G119,H119,I119,J119,K119,L119,M119,N119,O119,P119,Q119,R119,S119,Z119)&lt;&gt;"","/" &amp; a("",G119,H119,I119,J119,K119,L119,M119,N119,O119,P119,Q119,R119,S119,Z119),"")</f>
        <v>/prgn/info/select</v>
      </c>
      <c r="AC119" s="4"/>
      <c r="AD119" s="47"/>
      <c r="AE119" s="47"/>
      <c r="AF119" s="47"/>
    </row>
    <row r="120" spans="1:32">
      <c r="A120" s="315"/>
      <c r="B120" s="47"/>
      <c r="C120" s="52" t="s">
        <v>2483</v>
      </c>
      <c r="D120" s="47" t="s">
        <v>1525</v>
      </c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9" t="s">
        <v>5247</v>
      </c>
      <c r="W120" s="329" t="s">
        <v>5254</v>
      </c>
      <c r="X120" s="310" t="s">
        <v>4802</v>
      </c>
      <c r="Y120" s="310" t="s">
        <v>25</v>
      </c>
      <c r="Z120" s="310"/>
      <c r="AA120" s="17" t="str" cm="1">
        <f t="array" ref="AA120">a(Y120,Z120,C120,D120,G120,H120,I120,J120,K120,L120,M120)</f>
        <v>savePrgnInfo</v>
      </c>
      <c r="AB120" s="49" t="str" cm="1">
        <f t="array" ref="AB120">"/"&amp; a("",C120) &amp; "/" &amp; a("",D120) &amp; IF(D120&lt;&gt;"","/","") &amp;a("",Y120) &amp; IF(a("",G120,H120,I120,J120,K120,L120,M120,N120,O120,P120,Q120,R120,S120,Z120)&lt;&gt;"","/" &amp; a("",G120,H120,I120,J120,K120,L120,M120,N120,O120,P120,Q120,R120,S120,Z120),"")</f>
        <v>/prgn/info/save</v>
      </c>
      <c r="AC120" s="4"/>
      <c r="AD120" s="47"/>
      <c r="AE120" s="47"/>
      <c r="AF120" s="47"/>
    </row>
    <row r="121" spans="1:32">
      <c r="A121" s="315"/>
      <c r="B121" s="47"/>
      <c r="C121" s="52" t="s">
        <v>2483</v>
      </c>
      <c r="D121" s="47" t="s">
        <v>1525</v>
      </c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9" t="s">
        <v>5247</v>
      </c>
      <c r="W121" s="329" t="s">
        <v>5258</v>
      </c>
      <c r="X121" s="310" t="s">
        <v>4802</v>
      </c>
      <c r="Y121" s="310" t="s">
        <v>29</v>
      </c>
      <c r="Z121" s="310"/>
      <c r="AA121" s="17" t="str" cm="1">
        <f t="array" ref="AA121">a(Y121,Z121,C121,D121,G121,H121,I121,J121,K121,L121,M121)</f>
        <v>updatePrgnInfo</v>
      </c>
      <c r="AB121" s="49" t="str" cm="1">
        <f t="array" ref="AB121">"/"&amp; a("",C121) &amp; "/" &amp; a("",D121) &amp; IF(D121&lt;&gt;"","/","") &amp;a("",Y121) &amp; IF(a("",G121,H121,I121,J121,K121,L121,M121,N121,O121,P121,Q121,R121,S121,Z121)&lt;&gt;"","/" &amp; a("",G121,H121,I121,J121,K121,L121,M121,N121,O121,P121,Q121,R121,S121,Z121),"")</f>
        <v>/prgn/info/update</v>
      </c>
      <c r="AC121" s="4"/>
      <c r="AD121" s="47"/>
      <c r="AE121" s="47"/>
      <c r="AF121" s="47"/>
    </row>
    <row r="122" spans="1:32">
      <c r="A122" s="315"/>
      <c r="B122" s="47"/>
      <c r="C122" s="52" t="s">
        <v>2483</v>
      </c>
      <c r="D122" s="47" t="s">
        <v>1525</v>
      </c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9" t="s">
        <v>5247</v>
      </c>
      <c r="W122" s="329" t="s">
        <v>5259</v>
      </c>
      <c r="X122" s="310" t="s">
        <v>4802</v>
      </c>
      <c r="Y122" s="310" t="s">
        <v>26</v>
      </c>
      <c r="Z122" s="310"/>
      <c r="AA122" s="17" t="str" cm="1">
        <f t="array" ref="AA122">a(Y122,Z122,C122,D122,G122,H122,I122,J122,K122,L122,M122)</f>
        <v>deletePrgnInfo</v>
      </c>
      <c r="AB122" s="49" t="str" cm="1">
        <f t="array" ref="AB122">"/"&amp; a("",C122) &amp; "/" &amp; a("",D122) &amp; IF(D122&lt;&gt;"","/","") &amp;a("",Y122) &amp; IF(a("",G122,H122,I122,J122,K122,L122,M122,N122,O122,P122,Q122,R122,S122,Z122)&lt;&gt;"","/" &amp; a("",G122,H122,I122,J122,K122,L122,M122,N122,O122,P122,Q122,R122,S122,Z122),"")</f>
        <v>/prgn/info/delete</v>
      </c>
      <c r="AC122" s="4"/>
      <c r="AD122" s="47"/>
      <c r="AE122" s="47"/>
      <c r="AF122" s="47"/>
    </row>
    <row r="123" spans="1:32">
      <c r="A123" s="315"/>
      <c r="B123" s="47"/>
      <c r="C123" s="52" t="s">
        <v>2483</v>
      </c>
      <c r="D123" s="47" t="s">
        <v>1525</v>
      </c>
      <c r="E123" s="47"/>
      <c r="F123" s="47"/>
      <c r="G123" s="47" t="s">
        <v>5257</v>
      </c>
      <c r="H123" s="47" t="s">
        <v>62</v>
      </c>
      <c r="I123" s="47" t="s">
        <v>5260</v>
      </c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9" t="s">
        <v>5247</v>
      </c>
      <c r="W123" s="329" t="s">
        <v>5102</v>
      </c>
      <c r="X123" s="310" t="s">
        <v>4802</v>
      </c>
      <c r="Y123" s="310" t="s">
        <v>25</v>
      </c>
      <c r="Z123" s="310"/>
      <c r="AA123" s="17" t="str" cm="1">
        <f t="array" ref="AA123">a(Y123,Z123,C123,D123,G123,H123,I123,J123,K123,L123,M123)</f>
        <v>savePrgnInfoPaturSeNcnt</v>
      </c>
      <c r="AB123" s="49" t="str" cm="1">
        <f t="array" ref="AB123">"/"&amp; a("",C123) &amp; "/" &amp; a("",D123) &amp; IF(D123&lt;&gt;"","/","") &amp;a("",Y123) &amp; IF(a("",G123,H123,I123,J123,K123,L123,M123,N123,O123,P123,Q123,R123,S123,Z123)&lt;&gt;"","/" &amp; a("",G123,H123,I123,J123,K123,L123,M123,N123,O123,P123,Q123,R123,S123,Z123),"")</f>
        <v>/prgn/info/save/paturSeNcnt</v>
      </c>
      <c r="AC123" s="4"/>
      <c r="AD123" s="47"/>
      <c r="AE123" s="47"/>
      <c r="AF123" s="47"/>
    </row>
    <row r="124" spans="1:32">
      <c r="A124" s="315"/>
      <c r="B124" s="47"/>
      <c r="C124" s="52" t="s">
        <v>2483</v>
      </c>
      <c r="D124" s="47" t="s">
        <v>4</v>
      </c>
      <c r="E124" s="47"/>
      <c r="F124" s="47"/>
      <c r="G124" s="47" t="s">
        <v>4779</v>
      </c>
      <c r="H124" s="47"/>
      <c r="I124" s="47"/>
      <c r="J124" s="47"/>
      <c r="K124" s="47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310" t="s">
        <v>5173</v>
      </c>
      <c r="W124" s="328" t="s">
        <v>5253</v>
      </c>
      <c r="X124" s="310" t="s">
        <v>5173</v>
      </c>
      <c r="Y124" s="310" t="s">
        <v>5173</v>
      </c>
      <c r="Z124" s="310"/>
      <c r="AA124" s="17" t="str" cm="1">
        <f t="array" ref="AA124">"/"&amp; a("",C124) &amp; "/"  &amp;a("",D124) &amp; IF(D124&lt;&gt;"","/","")&amp; (IF(Z124&lt;&gt;"",Z124&amp;"/","")) &amp; b("",G124,H124,I124,J124,K124,L124,M124,N124,O124,P124,Q124,R124,S124) &amp;"."&amp;Y124</f>
        <v>/prgn/info/view.jsp</v>
      </c>
      <c r="AB124" s="49"/>
      <c r="AC124" s="4"/>
      <c r="AD124" s="47"/>
      <c r="AE124" s="47"/>
      <c r="AF124" s="47"/>
    </row>
    <row r="125" spans="1:32">
      <c r="A125" s="315"/>
      <c r="B125" s="47"/>
      <c r="C125" s="52" t="s">
        <v>2483</v>
      </c>
      <c r="D125" s="47" t="s">
        <v>4</v>
      </c>
      <c r="E125" s="47"/>
      <c r="F125" s="47"/>
      <c r="G125" s="47" t="s">
        <v>5256</v>
      </c>
      <c r="H125" s="47"/>
      <c r="I125" s="47"/>
      <c r="J125" s="47"/>
      <c r="K125" s="47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310" t="s">
        <v>5173</v>
      </c>
      <c r="W125" s="44" t="s">
        <v>5254</v>
      </c>
      <c r="X125" s="310" t="s">
        <v>5173</v>
      </c>
      <c r="Y125" s="310" t="s">
        <v>5173</v>
      </c>
      <c r="Z125" s="310"/>
      <c r="AA125" s="17" t="str" cm="1">
        <f t="array" ref="AA125">"/"&amp; a("",C125) &amp; "/"  &amp;a("",D125) &amp; IF(D125&lt;&gt;"","/","")&amp; (IF(Z125&lt;&gt;"",Z125&amp;"/","")) &amp; b("",G125,H125,I125,J125,K125,L125,M125,N125,O125,P125,Q125,R125,S125) &amp;"."&amp;Y125</f>
        <v>/prgn/info/reg.jsp</v>
      </c>
      <c r="AB125" s="49"/>
      <c r="AC125" s="4"/>
      <c r="AD125" s="47"/>
      <c r="AE125" s="47"/>
      <c r="AF125" s="47"/>
    </row>
    <row r="126" spans="1:32">
      <c r="A126" s="315"/>
      <c r="B126" s="47"/>
      <c r="C126" s="52" t="s">
        <v>2483</v>
      </c>
      <c r="D126" s="47" t="s">
        <v>4</v>
      </c>
      <c r="E126" s="47"/>
      <c r="F126" s="47"/>
      <c r="G126" s="47" t="s">
        <v>5257</v>
      </c>
      <c r="H126" s="47" t="s">
        <v>4</v>
      </c>
      <c r="I126" s="47" t="s">
        <v>5256</v>
      </c>
      <c r="J126" s="47"/>
      <c r="K126" s="47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310" t="s">
        <v>5173</v>
      </c>
      <c r="W126" s="44" t="s">
        <v>5255</v>
      </c>
      <c r="X126" s="310" t="s">
        <v>5173</v>
      </c>
      <c r="Y126" s="310" t="s">
        <v>5173</v>
      </c>
      <c r="Z126" s="310"/>
      <c r="AA126" s="17" t="str" cm="1">
        <f t="array" ref="AA126">"/"&amp; a("",C126) &amp; "/"  &amp;a("",D126) &amp; IF(D126&lt;&gt;"","/","")&amp; (IF(Z126&lt;&gt;"",Z126&amp;"/","")) &amp; b("",G126,H126,I126,J126,K126,L126,M126,N126,O126,P126,Q126,R126,S126) &amp;"."&amp;Y126</f>
        <v>/prgn/info/patur_info_reg.jsp</v>
      </c>
      <c r="AB126" s="49"/>
      <c r="AC126" s="4"/>
      <c r="AD126" s="47"/>
      <c r="AE126" s="47"/>
      <c r="AF126" s="47"/>
    </row>
    <row r="127" spans="1:32">
      <c r="A127" s="315"/>
      <c r="B127" s="52"/>
      <c r="C127" s="52" t="s">
        <v>2483</v>
      </c>
      <c r="D127" s="52" t="str" cm="1">
        <f t="array" ref="D127">"kr.go.prpr.app."&amp;a("",C127)&amp;"."&amp;LOWER(IF(Z127="Controller","web",Z127))</f>
        <v>kr.go.prpr.app.prgn.service</v>
      </c>
      <c r="E127" s="52"/>
      <c r="F127" s="52"/>
      <c r="G127" s="52" t="s">
        <v>1525</v>
      </c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311"/>
      <c r="W127" s="55" t="s">
        <v>5238</v>
      </c>
      <c r="X127" s="312" t="s">
        <v>5176</v>
      </c>
      <c r="Y127" s="312" t="s">
        <v>5167</v>
      </c>
      <c r="Z127" s="312" t="s">
        <v>5177</v>
      </c>
      <c r="AA127" s="13" t="str" cm="1">
        <f t="array" ref="AA127">a("class",C127,G127,H127,I127,J127,K127,L127,M127,N127,O127,P127,Q127,R127,S127) &amp; Z127 &amp; "." &amp; Y127</f>
        <v>PrgnInfoService.Java</v>
      </c>
      <c r="AB127" s="49"/>
      <c r="AC127" s="4"/>
      <c r="AD127" s="47"/>
      <c r="AE127" s="47"/>
      <c r="AF127" s="47"/>
    </row>
    <row r="128" spans="1:32">
      <c r="A128" s="315"/>
      <c r="B128" s="52"/>
      <c r="C128" s="52" t="s">
        <v>2483</v>
      </c>
      <c r="D128" s="52" t="str" cm="1">
        <f t="array" ref="D128">"kr.go.prpr.app."&amp;a("",C128)&amp;"."&amp;LOWER(IF(Z128="Controller","web",Z128))</f>
        <v>kr.go.prpr.app.prgn.serviceimpl</v>
      </c>
      <c r="E128" s="52"/>
      <c r="F128" s="52"/>
      <c r="G128" s="52" t="s">
        <v>1525</v>
      </c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311"/>
      <c r="W128" s="55" t="s">
        <v>5239</v>
      </c>
      <c r="X128" s="312" t="s">
        <v>5176</v>
      </c>
      <c r="Y128" s="312" t="s">
        <v>5167</v>
      </c>
      <c r="Z128" s="312" t="s">
        <v>5178</v>
      </c>
      <c r="AA128" s="13" t="str" cm="1">
        <f t="array" ref="AA128">a("class",C128,G128,H128,I128,J128,K128,L128,M128,N128,O128,P128,Q128,R128,S128) &amp; Z128 &amp; "." &amp; Y128</f>
        <v>PrgnInfoServiceImpl.Java</v>
      </c>
      <c r="AB128" s="49"/>
      <c r="AC128" s="4"/>
      <c r="AD128" s="47"/>
      <c r="AE128" s="47"/>
      <c r="AF128" s="47"/>
    </row>
    <row r="129" spans="1:32">
      <c r="A129" s="315"/>
      <c r="B129" s="47"/>
      <c r="C129" s="52" t="s">
        <v>2483</v>
      </c>
      <c r="D129" s="47" t="s">
        <v>1525</v>
      </c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50"/>
      <c r="W129" s="329" t="s">
        <v>5100</v>
      </c>
      <c r="X129" s="310" t="s">
        <v>5176</v>
      </c>
      <c r="Y129" s="310" t="s">
        <v>5172</v>
      </c>
      <c r="Z129" s="310"/>
      <c r="AA129" s="17" t="str" cm="1">
        <f t="array" ref="AA129">a(Y129,Z129,C129,D129,G129,H129,I129,J129,K129,L129,M129,N129,O129,P129,Q129,R129)</f>
        <v>selectPrgnInfo</v>
      </c>
      <c r="AB129" s="49"/>
      <c r="AC129" s="4"/>
      <c r="AD129" s="47"/>
      <c r="AE129" s="47"/>
      <c r="AF129" s="47"/>
    </row>
    <row r="130" spans="1:32">
      <c r="A130" s="315"/>
      <c r="B130" s="47"/>
      <c r="C130" s="52" t="s">
        <v>2483</v>
      </c>
      <c r="D130" s="47" t="s">
        <v>1525</v>
      </c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50"/>
      <c r="W130" s="329" t="s">
        <v>5254</v>
      </c>
      <c r="X130" s="310" t="s">
        <v>5176</v>
      </c>
      <c r="Y130" s="310" t="s">
        <v>25</v>
      </c>
      <c r="Z130" s="310"/>
      <c r="AA130" s="17" t="str" cm="1">
        <f t="array" ref="AA130">a(Y130,Z130,C130,D130,G130,H130,I130,J130,K130,L130,M130,N130,O130,P130,Q130,R130)</f>
        <v>savePrgnInfo</v>
      </c>
      <c r="AB130" s="49"/>
      <c r="AC130" s="4"/>
      <c r="AD130" s="47"/>
      <c r="AE130" s="47"/>
      <c r="AF130" s="47"/>
    </row>
    <row r="131" spans="1:32">
      <c r="A131" s="315"/>
      <c r="B131" s="47"/>
      <c r="C131" s="52" t="s">
        <v>2483</v>
      </c>
      <c r="D131" s="47" t="s">
        <v>1525</v>
      </c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50"/>
      <c r="W131" s="329" t="s">
        <v>5258</v>
      </c>
      <c r="X131" s="310" t="s">
        <v>5176</v>
      </c>
      <c r="Y131" s="310" t="s">
        <v>29</v>
      </c>
      <c r="Z131" s="310"/>
      <c r="AA131" s="17" t="str" cm="1">
        <f t="array" ref="AA131">a(Y131,Z131,C131,D131,G131,H131,I131,J131,K131,L131,M131,N131,O131,P131,Q131,R131)</f>
        <v>updatePrgnInfo</v>
      </c>
      <c r="AB131" s="49"/>
      <c r="AC131" s="4"/>
      <c r="AD131" s="47"/>
      <c r="AE131" s="47"/>
      <c r="AF131" s="47"/>
    </row>
    <row r="132" spans="1:32">
      <c r="A132" s="315"/>
      <c r="B132" s="47"/>
      <c r="C132" s="52" t="s">
        <v>2483</v>
      </c>
      <c r="D132" s="47" t="s">
        <v>1525</v>
      </c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50"/>
      <c r="W132" s="329" t="s">
        <v>5259</v>
      </c>
      <c r="X132" s="310" t="s">
        <v>5176</v>
      </c>
      <c r="Y132" s="310" t="s">
        <v>26</v>
      </c>
      <c r="Z132" s="310"/>
      <c r="AA132" s="17" t="str" cm="1">
        <f t="array" ref="AA132">a(Y132,Z132,C132,D132,G132,H132,I132,J132,K132,L132,M132,N132,O132,P132,Q132,R132)</f>
        <v>deletePrgnInfo</v>
      </c>
      <c r="AB132" s="49"/>
      <c r="AC132" s="4"/>
      <c r="AD132" s="47"/>
      <c r="AE132" s="47"/>
      <c r="AF132" s="47"/>
    </row>
    <row r="133" spans="1:32">
      <c r="A133" s="315"/>
      <c r="B133" s="47"/>
      <c r="C133" s="52" t="s">
        <v>2483</v>
      </c>
      <c r="D133" s="47" t="s">
        <v>1525</v>
      </c>
      <c r="E133" s="47"/>
      <c r="F133" s="47"/>
      <c r="G133" s="47" t="s">
        <v>5257</v>
      </c>
      <c r="H133" s="47" t="s">
        <v>62</v>
      </c>
      <c r="I133" s="47" t="s">
        <v>5260</v>
      </c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50"/>
      <c r="W133" s="329" t="s">
        <v>5102</v>
      </c>
      <c r="X133" s="310" t="s">
        <v>5176</v>
      </c>
      <c r="Y133" s="310" t="s">
        <v>25</v>
      </c>
      <c r="Z133" s="310"/>
      <c r="AA133" s="17" t="str" cm="1">
        <f t="array" ref="AA133">a(Y133,Z133,C133,D133,G133,H133,I133,J133,K133,L133,M133,N133,O133,P133,Q133,R133)</f>
        <v>savePrgnInfoPaturSeNcnt</v>
      </c>
      <c r="AB133" s="49"/>
      <c r="AC133" s="4"/>
      <c r="AD133" s="47"/>
      <c r="AE133" s="47"/>
      <c r="AF133" s="47"/>
    </row>
    <row r="134" spans="1:32">
      <c r="A134" s="315"/>
      <c r="B134" s="52"/>
      <c r="C134" s="52" t="s">
        <v>2483</v>
      </c>
      <c r="D134" s="52"/>
      <c r="E134" s="52"/>
      <c r="F134" s="52"/>
      <c r="G134" s="52" t="s">
        <v>1525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311"/>
      <c r="W134" s="55" t="s">
        <v>5249</v>
      </c>
      <c r="X134" s="312" t="s">
        <v>5184</v>
      </c>
      <c r="Y134" s="312" t="s">
        <v>5185</v>
      </c>
      <c r="Z134" s="312" t="s">
        <v>5186</v>
      </c>
      <c r="AA134" s="13" t="str" cm="1">
        <f t="array" ref="AA134">"/"&amp; a("",C134) &amp; "/" &amp; a("class",C134,G134,H134,I134,J134,K134,L134,M134,N134,O134,P134,Q134,R134,S134) &amp; Z134 &amp; "." &amp; Y134</f>
        <v>/prgn/PrgnInfoServiceSQL.xml</v>
      </c>
      <c r="AB134" s="49"/>
      <c r="AC134" s="4"/>
      <c r="AD134" s="47"/>
      <c r="AE134" s="47"/>
      <c r="AF134" s="47"/>
    </row>
    <row r="135" spans="1:32">
      <c r="A135" s="315"/>
      <c r="B135" s="47"/>
      <c r="C135" s="52" t="s">
        <v>2483</v>
      </c>
      <c r="D135" s="47" t="s">
        <v>1525</v>
      </c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50"/>
      <c r="W135" s="329" t="s">
        <v>5100</v>
      </c>
      <c r="X135" s="310" t="s">
        <v>5179</v>
      </c>
      <c r="Y135" s="310" t="s">
        <v>5172</v>
      </c>
      <c r="Z135" s="310"/>
      <c r="AA135" s="17" t="str" cm="1">
        <f t="array" ref="AA135">a(Y135,Z135,C135,D135,G135,H135,I135,J135,K135,L135,M135,N135,O135,P135,Q135,R135)</f>
        <v>selectPrgnInfo</v>
      </c>
      <c r="AB135" s="49"/>
      <c r="AC135" s="4"/>
      <c r="AD135" s="47"/>
      <c r="AE135" s="47"/>
      <c r="AF135" s="47"/>
    </row>
    <row r="136" spans="1:32">
      <c r="A136" s="315"/>
      <c r="B136" s="47"/>
      <c r="C136" s="52" t="s">
        <v>2483</v>
      </c>
      <c r="D136" s="47" t="s">
        <v>1525</v>
      </c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50"/>
      <c r="W136" s="329" t="s">
        <v>5254</v>
      </c>
      <c r="X136" s="310" t="s">
        <v>5179</v>
      </c>
      <c r="Y136" s="310" t="s">
        <v>25</v>
      </c>
      <c r="Z136" s="310"/>
      <c r="AA136" s="17" t="str" cm="1">
        <f t="array" ref="AA136">a(Y136,Z136,C136,D136,G136,H136,I136,J136,K136,L136,M136,N136,O136,P136,Q136,R136)</f>
        <v>savePrgnInfo</v>
      </c>
      <c r="AB136" s="49"/>
      <c r="AC136" s="4"/>
      <c r="AD136" s="47"/>
      <c r="AE136" s="47"/>
      <c r="AF136" s="47"/>
    </row>
    <row r="137" spans="1:32">
      <c r="A137" s="315"/>
      <c r="B137" s="47"/>
      <c r="C137" s="52" t="s">
        <v>2483</v>
      </c>
      <c r="D137" s="47" t="s">
        <v>1525</v>
      </c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50"/>
      <c r="W137" s="329" t="s">
        <v>5258</v>
      </c>
      <c r="X137" s="310" t="s">
        <v>5179</v>
      </c>
      <c r="Y137" s="310" t="s">
        <v>29</v>
      </c>
      <c r="Z137" s="310"/>
      <c r="AA137" s="17" t="str" cm="1">
        <f t="array" ref="AA137">a(Y137,Z137,C137,D137,G137,H137,I137,J137,K137,L137,M137,N137,O137,P137,Q137,R137)</f>
        <v>updatePrgnInfo</v>
      </c>
      <c r="AB137" s="49"/>
      <c r="AC137" s="4"/>
      <c r="AD137" s="47"/>
      <c r="AE137" s="47"/>
      <c r="AF137" s="47"/>
    </row>
    <row r="138" spans="1:32">
      <c r="A138" s="315"/>
      <c r="B138" s="47"/>
      <c r="C138" s="52" t="s">
        <v>2483</v>
      </c>
      <c r="D138" s="47" t="s">
        <v>1525</v>
      </c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50"/>
      <c r="W138" s="329" t="s">
        <v>5259</v>
      </c>
      <c r="X138" s="310" t="s">
        <v>5179</v>
      </c>
      <c r="Y138" s="310" t="s">
        <v>26</v>
      </c>
      <c r="Z138" s="310"/>
      <c r="AA138" s="17" t="str" cm="1">
        <f t="array" ref="AA138">a(Y138,Z138,C138,D138,G138,H138,I138,J138,K138,L138,M138,N138,O138,P138,Q138,R138)</f>
        <v>deletePrgnInfo</v>
      </c>
      <c r="AB138" s="49"/>
      <c r="AC138" s="4"/>
      <c r="AD138" s="47"/>
      <c r="AE138" s="47"/>
      <c r="AF138" s="47"/>
    </row>
    <row r="139" spans="1:32">
      <c r="A139" s="315"/>
      <c r="B139" s="47"/>
      <c r="C139" s="52" t="s">
        <v>2483</v>
      </c>
      <c r="D139" s="47" t="s">
        <v>1525</v>
      </c>
      <c r="E139" s="47"/>
      <c r="F139" s="47"/>
      <c r="G139" s="47" t="s">
        <v>5257</v>
      </c>
      <c r="H139" s="47" t="s">
        <v>62</v>
      </c>
      <c r="I139" s="47" t="s">
        <v>5260</v>
      </c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50"/>
      <c r="W139" s="329" t="s">
        <v>5102</v>
      </c>
      <c r="X139" s="310" t="s">
        <v>5179</v>
      </c>
      <c r="Y139" s="310" t="s">
        <v>25</v>
      </c>
      <c r="Z139" s="310"/>
      <c r="AA139" s="17" t="str" cm="1">
        <f t="array" ref="AA139">a(Y139,Z139,C139,D139,G139,H139,I139,J139,K139,L139,M139,N139,O139,P139,Q139,R139)</f>
        <v>savePrgnInfoPaturSeNcnt</v>
      </c>
      <c r="AB139" s="49"/>
      <c r="AC139" s="4"/>
      <c r="AD139" s="47"/>
      <c r="AE139" s="47"/>
      <c r="AF139" s="47"/>
    </row>
    <row r="140" spans="1:32">
      <c r="A140" s="315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50"/>
      <c r="W140" s="48"/>
      <c r="AA140" s="47"/>
      <c r="AB140" s="47"/>
      <c r="AC140" s="4"/>
      <c r="AD140" s="47"/>
      <c r="AE140" s="47"/>
      <c r="AF140" s="47"/>
    </row>
    <row r="141" spans="1:32">
      <c r="C141" s="20" t="s">
        <v>4518</v>
      </c>
      <c r="D141" s="41" t="s">
        <v>4529</v>
      </c>
      <c r="E141" s="21">
        <v>20</v>
      </c>
      <c r="F141" s="44" t="s">
        <v>4530</v>
      </c>
      <c r="W141" s="20" t="s">
        <v>1907</v>
      </c>
      <c r="AF141" s="21"/>
    </row>
    <row r="142" spans="1:32">
      <c r="C142" s="20" t="s">
        <v>4518</v>
      </c>
      <c r="D142" s="41"/>
      <c r="E142" s="21"/>
      <c r="F142" s="44"/>
      <c r="W142" s="25" t="s">
        <v>4531</v>
      </c>
      <c r="AF142" s="21"/>
    </row>
    <row r="143" spans="1:32">
      <c r="C143" s="20" t="s">
        <v>4533</v>
      </c>
      <c r="D143" s="41" t="s">
        <v>4532</v>
      </c>
      <c r="E143" s="21">
        <v>21</v>
      </c>
      <c r="F143" s="44" t="s">
        <v>4534</v>
      </c>
      <c r="W143" s="20" t="s">
        <v>1907</v>
      </c>
      <c r="AF143" s="21"/>
    </row>
    <row r="144" spans="1:32">
      <c r="C144" s="20" t="s">
        <v>4533</v>
      </c>
      <c r="D144" s="41"/>
      <c r="E144" s="21"/>
      <c r="F144" s="44"/>
      <c r="W144" s="20" t="s">
        <v>4535</v>
      </c>
      <c r="AF144" s="21"/>
    </row>
    <row r="145" spans="3:32">
      <c r="C145" s="20" t="s">
        <v>4533</v>
      </c>
      <c r="D145" s="41"/>
      <c r="E145" s="21"/>
      <c r="F145" s="44"/>
      <c r="W145" s="20" t="s">
        <v>4536</v>
      </c>
      <c r="AF145" s="21"/>
    </row>
    <row r="146" spans="3:32">
      <c r="C146" s="20" t="s">
        <v>4533</v>
      </c>
      <c r="D146" s="41"/>
      <c r="E146" s="21"/>
      <c r="F146" s="44"/>
      <c r="W146" s="20" t="s">
        <v>4537</v>
      </c>
      <c r="AF146" s="21"/>
    </row>
    <row r="147" spans="3:32">
      <c r="C147" s="20" t="s">
        <v>4533</v>
      </c>
      <c r="D147" s="41"/>
      <c r="E147" s="21"/>
      <c r="F147" s="44"/>
      <c r="W147" s="20" t="s">
        <v>4538</v>
      </c>
      <c r="AF147" s="21"/>
    </row>
    <row r="148" spans="3:32">
      <c r="C148" s="20" t="s">
        <v>4533</v>
      </c>
      <c r="D148" s="41"/>
      <c r="E148" s="21"/>
      <c r="F148" s="44"/>
      <c r="W148" s="20" t="s">
        <v>4539</v>
      </c>
      <c r="AF148" s="21"/>
    </row>
    <row r="149" spans="3:32">
      <c r="C149" s="20" t="s">
        <v>4533</v>
      </c>
      <c r="D149" s="41" t="s">
        <v>4540</v>
      </c>
      <c r="E149" s="21">
        <v>22</v>
      </c>
      <c r="F149" s="45" t="s">
        <v>4541</v>
      </c>
      <c r="W149" s="20" t="s">
        <v>1907</v>
      </c>
      <c r="AF149" s="21"/>
    </row>
    <row r="150" spans="3:32">
      <c r="C150" s="20" t="s">
        <v>4533</v>
      </c>
      <c r="D150" s="41"/>
      <c r="E150" s="21"/>
      <c r="F150" s="45"/>
      <c r="W150" s="20" t="s">
        <v>4542</v>
      </c>
      <c r="AF150" s="21"/>
    </row>
    <row r="151" spans="3:32">
      <c r="C151" s="20" t="s">
        <v>4533</v>
      </c>
      <c r="D151" s="41" t="s">
        <v>4543</v>
      </c>
      <c r="E151" s="21">
        <v>23</v>
      </c>
      <c r="F151" s="45" t="s">
        <v>4544</v>
      </c>
      <c r="W151" s="20" t="s">
        <v>4545</v>
      </c>
      <c r="AF151" s="21"/>
    </row>
    <row r="152" spans="3:32">
      <c r="C152" s="20" t="s">
        <v>4533</v>
      </c>
      <c r="D152" s="41"/>
      <c r="E152" s="21"/>
      <c r="F152" s="45"/>
      <c r="W152" s="25" t="s">
        <v>4546</v>
      </c>
      <c r="AF152" s="21"/>
    </row>
    <row r="153" spans="3:32">
      <c r="C153" s="20" t="s">
        <v>4533</v>
      </c>
      <c r="D153" s="41"/>
      <c r="E153" s="21"/>
      <c r="F153" s="45"/>
      <c r="W153" s="25" t="s">
        <v>4547</v>
      </c>
      <c r="AF153" s="21"/>
    </row>
    <row r="154" spans="3:32">
      <c r="C154" s="20" t="s">
        <v>4533</v>
      </c>
      <c r="D154" s="41" t="s">
        <v>4548</v>
      </c>
      <c r="E154" s="21">
        <v>24</v>
      </c>
      <c r="F154" s="45" t="s">
        <v>4549</v>
      </c>
      <c r="W154" s="20" t="s">
        <v>1907</v>
      </c>
      <c r="AF154" s="21"/>
    </row>
    <row r="155" spans="3:32">
      <c r="C155" s="20" t="s">
        <v>4533</v>
      </c>
      <c r="D155" s="41"/>
      <c r="E155" s="21"/>
      <c r="F155" s="45"/>
      <c r="W155" s="25" t="s">
        <v>4550</v>
      </c>
      <c r="AF155" s="21"/>
    </row>
    <row r="156" spans="3:32">
      <c r="C156" s="20" t="s">
        <v>4533</v>
      </c>
      <c r="D156" s="41"/>
      <c r="E156" s="21"/>
      <c r="F156" s="45"/>
      <c r="W156" s="25" t="s">
        <v>4551</v>
      </c>
      <c r="AF156" s="21"/>
    </row>
    <row r="157" spans="3:32">
      <c r="C157" s="20" t="s">
        <v>4533</v>
      </c>
      <c r="D157" s="41" t="s">
        <v>4552</v>
      </c>
      <c r="E157" s="21">
        <v>25</v>
      </c>
      <c r="F157" s="45" t="s">
        <v>4553</v>
      </c>
      <c r="W157" s="20" t="s">
        <v>4545</v>
      </c>
      <c r="AF157" s="21"/>
    </row>
    <row r="158" spans="3:32">
      <c r="C158" s="20" t="s">
        <v>4533</v>
      </c>
      <c r="D158" s="41"/>
      <c r="E158" s="21"/>
      <c r="F158" s="45"/>
      <c r="W158" s="20" t="s">
        <v>4554</v>
      </c>
      <c r="AF158" s="21"/>
    </row>
    <row r="159" spans="3:32">
      <c r="C159" s="20" t="s">
        <v>4533</v>
      </c>
      <c r="D159" s="41" t="s">
        <v>4555</v>
      </c>
      <c r="E159" s="21">
        <v>26</v>
      </c>
      <c r="F159" s="45" t="s">
        <v>4556</v>
      </c>
      <c r="W159" s="20" t="s">
        <v>4545</v>
      </c>
      <c r="AF159" s="21"/>
    </row>
    <row r="160" spans="3:32">
      <c r="C160" s="20" t="s">
        <v>4533</v>
      </c>
      <c r="D160" s="41"/>
      <c r="E160" s="21"/>
      <c r="F160" s="45"/>
      <c r="W160" s="20" t="s">
        <v>4557</v>
      </c>
      <c r="AF160" s="21"/>
    </row>
    <row r="161" spans="3:32">
      <c r="C161" s="20" t="s">
        <v>4533</v>
      </c>
      <c r="D161" s="41" t="s">
        <v>4558</v>
      </c>
      <c r="E161" s="21">
        <v>27</v>
      </c>
      <c r="F161" s="45" t="s">
        <v>4559</v>
      </c>
      <c r="W161" s="20" t="s">
        <v>1907</v>
      </c>
      <c r="AF161" s="21"/>
    </row>
    <row r="162" spans="3:32">
      <c r="C162" s="20" t="s">
        <v>4533</v>
      </c>
      <c r="D162" s="41"/>
      <c r="E162" s="21"/>
      <c r="F162" s="45"/>
      <c r="W162" s="20" t="s">
        <v>4560</v>
      </c>
      <c r="AF162" s="21"/>
    </row>
    <row r="163" spans="3:32">
      <c r="C163" s="20" t="s">
        <v>4533</v>
      </c>
      <c r="D163" s="41" t="s">
        <v>4561</v>
      </c>
      <c r="E163" s="21">
        <v>28</v>
      </c>
      <c r="F163" s="45" t="s">
        <v>4562</v>
      </c>
      <c r="W163" s="20" t="s">
        <v>1907</v>
      </c>
      <c r="AF163" s="21"/>
    </row>
    <row r="164" spans="3:32">
      <c r="C164" s="20" t="s">
        <v>4533</v>
      </c>
      <c r="D164" s="41"/>
      <c r="E164" s="21"/>
      <c r="F164" s="45"/>
      <c r="W164" s="20" t="s">
        <v>4560</v>
      </c>
      <c r="AF164" s="21"/>
    </row>
    <row r="165" spans="3:32">
      <c r="C165" s="20" t="s">
        <v>4533</v>
      </c>
      <c r="D165" s="41"/>
      <c r="E165" s="21"/>
      <c r="F165" s="45"/>
      <c r="W165" s="20" t="s">
        <v>4564</v>
      </c>
      <c r="AF165" s="21" t="s">
        <v>4563</v>
      </c>
    </row>
    <row r="166" spans="3:32">
      <c r="C166" s="20" t="s">
        <v>4533</v>
      </c>
      <c r="D166" s="43" t="s">
        <v>4565</v>
      </c>
      <c r="E166" s="27">
        <v>29</v>
      </c>
      <c r="F166" s="46" t="s">
        <v>4566</v>
      </c>
      <c r="W166" s="26" t="s">
        <v>1907</v>
      </c>
      <c r="AF166" s="21"/>
    </row>
    <row r="167" spans="3:32">
      <c r="C167" s="20" t="s">
        <v>4533</v>
      </c>
      <c r="D167" s="43"/>
      <c r="E167" s="27"/>
      <c r="F167" s="46"/>
      <c r="W167" s="26" t="s">
        <v>4567</v>
      </c>
      <c r="AF167" s="27"/>
    </row>
    <row r="168" spans="3:32">
      <c r="C168" s="20" t="s">
        <v>4533</v>
      </c>
      <c r="D168" s="41" t="s">
        <v>4569</v>
      </c>
      <c r="E168" s="21">
        <v>30</v>
      </c>
      <c r="F168" s="45" t="s">
        <v>4570</v>
      </c>
      <c r="W168" s="20" t="s">
        <v>1907</v>
      </c>
      <c r="AF168" s="26" t="s">
        <v>4568</v>
      </c>
    </row>
    <row r="169" spans="3:32">
      <c r="C169" s="20" t="s">
        <v>4533</v>
      </c>
      <c r="D169" s="41"/>
      <c r="E169" s="21"/>
      <c r="F169" s="45"/>
      <c r="W169" s="20" t="s">
        <v>4571</v>
      </c>
      <c r="AF169" s="21"/>
    </row>
    <row r="170" spans="3:32">
      <c r="C170" s="20" t="s">
        <v>4533</v>
      </c>
      <c r="D170" s="41"/>
      <c r="E170" s="21"/>
      <c r="F170" s="45"/>
      <c r="W170" s="20" t="s">
        <v>4573</v>
      </c>
      <c r="AF170" s="21" t="s">
        <v>4572</v>
      </c>
    </row>
    <row r="171" spans="3:32">
      <c r="C171" s="20" t="s">
        <v>4533</v>
      </c>
      <c r="D171" s="41" t="s">
        <v>4574</v>
      </c>
      <c r="E171" s="21">
        <v>31</v>
      </c>
      <c r="F171" s="45" t="s">
        <v>4575</v>
      </c>
      <c r="W171" s="20" t="s">
        <v>4480</v>
      </c>
      <c r="AF171" s="21"/>
    </row>
    <row r="172" spans="3:32">
      <c r="C172" s="20" t="s">
        <v>4533</v>
      </c>
      <c r="D172" s="41"/>
      <c r="E172" s="21"/>
      <c r="F172" s="45"/>
      <c r="W172" s="20" t="s">
        <v>4576</v>
      </c>
      <c r="AF172" s="21"/>
    </row>
    <row r="173" spans="3:32">
      <c r="C173" s="20" t="s">
        <v>4533</v>
      </c>
      <c r="D173" s="41" t="s">
        <v>4577</v>
      </c>
      <c r="E173" s="21">
        <v>32</v>
      </c>
      <c r="F173" s="45" t="s">
        <v>4578</v>
      </c>
      <c r="W173" s="20" t="s">
        <v>1907</v>
      </c>
      <c r="AF173" s="21"/>
    </row>
    <row r="174" spans="3:32">
      <c r="C174" s="20" t="s">
        <v>4533</v>
      </c>
      <c r="D174" s="41"/>
      <c r="E174" s="21"/>
      <c r="F174" s="45"/>
      <c r="W174" s="20" t="s">
        <v>4579</v>
      </c>
      <c r="AF174" s="21"/>
    </row>
    <row r="175" spans="3:32">
      <c r="C175" s="20" t="s">
        <v>4533</v>
      </c>
      <c r="D175" s="41" t="s">
        <v>4580</v>
      </c>
      <c r="E175" s="21">
        <v>33</v>
      </c>
      <c r="F175" s="45" t="s">
        <v>4581</v>
      </c>
      <c r="W175" s="20" t="s">
        <v>1907</v>
      </c>
      <c r="AF175" s="21"/>
    </row>
    <row r="176" spans="3:32">
      <c r="C176" s="20" t="s">
        <v>4533</v>
      </c>
      <c r="D176" s="41"/>
      <c r="E176" s="21"/>
      <c r="F176" s="45"/>
      <c r="W176" s="20" t="s">
        <v>4582</v>
      </c>
      <c r="AF176" s="21"/>
    </row>
    <row r="177" spans="3:32">
      <c r="C177" s="20" t="s">
        <v>4533</v>
      </c>
      <c r="D177" s="41" t="s">
        <v>4583</v>
      </c>
      <c r="E177" s="21">
        <v>34</v>
      </c>
      <c r="F177" s="45" t="s">
        <v>4584</v>
      </c>
      <c r="W177" s="20" t="s">
        <v>1907</v>
      </c>
      <c r="AF177" s="21"/>
    </row>
    <row r="178" spans="3:32">
      <c r="C178" s="20" t="s">
        <v>4533</v>
      </c>
      <c r="D178" s="41"/>
      <c r="E178" s="21"/>
      <c r="F178" s="45"/>
      <c r="W178" s="20" t="s">
        <v>4585</v>
      </c>
      <c r="AF178" s="21"/>
    </row>
    <row r="179" spans="3:32">
      <c r="C179" s="20" t="s">
        <v>4533</v>
      </c>
      <c r="D179" s="41"/>
      <c r="E179" s="21"/>
      <c r="F179" s="45"/>
      <c r="W179" s="20" t="s">
        <v>4586</v>
      </c>
      <c r="AF179" s="21"/>
    </row>
    <row r="180" spans="3:32">
      <c r="C180" s="20" t="s">
        <v>4533</v>
      </c>
      <c r="D180" s="41"/>
      <c r="E180" s="21"/>
      <c r="F180" s="45"/>
      <c r="W180" s="20" t="s">
        <v>4587</v>
      </c>
      <c r="AF180" s="21"/>
    </row>
    <row r="181" spans="3:32">
      <c r="C181" s="20" t="s">
        <v>4533</v>
      </c>
      <c r="D181" s="41"/>
      <c r="E181" s="21"/>
      <c r="F181" s="45"/>
      <c r="W181" s="20" t="s">
        <v>4588</v>
      </c>
      <c r="AF181" s="21"/>
    </row>
    <row r="182" spans="3:32">
      <c r="C182" s="20" t="s">
        <v>4533</v>
      </c>
      <c r="D182" s="41" t="s">
        <v>4589</v>
      </c>
      <c r="E182" s="21">
        <v>35</v>
      </c>
      <c r="F182" s="45" t="s">
        <v>4590</v>
      </c>
      <c r="W182" s="20" t="s">
        <v>1907</v>
      </c>
      <c r="AF182" s="21"/>
    </row>
    <row r="183" spans="3:32">
      <c r="C183" s="20" t="s">
        <v>4533</v>
      </c>
      <c r="D183" s="41"/>
      <c r="E183" s="21"/>
      <c r="F183" s="45"/>
      <c r="W183" s="20" t="s">
        <v>4591</v>
      </c>
      <c r="AF183" s="21"/>
    </row>
    <row r="184" spans="3:32">
      <c r="C184" s="20" t="s">
        <v>4533</v>
      </c>
      <c r="D184" s="41"/>
      <c r="E184" s="21"/>
      <c r="F184" s="45"/>
      <c r="W184" s="20" t="s">
        <v>4592</v>
      </c>
      <c r="AF184" s="21"/>
    </row>
    <row r="185" spans="3:32">
      <c r="C185" s="20" t="s">
        <v>4533</v>
      </c>
      <c r="D185" s="41"/>
      <c r="E185" s="21"/>
      <c r="F185" s="45"/>
      <c r="W185" s="20" t="s">
        <v>4593</v>
      </c>
      <c r="AF185" s="21"/>
    </row>
    <row r="186" spans="3:32">
      <c r="C186" s="20" t="s">
        <v>4595</v>
      </c>
      <c r="D186" s="41" t="s">
        <v>4594</v>
      </c>
      <c r="E186" s="21">
        <v>36</v>
      </c>
      <c r="F186" s="45" t="s">
        <v>4596</v>
      </c>
      <c r="W186" s="20" t="s">
        <v>1907</v>
      </c>
      <c r="AF186" s="21"/>
    </row>
    <row r="187" spans="3:32">
      <c r="C187" s="20" t="s">
        <v>4595</v>
      </c>
      <c r="D187" s="41"/>
      <c r="E187" s="21"/>
      <c r="F187" s="45"/>
      <c r="W187" s="20" t="s">
        <v>4536</v>
      </c>
      <c r="AF187" s="21"/>
    </row>
    <row r="188" spans="3:32">
      <c r="C188" s="20" t="s">
        <v>4595</v>
      </c>
      <c r="D188" s="41"/>
      <c r="E188" s="21"/>
      <c r="F188" s="45"/>
      <c r="W188" s="20" t="s">
        <v>4597</v>
      </c>
      <c r="AF188" s="21"/>
    </row>
    <row r="189" spans="3:32">
      <c r="C189" s="20" t="s">
        <v>4595</v>
      </c>
      <c r="D189" s="41"/>
      <c r="E189" s="21"/>
      <c r="F189" s="45"/>
      <c r="W189" s="20" t="s">
        <v>4598</v>
      </c>
      <c r="AF189" s="21"/>
    </row>
    <row r="190" spans="3:32">
      <c r="C190" s="20" t="s">
        <v>4595</v>
      </c>
      <c r="D190" s="41"/>
      <c r="E190" s="21"/>
      <c r="F190" s="45"/>
      <c r="W190" s="20" t="s">
        <v>4599</v>
      </c>
      <c r="AF190" s="21"/>
    </row>
    <row r="191" spans="3:32">
      <c r="C191" s="20" t="s">
        <v>4595</v>
      </c>
      <c r="D191" s="41"/>
      <c r="E191" s="21"/>
      <c r="F191" s="45"/>
      <c r="W191" s="20" t="s">
        <v>4600</v>
      </c>
      <c r="AF191" s="21"/>
    </row>
    <row r="192" spans="3:32">
      <c r="C192" s="20" t="s">
        <v>4595</v>
      </c>
      <c r="D192" s="41" t="s">
        <v>4601</v>
      </c>
      <c r="E192" s="21">
        <v>37</v>
      </c>
      <c r="F192" s="45" t="s">
        <v>4602</v>
      </c>
      <c r="W192" s="20" t="s">
        <v>4545</v>
      </c>
      <c r="AF192" s="21"/>
    </row>
    <row r="193" spans="3:32">
      <c r="C193" s="20" t="s">
        <v>4595</v>
      </c>
      <c r="D193" s="41"/>
      <c r="E193" s="21"/>
      <c r="F193" s="45"/>
      <c r="W193" s="20" t="s">
        <v>4603</v>
      </c>
      <c r="AF193" s="21"/>
    </row>
    <row r="194" spans="3:32">
      <c r="C194" s="20" t="s">
        <v>4595</v>
      </c>
      <c r="D194" s="41" t="s">
        <v>4604</v>
      </c>
      <c r="E194" s="21">
        <v>38</v>
      </c>
      <c r="F194" s="45" t="s">
        <v>4605</v>
      </c>
      <c r="W194" s="20" t="s">
        <v>1907</v>
      </c>
      <c r="AF194" s="21"/>
    </row>
    <row r="195" spans="3:32">
      <c r="C195" s="20" t="s">
        <v>4595</v>
      </c>
      <c r="D195" s="41"/>
      <c r="E195" s="21"/>
      <c r="F195" s="45"/>
      <c r="W195" s="25" t="s">
        <v>4606</v>
      </c>
      <c r="AF195" s="21"/>
    </row>
    <row r="196" spans="3:32">
      <c r="C196" s="20" t="s">
        <v>4595</v>
      </c>
      <c r="D196" s="41"/>
      <c r="E196" s="21"/>
      <c r="F196" s="45"/>
      <c r="W196" s="25" t="s">
        <v>4607</v>
      </c>
      <c r="AF196" s="21"/>
    </row>
    <row r="197" spans="3:32">
      <c r="C197" s="20" t="s">
        <v>4595</v>
      </c>
      <c r="D197" s="41" t="s">
        <v>4608</v>
      </c>
      <c r="E197" s="21">
        <v>39</v>
      </c>
      <c r="F197" s="45" t="s">
        <v>4609</v>
      </c>
      <c r="W197" s="20" t="s">
        <v>1907</v>
      </c>
      <c r="AF197" s="21"/>
    </row>
    <row r="198" spans="3:32">
      <c r="C198" s="20" t="s">
        <v>4595</v>
      </c>
      <c r="D198" s="41"/>
      <c r="E198" s="21"/>
      <c r="F198" s="45"/>
      <c r="W198" s="25" t="s">
        <v>4610</v>
      </c>
      <c r="AF198" s="21"/>
    </row>
    <row r="199" spans="3:32">
      <c r="C199" s="20" t="s">
        <v>4595</v>
      </c>
      <c r="D199" s="41" t="s">
        <v>4611</v>
      </c>
      <c r="E199" s="21">
        <v>40</v>
      </c>
      <c r="F199" s="45" t="s">
        <v>4612</v>
      </c>
      <c r="W199" s="20" t="s">
        <v>1907</v>
      </c>
      <c r="AF199" s="21"/>
    </row>
    <row r="200" spans="3:32">
      <c r="C200" s="20" t="s">
        <v>4595</v>
      </c>
      <c r="D200" s="41"/>
      <c r="E200" s="21"/>
      <c r="F200" s="45"/>
      <c r="W200" s="20" t="s">
        <v>4613</v>
      </c>
      <c r="AF200" s="21"/>
    </row>
    <row r="201" spans="3:32">
      <c r="C201" s="20" t="s">
        <v>4595</v>
      </c>
      <c r="D201" s="41"/>
      <c r="E201" s="21"/>
      <c r="F201" s="45"/>
      <c r="W201" s="20" t="s">
        <v>4614</v>
      </c>
      <c r="AF201" s="21"/>
    </row>
    <row r="202" spans="3:32">
      <c r="C202" s="20" t="s">
        <v>4595</v>
      </c>
      <c r="D202" s="41" t="s">
        <v>4615</v>
      </c>
      <c r="E202" s="21">
        <v>41</v>
      </c>
      <c r="F202" s="45" t="s">
        <v>4616</v>
      </c>
      <c r="W202" s="20" t="s">
        <v>1907</v>
      </c>
      <c r="AF202" s="21"/>
    </row>
    <row r="203" spans="3:32">
      <c r="C203" s="20" t="s">
        <v>4595</v>
      </c>
      <c r="D203" s="41"/>
      <c r="E203" s="21"/>
      <c r="F203" s="45"/>
      <c r="W203" s="20" t="s">
        <v>4617</v>
      </c>
      <c r="AF203" s="21"/>
    </row>
    <row r="204" spans="3:32">
      <c r="C204" s="20" t="s">
        <v>4595</v>
      </c>
      <c r="D204" s="41" t="s">
        <v>4618</v>
      </c>
      <c r="E204" s="21">
        <v>42</v>
      </c>
      <c r="F204" s="45" t="s">
        <v>4619</v>
      </c>
      <c r="W204" s="20" t="s">
        <v>1907</v>
      </c>
      <c r="AF204" s="21"/>
    </row>
    <row r="205" spans="3:32">
      <c r="C205" s="20" t="s">
        <v>4595</v>
      </c>
      <c r="D205" s="41"/>
      <c r="E205" s="21"/>
      <c r="F205" s="45"/>
      <c r="W205" s="20" t="s">
        <v>4620</v>
      </c>
      <c r="AF205" s="21"/>
    </row>
    <row r="206" spans="3:32">
      <c r="C206" s="20" t="s">
        <v>4595</v>
      </c>
      <c r="D206" s="41"/>
      <c r="E206" s="21"/>
      <c r="F206" s="45"/>
      <c r="W206" s="20" t="s">
        <v>4621</v>
      </c>
      <c r="AF206" s="21"/>
    </row>
    <row r="207" spans="3:32">
      <c r="C207" s="20" t="s">
        <v>4595</v>
      </c>
      <c r="D207" s="41" t="s">
        <v>4622</v>
      </c>
      <c r="E207" s="21">
        <v>43</v>
      </c>
      <c r="F207" s="45" t="s">
        <v>4623</v>
      </c>
      <c r="W207" s="20" t="s">
        <v>1907</v>
      </c>
      <c r="AF207" s="21"/>
    </row>
    <row r="208" spans="3:32">
      <c r="C208" s="20" t="s">
        <v>4595</v>
      </c>
      <c r="D208" s="41"/>
      <c r="E208" s="21"/>
      <c r="F208" s="45"/>
      <c r="W208" s="20" t="s">
        <v>4624</v>
      </c>
      <c r="AF208" s="21"/>
    </row>
    <row r="209" spans="3:32">
      <c r="C209" s="20" t="s">
        <v>4595</v>
      </c>
      <c r="D209" s="41" t="s">
        <v>4625</v>
      </c>
      <c r="E209" s="21">
        <v>44</v>
      </c>
      <c r="F209" s="45" t="s">
        <v>4626</v>
      </c>
      <c r="W209" s="20" t="s">
        <v>1907</v>
      </c>
      <c r="AF209" s="21"/>
    </row>
    <row r="210" spans="3:32">
      <c r="C210" s="20" t="s">
        <v>4595</v>
      </c>
      <c r="D210" s="41"/>
      <c r="E210" s="21"/>
      <c r="F210" s="45"/>
      <c r="W210" s="20" t="s">
        <v>4627</v>
      </c>
      <c r="AF210" s="21"/>
    </row>
    <row r="211" spans="3:32">
      <c r="C211" s="20" t="s">
        <v>4595</v>
      </c>
      <c r="D211" s="41"/>
      <c r="E211" s="21"/>
      <c r="F211" s="45"/>
      <c r="W211" s="20" t="s">
        <v>4629</v>
      </c>
      <c r="AF211" s="21" t="s">
        <v>4628</v>
      </c>
    </row>
    <row r="212" spans="3:32">
      <c r="C212" s="20" t="s">
        <v>4595</v>
      </c>
      <c r="D212" s="41"/>
      <c r="E212" s="21"/>
      <c r="F212" s="45"/>
      <c r="W212" s="20" t="s">
        <v>4630</v>
      </c>
      <c r="AF212" s="21"/>
    </row>
    <row r="213" spans="3:32">
      <c r="C213" s="20" t="s">
        <v>4595</v>
      </c>
      <c r="D213" s="41" t="s">
        <v>4631</v>
      </c>
      <c r="E213" s="21">
        <v>45</v>
      </c>
      <c r="F213" s="45" t="s">
        <v>4632</v>
      </c>
      <c r="W213" s="20" t="s">
        <v>1907</v>
      </c>
      <c r="AF213" s="21"/>
    </row>
    <row r="214" spans="3:32">
      <c r="C214" s="20" t="s">
        <v>4595</v>
      </c>
      <c r="D214" s="41"/>
      <c r="E214" s="21"/>
      <c r="F214" s="45"/>
      <c r="W214" s="20" t="s">
        <v>4633</v>
      </c>
      <c r="AF214" s="26" t="s">
        <v>4568</v>
      </c>
    </row>
    <row r="215" spans="3:32">
      <c r="C215" s="20" t="s">
        <v>4595</v>
      </c>
      <c r="D215" s="41" t="s">
        <v>4634</v>
      </c>
      <c r="E215" s="21">
        <v>46</v>
      </c>
      <c r="F215" s="45" t="s">
        <v>4635</v>
      </c>
      <c r="W215" s="20" t="s">
        <v>1907</v>
      </c>
      <c r="AF215" s="26" t="s">
        <v>4568</v>
      </c>
    </row>
    <row r="216" spans="3:32">
      <c r="C216" s="20" t="s">
        <v>4595</v>
      </c>
      <c r="D216" s="41"/>
      <c r="E216" s="21"/>
      <c r="F216" s="45"/>
      <c r="W216" s="25" t="s">
        <v>4636</v>
      </c>
      <c r="AF216" s="21"/>
    </row>
    <row r="217" spans="3:32">
      <c r="C217" s="20" t="s">
        <v>2710</v>
      </c>
      <c r="D217" s="41" t="s">
        <v>4637</v>
      </c>
      <c r="E217" s="21">
        <v>47</v>
      </c>
      <c r="F217" s="45" t="s">
        <v>4638</v>
      </c>
      <c r="W217" s="20" t="s">
        <v>1907</v>
      </c>
      <c r="AF217" s="21"/>
    </row>
    <row r="218" spans="3:32">
      <c r="C218" s="20" t="s">
        <v>2710</v>
      </c>
      <c r="D218" s="41"/>
      <c r="E218" s="21"/>
      <c r="F218" s="45"/>
      <c r="W218" s="20" t="s">
        <v>4639</v>
      </c>
      <c r="AF218" s="21"/>
    </row>
    <row r="219" spans="3:32">
      <c r="C219" s="20" t="s">
        <v>2710</v>
      </c>
      <c r="D219" s="41" t="s">
        <v>4640</v>
      </c>
      <c r="E219" s="21">
        <v>48</v>
      </c>
      <c r="F219" s="45" t="s">
        <v>4641</v>
      </c>
      <c r="W219" s="20" t="s">
        <v>1907</v>
      </c>
      <c r="AF219" s="21"/>
    </row>
    <row r="220" spans="3:32">
      <c r="C220" s="20" t="s">
        <v>2710</v>
      </c>
      <c r="D220" s="41"/>
      <c r="E220" s="21"/>
      <c r="F220" s="45"/>
      <c r="W220" s="20" t="s">
        <v>4642</v>
      </c>
      <c r="AF220" s="21"/>
    </row>
    <row r="221" spans="3:32">
      <c r="C221" s="20" t="s">
        <v>2710</v>
      </c>
      <c r="D221" s="41" t="s">
        <v>4643</v>
      </c>
      <c r="E221" s="21">
        <v>49</v>
      </c>
      <c r="F221" s="45" t="s">
        <v>4644</v>
      </c>
      <c r="W221" s="20" t="s">
        <v>1907</v>
      </c>
      <c r="AF221" s="21"/>
    </row>
    <row r="222" spans="3:32">
      <c r="C222" s="20" t="s">
        <v>2710</v>
      </c>
      <c r="D222" s="41"/>
      <c r="E222" s="21"/>
      <c r="F222" s="45"/>
      <c r="W222" s="20" t="s">
        <v>4645</v>
      </c>
      <c r="AF222" s="21"/>
    </row>
    <row r="223" spans="3:32">
      <c r="C223" s="20" t="s">
        <v>2710</v>
      </c>
      <c r="D223" s="41"/>
      <c r="E223" s="21"/>
      <c r="F223" s="45"/>
      <c r="W223" s="25" t="s">
        <v>4646</v>
      </c>
      <c r="AF223" s="21"/>
    </row>
    <row r="224" spans="3:32">
      <c r="C224" s="20" t="s">
        <v>2710</v>
      </c>
      <c r="D224" s="41"/>
      <c r="E224" s="21"/>
      <c r="F224" s="45"/>
      <c r="W224" s="25" t="s">
        <v>4647</v>
      </c>
      <c r="AF224" s="25"/>
    </row>
    <row r="225" spans="3:32">
      <c r="C225" s="20" t="s">
        <v>2710</v>
      </c>
      <c r="D225" s="41" t="s">
        <v>4648</v>
      </c>
      <c r="E225" s="21">
        <v>50</v>
      </c>
      <c r="F225" s="45" t="s">
        <v>4649</v>
      </c>
      <c r="W225" s="20" t="s">
        <v>1907</v>
      </c>
      <c r="AF225" s="25"/>
    </row>
    <row r="226" spans="3:32">
      <c r="C226" s="20" t="s">
        <v>2710</v>
      </c>
      <c r="D226" s="41"/>
      <c r="E226" s="21"/>
      <c r="F226" s="45"/>
      <c r="W226" s="20" t="s">
        <v>4650</v>
      </c>
      <c r="AF226" s="21"/>
    </row>
    <row r="227" spans="3:32">
      <c r="C227" s="20" t="s">
        <v>2710</v>
      </c>
      <c r="D227" s="41" t="s">
        <v>4651</v>
      </c>
      <c r="E227" s="21">
        <v>51</v>
      </c>
      <c r="F227" s="45" t="s">
        <v>4652</v>
      </c>
      <c r="W227" s="20" t="s">
        <v>1907</v>
      </c>
      <c r="AF227" s="21"/>
    </row>
    <row r="228" spans="3:32">
      <c r="C228" s="20" t="s">
        <v>2710</v>
      </c>
      <c r="D228" s="41"/>
      <c r="E228" s="21"/>
      <c r="F228" s="45"/>
      <c r="W228" s="20" t="s">
        <v>4653</v>
      </c>
      <c r="AF228" s="21"/>
    </row>
    <row r="229" spans="3:32">
      <c r="C229" s="20" t="s">
        <v>2710</v>
      </c>
      <c r="D229" s="41" t="s">
        <v>4654</v>
      </c>
      <c r="E229" s="21">
        <v>52</v>
      </c>
      <c r="F229" s="45" t="s">
        <v>4655</v>
      </c>
      <c r="W229" s="20" t="s">
        <v>1907</v>
      </c>
      <c r="AF229" s="21"/>
    </row>
    <row r="230" spans="3:32">
      <c r="C230" s="20" t="s">
        <v>2710</v>
      </c>
      <c r="D230" s="41"/>
      <c r="E230" s="21"/>
      <c r="F230" s="45"/>
      <c r="W230" s="20" t="s">
        <v>4656</v>
      </c>
      <c r="AF230" s="21"/>
    </row>
    <row r="231" spans="3:32">
      <c r="C231" s="20" t="s">
        <v>2710</v>
      </c>
      <c r="D231" s="41" t="s">
        <v>4657</v>
      </c>
      <c r="E231" s="21">
        <v>53</v>
      </c>
      <c r="F231" s="45" t="s">
        <v>4658</v>
      </c>
      <c r="W231" s="20" t="s">
        <v>1907</v>
      </c>
      <c r="AF231" s="21"/>
    </row>
    <row r="232" spans="3:32">
      <c r="C232" s="20" t="s">
        <v>2710</v>
      </c>
      <c r="D232" s="41"/>
      <c r="E232" s="21"/>
      <c r="F232" s="45"/>
      <c r="W232" s="24" t="s">
        <v>4659</v>
      </c>
      <c r="AF232" s="21"/>
    </row>
    <row r="233" spans="3:32">
      <c r="C233" s="20" t="s">
        <v>2710</v>
      </c>
      <c r="D233" s="41" t="s">
        <v>4660</v>
      </c>
      <c r="E233" s="21">
        <v>54</v>
      </c>
      <c r="F233" s="45" t="s">
        <v>4661</v>
      </c>
      <c r="W233" s="20" t="s">
        <v>1907</v>
      </c>
      <c r="AF233" s="21"/>
    </row>
    <row r="234" spans="3:32">
      <c r="C234" s="20" t="s">
        <v>2710</v>
      </c>
      <c r="D234" s="41"/>
      <c r="E234" s="21"/>
      <c r="F234" s="45"/>
      <c r="W234" s="20" t="s">
        <v>4662</v>
      </c>
      <c r="AF234" s="21"/>
    </row>
    <row r="235" spans="3:32">
      <c r="AF235" s="21" t="s">
        <v>4663</v>
      </c>
    </row>
  </sheetData>
  <phoneticPr fontId="1" type="noConversion"/>
  <conditionalFormatting sqref="G13">
    <cfRule type="cellIs" dxfId="2068" priority="2818" operator="equal">
      <formula>"화면"</formula>
    </cfRule>
  </conditionalFormatting>
  <conditionalFormatting sqref="G11">
    <cfRule type="cellIs" dxfId="2067" priority="2817" operator="equal">
      <formula>"화면"</formula>
    </cfRule>
  </conditionalFormatting>
  <conditionalFormatting sqref="G12">
    <cfRule type="cellIs" dxfId="2066" priority="2816" operator="equal">
      <formula>"화면"</formula>
    </cfRule>
  </conditionalFormatting>
  <conditionalFormatting sqref="Y2">
    <cfRule type="cellIs" dxfId="2065" priority="2815" operator="equal">
      <formula>"화면"</formula>
    </cfRule>
  </conditionalFormatting>
  <conditionalFormatting sqref="Z2">
    <cfRule type="cellIs" dxfId="2064" priority="2814" operator="equal">
      <formula>"화면"</formula>
    </cfRule>
  </conditionalFormatting>
  <conditionalFormatting sqref="X2">
    <cfRule type="cellIs" dxfId="2063" priority="2813" operator="equal">
      <formula>"화면"</formula>
    </cfRule>
  </conditionalFormatting>
  <conditionalFormatting sqref="AA42 V99:V101 V71">
    <cfRule type="cellIs" dxfId="2062" priority="2810" operator="equal">
      <formula>"수정-신규"</formula>
    </cfRule>
    <cfRule type="cellIs" dxfId="2061" priority="2811" operator="equal">
      <formula>"수정"</formula>
    </cfRule>
    <cfRule type="cellIs" dxfId="2060" priority="2812" operator="equal">
      <formula>"신규"</formula>
    </cfRule>
  </conditionalFormatting>
  <conditionalFormatting sqref="AA42 V99:V101 V71">
    <cfRule type="cellIs" dxfId="2059" priority="2809" operator="equal">
      <formula>"수정-신규"</formula>
    </cfRule>
  </conditionalFormatting>
  <conditionalFormatting sqref="AA94">
    <cfRule type="cellIs" dxfId="2058" priority="2806" operator="equal">
      <formula>"수정-신규"</formula>
    </cfRule>
    <cfRule type="cellIs" dxfId="2057" priority="2807" operator="equal">
      <formula>"수정"</formula>
    </cfRule>
    <cfRule type="cellIs" dxfId="2056" priority="2808" operator="equal">
      <formula>"신규"</formula>
    </cfRule>
  </conditionalFormatting>
  <conditionalFormatting sqref="AA94">
    <cfRule type="cellIs" dxfId="2055" priority="2805" operator="equal">
      <formula>"수정-신규"</formula>
    </cfRule>
  </conditionalFormatting>
  <conditionalFormatting sqref="AA55">
    <cfRule type="cellIs" dxfId="2054" priority="2802" operator="equal">
      <formula>"수정-신규"</formula>
    </cfRule>
    <cfRule type="cellIs" dxfId="2053" priority="2803" operator="equal">
      <formula>"수정"</formula>
    </cfRule>
    <cfRule type="cellIs" dxfId="2052" priority="2804" operator="equal">
      <formula>"신규"</formula>
    </cfRule>
  </conditionalFormatting>
  <conditionalFormatting sqref="AA55">
    <cfRule type="cellIs" dxfId="2051" priority="2801" operator="equal">
      <formula>"수정-신규"</formula>
    </cfRule>
  </conditionalFormatting>
  <conditionalFormatting sqref="AE2:AE3 AE5:AE10 AE42">
    <cfRule type="cellIs" dxfId="2050" priority="2554" operator="equal">
      <formula>"수정-신규"</formula>
    </cfRule>
    <cfRule type="cellIs" dxfId="2049" priority="2555" operator="equal">
      <formula>"수정"</formula>
    </cfRule>
    <cfRule type="cellIs" dxfId="2048" priority="2556" operator="equal">
      <formula>"신규"</formula>
    </cfRule>
  </conditionalFormatting>
  <conditionalFormatting sqref="AE2:AE3 AE5:AE10 AE42">
    <cfRule type="cellIs" dxfId="2047" priority="2553" operator="equal">
      <formula>"수정-신규"</formula>
    </cfRule>
  </conditionalFormatting>
  <conditionalFormatting sqref="AD2:AD3 AD5:AD10 AD42">
    <cfRule type="cellIs" dxfId="2046" priority="2550" operator="equal">
      <formula>"수정-신규"</formula>
    </cfRule>
    <cfRule type="cellIs" dxfId="2045" priority="2551" operator="equal">
      <formula>"수정"</formula>
    </cfRule>
    <cfRule type="cellIs" dxfId="2044" priority="2552" operator="equal">
      <formula>"신규"</formula>
    </cfRule>
  </conditionalFormatting>
  <conditionalFormatting sqref="AD2:AD3 AD5:AD10 AD42">
    <cfRule type="cellIs" dxfId="2043" priority="2549" operator="equal">
      <formula>"수정-신규"</formula>
    </cfRule>
  </conditionalFormatting>
  <conditionalFormatting sqref="AE4">
    <cfRule type="cellIs" dxfId="2042" priority="2546" operator="equal">
      <formula>"수정-신규"</formula>
    </cfRule>
    <cfRule type="cellIs" dxfId="2041" priority="2547" operator="equal">
      <formula>"수정"</formula>
    </cfRule>
    <cfRule type="cellIs" dxfId="2040" priority="2548" operator="equal">
      <formula>"신규"</formula>
    </cfRule>
  </conditionalFormatting>
  <conditionalFormatting sqref="AE4">
    <cfRule type="cellIs" dxfId="2039" priority="2545" operator="equal">
      <formula>"수정-신규"</formula>
    </cfRule>
  </conditionalFormatting>
  <conditionalFormatting sqref="AD4">
    <cfRule type="cellIs" dxfId="2038" priority="2541" operator="equal">
      <formula>"수정-신규"</formula>
    </cfRule>
  </conditionalFormatting>
  <conditionalFormatting sqref="AD4">
    <cfRule type="cellIs" dxfId="2037" priority="2542" operator="equal">
      <formula>"수정-신규"</formula>
    </cfRule>
    <cfRule type="cellIs" dxfId="2036" priority="2543" operator="equal">
      <formula>"수정"</formula>
    </cfRule>
    <cfRule type="cellIs" dxfId="2035" priority="2544" operator="equal">
      <formula>"신규"</formula>
    </cfRule>
  </conditionalFormatting>
  <conditionalFormatting sqref="AE16">
    <cfRule type="cellIs" dxfId="2034" priority="2538" operator="equal">
      <formula>"수정-신규"</formula>
    </cfRule>
    <cfRule type="cellIs" dxfId="2033" priority="2539" operator="equal">
      <formula>"수정"</formula>
    </cfRule>
    <cfRule type="cellIs" dxfId="2032" priority="2540" operator="equal">
      <formula>"신규"</formula>
    </cfRule>
  </conditionalFormatting>
  <conditionalFormatting sqref="AE16">
    <cfRule type="cellIs" dxfId="2031" priority="2537" operator="equal">
      <formula>"수정-신규"</formula>
    </cfRule>
  </conditionalFormatting>
  <conditionalFormatting sqref="AD16">
    <cfRule type="cellIs" dxfId="2030" priority="2534" operator="equal">
      <formula>"수정-신규"</formula>
    </cfRule>
    <cfRule type="cellIs" dxfId="2029" priority="2535" operator="equal">
      <formula>"수정"</formula>
    </cfRule>
    <cfRule type="cellIs" dxfId="2028" priority="2536" operator="equal">
      <formula>"신규"</formula>
    </cfRule>
  </conditionalFormatting>
  <conditionalFormatting sqref="AD16">
    <cfRule type="cellIs" dxfId="2027" priority="2533" operator="equal">
      <formula>"수정-신규"</formula>
    </cfRule>
  </conditionalFormatting>
  <conditionalFormatting sqref="AE15">
    <cfRule type="cellIs" dxfId="2026" priority="2529" operator="equal">
      <formula>"수정-신규"</formula>
    </cfRule>
  </conditionalFormatting>
  <conditionalFormatting sqref="AE15">
    <cfRule type="cellIs" dxfId="2025" priority="2530" operator="equal">
      <formula>"수정-신규"</formula>
    </cfRule>
    <cfRule type="cellIs" dxfId="2024" priority="2531" operator="equal">
      <formula>"수정"</formula>
    </cfRule>
    <cfRule type="cellIs" dxfId="2023" priority="2532" operator="equal">
      <formula>"신규"</formula>
    </cfRule>
  </conditionalFormatting>
  <conditionalFormatting sqref="AD15">
    <cfRule type="cellIs" dxfId="2022" priority="2526" operator="equal">
      <formula>"수정-신규"</formula>
    </cfRule>
    <cfRule type="cellIs" dxfId="2021" priority="2527" operator="equal">
      <formula>"수정"</formula>
    </cfRule>
    <cfRule type="cellIs" dxfId="2020" priority="2528" operator="equal">
      <formula>"신규"</formula>
    </cfRule>
  </conditionalFormatting>
  <conditionalFormatting sqref="AD15">
    <cfRule type="cellIs" dxfId="2019" priority="2525" operator="equal">
      <formula>"수정-신규"</formula>
    </cfRule>
  </conditionalFormatting>
  <conditionalFormatting sqref="AE14">
    <cfRule type="cellIs" dxfId="2018" priority="2522" operator="equal">
      <formula>"수정-신규"</formula>
    </cfRule>
    <cfRule type="cellIs" dxfId="2017" priority="2523" operator="equal">
      <formula>"수정"</formula>
    </cfRule>
    <cfRule type="cellIs" dxfId="2016" priority="2524" operator="equal">
      <formula>"신규"</formula>
    </cfRule>
  </conditionalFormatting>
  <conditionalFormatting sqref="AE14">
    <cfRule type="cellIs" dxfId="2015" priority="2521" operator="equal">
      <formula>"수정-신규"</formula>
    </cfRule>
  </conditionalFormatting>
  <conditionalFormatting sqref="AD13">
    <cfRule type="cellIs" dxfId="2014" priority="2509" operator="equal">
      <formula>"수정-신규"</formula>
    </cfRule>
  </conditionalFormatting>
  <conditionalFormatting sqref="AD14">
    <cfRule type="cellIs" dxfId="2013" priority="2518" operator="equal">
      <formula>"수정-신규"</formula>
    </cfRule>
    <cfRule type="cellIs" dxfId="2012" priority="2519" operator="equal">
      <formula>"수정"</formula>
    </cfRule>
    <cfRule type="cellIs" dxfId="2011" priority="2520" operator="equal">
      <formula>"신규"</formula>
    </cfRule>
  </conditionalFormatting>
  <conditionalFormatting sqref="AD14">
    <cfRule type="cellIs" dxfId="2010" priority="2517" operator="equal">
      <formula>"수정-신규"</formula>
    </cfRule>
  </conditionalFormatting>
  <conditionalFormatting sqref="AE13">
    <cfRule type="cellIs" dxfId="2009" priority="2514" operator="equal">
      <formula>"수정-신규"</formula>
    </cfRule>
    <cfRule type="cellIs" dxfId="2008" priority="2515" operator="equal">
      <formula>"수정"</formula>
    </cfRule>
    <cfRule type="cellIs" dxfId="2007" priority="2516" operator="equal">
      <formula>"신규"</formula>
    </cfRule>
  </conditionalFormatting>
  <conditionalFormatting sqref="AE13">
    <cfRule type="cellIs" dxfId="2006" priority="2513" operator="equal">
      <formula>"수정-신규"</formula>
    </cfRule>
  </conditionalFormatting>
  <conditionalFormatting sqref="AD13">
    <cfRule type="cellIs" dxfId="2005" priority="2510" operator="equal">
      <formula>"수정-신규"</formula>
    </cfRule>
    <cfRule type="cellIs" dxfId="2004" priority="2511" operator="equal">
      <formula>"수정"</formula>
    </cfRule>
    <cfRule type="cellIs" dxfId="2003" priority="2512" operator="equal">
      <formula>"신규"</formula>
    </cfRule>
  </conditionalFormatting>
  <conditionalFormatting sqref="AE12">
    <cfRule type="cellIs" dxfId="2002" priority="2506" operator="equal">
      <formula>"수정-신규"</formula>
    </cfRule>
    <cfRule type="cellIs" dxfId="2001" priority="2507" operator="equal">
      <formula>"수정"</formula>
    </cfRule>
    <cfRule type="cellIs" dxfId="2000" priority="2508" operator="equal">
      <formula>"신규"</formula>
    </cfRule>
  </conditionalFormatting>
  <conditionalFormatting sqref="AE12">
    <cfRule type="cellIs" dxfId="1999" priority="2505" operator="equal">
      <formula>"수정-신규"</formula>
    </cfRule>
  </conditionalFormatting>
  <conditionalFormatting sqref="AD12">
    <cfRule type="cellIs" dxfId="1998" priority="2502" operator="equal">
      <formula>"수정-신규"</formula>
    </cfRule>
    <cfRule type="cellIs" dxfId="1997" priority="2503" operator="equal">
      <formula>"수정"</formula>
    </cfRule>
    <cfRule type="cellIs" dxfId="1996" priority="2504" operator="equal">
      <formula>"신규"</formula>
    </cfRule>
  </conditionalFormatting>
  <conditionalFormatting sqref="AD12">
    <cfRule type="cellIs" dxfId="1995" priority="2501" operator="equal">
      <formula>"수정-신규"</formula>
    </cfRule>
  </conditionalFormatting>
  <conditionalFormatting sqref="AD11">
    <cfRule type="cellIs" dxfId="1994" priority="2493" operator="equal">
      <formula>"수정-신규"</formula>
    </cfRule>
  </conditionalFormatting>
  <conditionalFormatting sqref="AE11">
    <cfRule type="cellIs" dxfId="1993" priority="2498" operator="equal">
      <formula>"수정-신규"</formula>
    </cfRule>
    <cfRule type="cellIs" dxfId="1992" priority="2499" operator="equal">
      <formula>"수정"</formula>
    </cfRule>
    <cfRule type="cellIs" dxfId="1991" priority="2500" operator="equal">
      <formula>"신규"</formula>
    </cfRule>
  </conditionalFormatting>
  <conditionalFormatting sqref="AE11">
    <cfRule type="cellIs" dxfId="1990" priority="2497" operator="equal">
      <formula>"수정-신규"</formula>
    </cfRule>
  </conditionalFormatting>
  <conditionalFormatting sqref="AD11">
    <cfRule type="cellIs" dxfId="1989" priority="2494" operator="equal">
      <formula>"수정-신규"</formula>
    </cfRule>
    <cfRule type="cellIs" dxfId="1988" priority="2495" operator="equal">
      <formula>"수정"</formula>
    </cfRule>
    <cfRule type="cellIs" dxfId="1987" priority="2496" operator="equal">
      <formula>"신규"</formula>
    </cfRule>
  </conditionalFormatting>
  <conditionalFormatting sqref="AE29">
    <cfRule type="cellIs" dxfId="1986" priority="2490" operator="equal">
      <formula>"수정-신규"</formula>
    </cfRule>
    <cfRule type="cellIs" dxfId="1985" priority="2491" operator="equal">
      <formula>"수정"</formula>
    </cfRule>
    <cfRule type="cellIs" dxfId="1984" priority="2492" operator="equal">
      <formula>"신규"</formula>
    </cfRule>
  </conditionalFormatting>
  <conditionalFormatting sqref="AE29">
    <cfRule type="cellIs" dxfId="1983" priority="2489" operator="equal">
      <formula>"수정-신규"</formula>
    </cfRule>
  </conditionalFormatting>
  <conditionalFormatting sqref="AD29">
    <cfRule type="cellIs" dxfId="1982" priority="2486" operator="equal">
      <formula>"수정-신규"</formula>
    </cfRule>
    <cfRule type="cellIs" dxfId="1981" priority="2487" operator="equal">
      <formula>"수정"</formula>
    </cfRule>
    <cfRule type="cellIs" dxfId="1980" priority="2488" operator="equal">
      <formula>"신규"</formula>
    </cfRule>
  </conditionalFormatting>
  <conditionalFormatting sqref="AD29">
    <cfRule type="cellIs" dxfId="1979" priority="2485" operator="equal">
      <formula>"수정-신규"</formula>
    </cfRule>
  </conditionalFormatting>
  <conditionalFormatting sqref="AE28">
    <cfRule type="cellIs" dxfId="1978" priority="2482" operator="equal">
      <formula>"수정-신규"</formula>
    </cfRule>
    <cfRule type="cellIs" dxfId="1977" priority="2483" operator="equal">
      <formula>"수정"</formula>
    </cfRule>
    <cfRule type="cellIs" dxfId="1976" priority="2484" operator="equal">
      <formula>"신규"</formula>
    </cfRule>
  </conditionalFormatting>
  <conditionalFormatting sqref="AD28">
    <cfRule type="cellIs" dxfId="1975" priority="2477" operator="equal">
      <formula>"수정-신규"</formula>
    </cfRule>
  </conditionalFormatting>
  <conditionalFormatting sqref="AE28">
    <cfRule type="cellIs" dxfId="1974" priority="2481" operator="equal">
      <formula>"수정-신규"</formula>
    </cfRule>
  </conditionalFormatting>
  <conditionalFormatting sqref="AD28">
    <cfRule type="cellIs" dxfId="1973" priority="2478" operator="equal">
      <formula>"수정-신규"</formula>
    </cfRule>
    <cfRule type="cellIs" dxfId="1972" priority="2479" operator="equal">
      <formula>"수정"</formula>
    </cfRule>
    <cfRule type="cellIs" dxfId="1971" priority="2480" operator="equal">
      <formula>"신규"</formula>
    </cfRule>
  </conditionalFormatting>
  <conditionalFormatting sqref="AE27">
    <cfRule type="cellIs" dxfId="1970" priority="2474" operator="equal">
      <formula>"수정-신규"</formula>
    </cfRule>
    <cfRule type="cellIs" dxfId="1969" priority="2475" operator="equal">
      <formula>"수정"</formula>
    </cfRule>
    <cfRule type="cellIs" dxfId="1968" priority="2476" operator="equal">
      <formula>"신규"</formula>
    </cfRule>
  </conditionalFormatting>
  <conditionalFormatting sqref="AE27">
    <cfRule type="cellIs" dxfId="1967" priority="2473" operator="equal">
      <formula>"수정-신규"</formula>
    </cfRule>
  </conditionalFormatting>
  <conditionalFormatting sqref="AD27">
    <cfRule type="cellIs" dxfId="1966" priority="2470" operator="equal">
      <formula>"수정-신규"</formula>
    </cfRule>
    <cfRule type="cellIs" dxfId="1965" priority="2471" operator="equal">
      <formula>"수정"</formula>
    </cfRule>
    <cfRule type="cellIs" dxfId="1964" priority="2472" operator="equal">
      <formula>"신규"</formula>
    </cfRule>
  </conditionalFormatting>
  <conditionalFormatting sqref="AD27">
    <cfRule type="cellIs" dxfId="1963" priority="2469" operator="equal">
      <formula>"수정-신규"</formula>
    </cfRule>
  </conditionalFormatting>
  <conditionalFormatting sqref="AE26">
    <cfRule type="cellIs" dxfId="1962" priority="2466" operator="equal">
      <formula>"수정-신규"</formula>
    </cfRule>
    <cfRule type="cellIs" dxfId="1961" priority="2467" operator="equal">
      <formula>"수정"</formula>
    </cfRule>
    <cfRule type="cellIs" dxfId="1960" priority="2468" operator="equal">
      <formula>"신규"</formula>
    </cfRule>
  </conditionalFormatting>
  <conditionalFormatting sqref="AE26">
    <cfRule type="cellIs" dxfId="1959" priority="2465" operator="equal">
      <formula>"수정-신규"</formula>
    </cfRule>
  </conditionalFormatting>
  <conditionalFormatting sqref="AD26">
    <cfRule type="cellIs" dxfId="1958" priority="2462" operator="equal">
      <formula>"수정-신규"</formula>
    </cfRule>
    <cfRule type="cellIs" dxfId="1957" priority="2463" operator="equal">
      <formula>"수정"</formula>
    </cfRule>
    <cfRule type="cellIs" dxfId="1956" priority="2464" operator="equal">
      <formula>"신규"</formula>
    </cfRule>
  </conditionalFormatting>
  <conditionalFormatting sqref="AD26">
    <cfRule type="cellIs" dxfId="1955" priority="2461" operator="equal">
      <formula>"수정-신규"</formula>
    </cfRule>
  </conditionalFormatting>
  <conditionalFormatting sqref="AE25">
    <cfRule type="cellIs" dxfId="1954" priority="2458" operator="equal">
      <formula>"수정-신규"</formula>
    </cfRule>
    <cfRule type="cellIs" dxfId="1953" priority="2459" operator="equal">
      <formula>"수정"</formula>
    </cfRule>
    <cfRule type="cellIs" dxfId="1952" priority="2460" operator="equal">
      <formula>"신규"</formula>
    </cfRule>
  </conditionalFormatting>
  <conditionalFormatting sqref="AE25">
    <cfRule type="cellIs" dxfId="1951" priority="2457" operator="equal">
      <formula>"수정-신규"</formula>
    </cfRule>
  </conditionalFormatting>
  <conditionalFormatting sqref="AD25">
    <cfRule type="cellIs" dxfId="1950" priority="2454" operator="equal">
      <formula>"수정-신규"</formula>
    </cfRule>
    <cfRule type="cellIs" dxfId="1949" priority="2455" operator="equal">
      <formula>"수정"</formula>
    </cfRule>
    <cfRule type="cellIs" dxfId="1948" priority="2456" operator="equal">
      <formula>"신규"</formula>
    </cfRule>
  </conditionalFormatting>
  <conditionalFormatting sqref="AD25">
    <cfRule type="cellIs" dxfId="1947" priority="2453" operator="equal">
      <formula>"수정-신규"</formula>
    </cfRule>
  </conditionalFormatting>
  <conditionalFormatting sqref="AE24">
    <cfRule type="cellIs" dxfId="1946" priority="2450" operator="equal">
      <formula>"수정-신규"</formula>
    </cfRule>
    <cfRule type="cellIs" dxfId="1945" priority="2451" operator="equal">
      <formula>"수정"</formula>
    </cfRule>
    <cfRule type="cellIs" dxfId="1944" priority="2452" operator="equal">
      <formula>"신규"</formula>
    </cfRule>
  </conditionalFormatting>
  <conditionalFormatting sqref="AE24">
    <cfRule type="cellIs" dxfId="1943" priority="2449" operator="equal">
      <formula>"수정-신규"</formula>
    </cfRule>
  </conditionalFormatting>
  <conditionalFormatting sqref="AD24">
    <cfRule type="cellIs" dxfId="1942" priority="2446" operator="equal">
      <formula>"수정-신규"</formula>
    </cfRule>
    <cfRule type="cellIs" dxfId="1941" priority="2447" operator="equal">
      <formula>"수정"</formula>
    </cfRule>
    <cfRule type="cellIs" dxfId="1940" priority="2448" operator="equal">
      <formula>"신규"</formula>
    </cfRule>
  </conditionalFormatting>
  <conditionalFormatting sqref="AE22">
    <cfRule type="cellIs" dxfId="1939" priority="2434" operator="equal">
      <formula>"수정-신규"</formula>
    </cfRule>
    <cfRule type="cellIs" dxfId="1938" priority="2435" operator="equal">
      <formula>"수정"</formula>
    </cfRule>
    <cfRule type="cellIs" dxfId="1937" priority="2436" operator="equal">
      <formula>"신규"</formula>
    </cfRule>
  </conditionalFormatting>
  <conditionalFormatting sqref="AD23">
    <cfRule type="cellIs" dxfId="1936" priority="2437" operator="equal">
      <formula>"수정-신규"</formula>
    </cfRule>
  </conditionalFormatting>
  <conditionalFormatting sqref="AD24">
    <cfRule type="cellIs" dxfId="1935" priority="2445" operator="equal">
      <formula>"수정-신규"</formula>
    </cfRule>
  </conditionalFormatting>
  <conditionalFormatting sqref="AE23">
    <cfRule type="cellIs" dxfId="1934" priority="2442" operator="equal">
      <formula>"수정-신규"</formula>
    </cfRule>
    <cfRule type="cellIs" dxfId="1933" priority="2443" operator="equal">
      <formula>"수정"</formula>
    </cfRule>
    <cfRule type="cellIs" dxfId="1932" priority="2444" operator="equal">
      <formula>"신규"</formula>
    </cfRule>
  </conditionalFormatting>
  <conditionalFormatting sqref="AD23">
    <cfRule type="cellIs" dxfId="1931" priority="2438" operator="equal">
      <formula>"수정-신규"</formula>
    </cfRule>
    <cfRule type="cellIs" dxfId="1930" priority="2439" operator="equal">
      <formula>"수정"</formula>
    </cfRule>
    <cfRule type="cellIs" dxfId="1929" priority="2440" operator="equal">
      <formula>"신규"</formula>
    </cfRule>
  </conditionalFormatting>
  <conditionalFormatting sqref="AE23">
    <cfRule type="cellIs" dxfId="1928" priority="2441" operator="equal">
      <formula>"수정-신규"</formula>
    </cfRule>
  </conditionalFormatting>
  <conditionalFormatting sqref="AD22">
    <cfRule type="cellIs" dxfId="1927" priority="2430" operator="equal">
      <formula>"수정-신규"</formula>
    </cfRule>
    <cfRule type="cellIs" dxfId="1926" priority="2431" operator="equal">
      <formula>"수정"</formula>
    </cfRule>
    <cfRule type="cellIs" dxfId="1925" priority="2432" operator="equal">
      <formula>"신규"</formula>
    </cfRule>
  </conditionalFormatting>
  <conditionalFormatting sqref="AE22">
    <cfRule type="cellIs" dxfId="1924" priority="2433" operator="equal">
      <formula>"수정-신규"</formula>
    </cfRule>
  </conditionalFormatting>
  <conditionalFormatting sqref="AD22">
    <cfRule type="cellIs" dxfId="1923" priority="2429" operator="equal">
      <formula>"수정-신규"</formula>
    </cfRule>
  </conditionalFormatting>
  <conditionalFormatting sqref="AE21">
    <cfRule type="cellIs" dxfId="1922" priority="2425" operator="equal">
      <formula>"수정-신규"</formula>
    </cfRule>
  </conditionalFormatting>
  <conditionalFormatting sqref="AD21">
    <cfRule type="cellIs" dxfId="1921" priority="2422" operator="equal">
      <formula>"수정-신규"</formula>
    </cfRule>
    <cfRule type="cellIs" dxfId="1920" priority="2423" operator="equal">
      <formula>"수정"</formula>
    </cfRule>
    <cfRule type="cellIs" dxfId="1919" priority="2424" operator="equal">
      <formula>"신규"</formula>
    </cfRule>
  </conditionalFormatting>
  <conditionalFormatting sqref="AE21">
    <cfRule type="cellIs" dxfId="1918" priority="2426" operator="equal">
      <formula>"수정-신규"</formula>
    </cfRule>
    <cfRule type="cellIs" dxfId="1917" priority="2427" operator="equal">
      <formula>"수정"</formula>
    </cfRule>
    <cfRule type="cellIs" dxfId="1916" priority="2428" operator="equal">
      <formula>"신규"</formula>
    </cfRule>
  </conditionalFormatting>
  <conditionalFormatting sqref="AD21">
    <cfRule type="cellIs" dxfId="1915" priority="2421" operator="equal">
      <formula>"수정-신규"</formula>
    </cfRule>
  </conditionalFormatting>
  <conditionalFormatting sqref="AE20">
    <cfRule type="cellIs" dxfId="1914" priority="2418" operator="equal">
      <formula>"수정-신규"</formula>
    </cfRule>
    <cfRule type="cellIs" dxfId="1913" priority="2419" operator="equal">
      <formula>"수정"</formula>
    </cfRule>
    <cfRule type="cellIs" dxfId="1912" priority="2420" operator="equal">
      <formula>"신규"</formula>
    </cfRule>
  </conditionalFormatting>
  <conditionalFormatting sqref="AD20">
    <cfRule type="cellIs" dxfId="1911" priority="2414" operator="equal">
      <formula>"수정-신규"</formula>
    </cfRule>
    <cfRule type="cellIs" dxfId="1910" priority="2415" operator="equal">
      <formula>"수정"</formula>
    </cfRule>
    <cfRule type="cellIs" dxfId="1909" priority="2416" operator="equal">
      <formula>"신규"</formula>
    </cfRule>
  </conditionalFormatting>
  <conditionalFormatting sqref="AE20">
    <cfRule type="cellIs" dxfId="1908" priority="2417" operator="equal">
      <formula>"수정-신규"</formula>
    </cfRule>
  </conditionalFormatting>
  <conditionalFormatting sqref="AD20">
    <cfRule type="cellIs" dxfId="1907" priority="2413" operator="equal">
      <formula>"수정-신규"</formula>
    </cfRule>
  </conditionalFormatting>
  <conditionalFormatting sqref="AE19">
    <cfRule type="cellIs" dxfId="1906" priority="2410" operator="equal">
      <formula>"수정-신규"</formula>
    </cfRule>
    <cfRule type="cellIs" dxfId="1905" priority="2411" operator="equal">
      <formula>"수정"</formula>
    </cfRule>
    <cfRule type="cellIs" dxfId="1904" priority="2412" operator="equal">
      <formula>"신규"</formula>
    </cfRule>
  </conditionalFormatting>
  <conditionalFormatting sqref="AD19">
    <cfRule type="cellIs" dxfId="1903" priority="2406" operator="equal">
      <formula>"수정-신규"</formula>
    </cfRule>
    <cfRule type="cellIs" dxfId="1902" priority="2407" operator="equal">
      <formula>"수정"</formula>
    </cfRule>
    <cfRule type="cellIs" dxfId="1901" priority="2408" operator="equal">
      <formula>"신규"</formula>
    </cfRule>
  </conditionalFormatting>
  <conditionalFormatting sqref="AE19">
    <cfRule type="cellIs" dxfId="1900" priority="2409" operator="equal">
      <formula>"수정-신규"</formula>
    </cfRule>
  </conditionalFormatting>
  <conditionalFormatting sqref="AD19">
    <cfRule type="cellIs" dxfId="1899" priority="2405" operator="equal">
      <formula>"수정-신규"</formula>
    </cfRule>
  </conditionalFormatting>
  <conditionalFormatting sqref="AE18">
    <cfRule type="cellIs" dxfId="1898" priority="2402" operator="equal">
      <formula>"수정-신규"</formula>
    </cfRule>
    <cfRule type="cellIs" dxfId="1897" priority="2403" operator="equal">
      <formula>"수정"</formula>
    </cfRule>
    <cfRule type="cellIs" dxfId="1896" priority="2404" operator="equal">
      <formula>"신규"</formula>
    </cfRule>
  </conditionalFormatting>
  <conditionalFormatting sqref="AE18">
    <cfRule type="cellIs" dxfId="1895" priority="2401" operator="equal">
      <formula>"수정-신규"</formula>
    </cfRule>
  </conditionalFormatting>
  <conditionalFormatting sqref="AD18">
    <cfRule type="cellIs" dxfId="1894" priority="2398" operator="equal">
      <formula>"수정-신규"</formula>
    </cfRule>
    <cfRule type="cellIs" dxfId="1893" priority="2399" operator="equal">
      <formula>"수정"</formula>
    </cfRule>
    <cfRule type="cellIs" dxfId="1892" priority="2400" operator="equal">
      <formula>"신규"</formula>
    </cfRule>
  </conditionalFormatting>
  <conditionalFormatting sqref="AD18">
    <cfRule type="cellIs" dxfId="1891" priority="2397" operator="equal">
      <formula>"수정-신규"</formula>
    </cfRule>
  </conditionalFormatting>
  <conditionalFormatting sqref="AE17">
    <cfRule type="cellIs" dxfId="1890" priority="2394" operator="equal">
      <formula>"수정-신규"</formula>
    </cfRule>
    <cfRule type="cellIs" dxfId="1889" priority="2395" operator="equal">
      <formula>"수정"</formula>
    </cfRule>
    <cfRule type="cellIs" dxfId="1888" priority="2396" operator="equal">
      <formula>"신규"</formula>
    </cfRule>
  </conditionalFormatting>
  <conditionalFormatting sqref="AD17">
    <cfRule type="cellIs" dxfId="1887" priority="2390" operator="equal">
      <formula>"수정-신규"</formula>
    </cfRule>
    <cfRule type="cellIs" dxfId="1886" priority="2391" operator="equal">
      <formula>"수정"</formula>
    </cfRule>
    <cfRule type="cellIs" dxfId="1885" priority="2392" operator="equal">
      <formula>"신규"</formula>
    </cfRule>
  </conditionalFormatting>
  <conditionalFormatting sqref="AE17">
    <cfRule type="cellIs" dxfId="1884" priority="2393" operator="equal">
      <formula>"수정-신규"</formula>
    </cfRule>
  </conditionalFormatting>
  <conditionalFormatting sqref="AD17">
    <cfRule type="cellIs" dxfId="1883" priority="2389" operator="equal">
      <formula>"수정-신규"</formula>
    </cfRule>
  </conditionalFormatting>
  <conditionalFormatting sqref="AE30">
    <cfRule type="cellIs" dxfId="1882" priority="2386" operator="equal">
      <formula>"수정-신규"</formula>
    </cfRule>
    <cfRule type="cellIs" dxfId="1881" priority="2387" operator="equal">
      <formula>"수정"</formula>
    </cfRule>
    <cfRule type="cellIs" dxfId="1880" priority="2388" operator="equal">
      <formula>"신규"</formula>
    </cfRule>
  </conditionalFormatting>
  <conditionalFormatting sqref="AD30">
    <cfRule type="cellIs" dxfId="1879" priority="2382" operator="equal">
      <formula>"수정-신규"</formula>
    </cfRule>
    <cfRule type="cellIs" dxfId="1878" priority="2383" operator="equal">
      <formula>"수정"</formula>
    </cfRule>
    <cfRule type="cellIs" dxfId="1877" priority="2384" operator="equal">
      <formula>"신규"</formula>
    </cfRule>
  </conditionalFormatting>
  <conditionalFormatting sqref="AE30">
    <cfRule type="cellIs" dxfId="1876" priority="2385" operator="equal">
      <formula>"수정-신규"</formula>
    </cfRule>
  </conditionalFormatting>
  <conditionalFormatting sqref="AD30">
    <cfRule type="cellIs" dxfId="1875" priority="2381" operator="equal">
      <formula>"수정-신규"</formula>
    </cfRule>
  </conditionalFormatting>
  <conditionalFormatting sqref="AE36">
    <cfRule type="cellIs" dxfId="1874" priority="2370" operator="equal">
      <formula>"수정-신규"</formula>
    </cfRule>
    <cfRule type="cellIs" dxfId="1873" priority="2371" operator="equal">
      <formula>"수정"</formula>
    </cfRule>
    <cfRule type="cellIs" dxfId="1872" priority="2372" operator="equal">
      <formula>"신규"</formula>
    </cfRule>
  </conditionalFormatting>
  <conditionalFormatting sqref="AE36">
    <cfRule type="cellIs" dxfId="1871" priority="2369" operator="equal">
      <formula>"수정-신규"</formula>
    </cfRule>
  </conditionalFormatting>
  <conditionalFormatting sqref="AE37">
    <cfRule type="cellIs" dxfId="1870" priority="2378" operator="equal">
      <formula>"수정-신규"</formula>
    </cfRule>
    <cfRule type="cellIs" dxfId="1869" priority="2379" operator="equal">
      <formula>"수정"</formula>
    </cfRule>
    <cfRule type="cellIs" dxfId="1868" priority="2380" operator="equal">
      <formula>"신규"</formula>
    </cfRule>
  </conditionalFormatting>
  <conditionalFormatting sqref="AD37">
    <cfRule type="cellIs" dxfId="1867" priority="2374" operator="equal">
      <formula>"수정-신규"</formula>
    </cfRule>
    <cfRule type="cellIs" dxfId="1866" priority="2375" operator="equal">
      <formula>"수정"</formula>
    </cfRule>
    <cfRule type="cellIs" dxfId="1865" priority="2376" operator="equal">
      <formula>"신규"</formula>
    </cfRule>
  </conditionalFormatting>
  <conditionalFormatting sqref="AE37">
    <cfRule type="cellIs" dxfId="1864" priority="2377" operator="equal">
      <formula>"수정-신규"</formula>
    </cfRule>
  </conditionalFormatting>
  <conditionalFormatting sqref="AD37">
    <cfRule type="cellIs" dxfId="1863" priority="2373" operator="equal">
      <formula>"수정-신규"</formula>
    </cfRule>
  </conditionalFormatting>
  <conditionalFormatting sqref="AD36">
    <cfRule type="cellIs" dxfId="1862" priority="2366" operator="equal">
      <formula>"수정-신규"</formula>
    </cfRule>
    <cfRule type="cellIs" dxfId="1861" priority="2367" operator="equal">
      <formula>"수정"</formula>
    </cfRule>
    <cfRule type="cellIs" dxfId="1860" priority="2368" operator="equal">
      <formula>"신규"</formula>
    </cfRule>
  </conditionalFormatting>
  <conditionalFormatting sqref="AD36">
    <cfRule type="cellIs" dxfId="1859" priority="2365" operator="equal">
      <formula>"수정-신규"</formula>
    </cfRule>
  </conditionalFormatting>
  <conditionalFormatting sqref="AE34">
    <cfRule type="cellIs" dxfId="1858" priority="2362" operator="equal">
      <formula>"수정-신규"</formula>
    </cfRule>
    <cfRule type="cellIs" dxfId="1857" priority="2363" operator="equal">
      <formula>"수정"</formula>
    </cfRule>
    <cfRule type="cellIs" dxfId="1856" priority="2364" operator="equal">
      <formula>"신규"</formula>
    </cfRule>
  </conditionalFormatting>
  <conditionalFormatting sqref="AD34">
    <cfRule type="cellIs" dxfId="1855" priority="2358" operator="equal">
      <formula>"수정-신규"</formula>
    </cfRule>
    <cfRule type="cellIs" dxfId="1854" priority="2359" operator="equal">
      <formula>"수정"</formula>
    </cfRule>
    <cfRule type="cellIs" dxfId="1853" priority="2360" operator="equal">
      <formula>"신규"</formula>
    </cfRule>
  </conditionalFormatting>
  <conditionalFormatting sqref="AE34">
    <cfRule type="cellIs" dxfId="1852" priority="2361" operator="equal">
      <formula>"수정-신규"</formula>
    </cfRule>
  </conditionalFormatting>
  <conditionalFormatting sqref="AD34">
    <cfRule type="cellIs" dxfId="1851" priority="2357" operator="equal">
      <formula>"수정-신규"</formula>
    </cfRule>
  </conditionalFormatting>
  <conditionalFormatting sqref="AE39">
    <cfRule type="cellIs" dxfId="1850" priority="2354" operator="equal">
      <formula>"수정-신규"</formula>
    </cfRule>
    <cfRule type="cellIs" dxfId="1849" priority="2355" operator="equal">
      <formula>"수정"</formula>
    </cfRule>
    <cfRule type="cellIs" dxfId="1848" priority="2356" operator="equal">
      <formula>"신규"</formula>
    </cfRule>
  </conditionalFormatting>
  <conditionalFormatting sqref="AD39">
    <cfRule type="cellIs" dxfId="1847" priority="2350" operator="equal">
      <formula>"수정-신규"</formula>
    </cfRule>
    <cfRule type="cellIs" dxfId="1846" priority="2351" operator="equal">
      <formula>"수정"</formula>
    </cfRule>
    <cfRule type="cellIs" dxfId="1845" priority="2352" operator="equal">
      <formula>"신규"</formula>
    </cfRule>
  </conditionalFormatting>
  <conditionalFormatting sqref="AE39">
    <cfRule type="cellIs" dxfId="1844" priority="2353" operator="equal">
      <formula>"수정-신규"</formula>
    </cfRule>
  </conditionalFormatting>
  <conditionalFormatting sqref="AD39">
    <cfRule type="cellIs" dxfId="1843" priority="2349" operator="equal">
      <formula>"수정-신규"</formula>
    </cfRule>
  </conditionalFormatting>
  <conditionalFormatting sqref="AE41">
    <cfRule type="cellIs" dxfId="1842" priority="2346" operator="equal">
      <formula>"수정-신규"</formula>
    </cfRule>
    <cfRule type="cellIs" dxfId="1841" priority="2347" operator="equal">
      <formula>"수정"</formula>
    </cfRule>
    <cfRule type="cellIs" dxfId="1840" priority="2348" operator="equal">
      <formula>"신규"</formula>
    </cfRule>
  </conditionalFormatting>
  <conditionalFormatting sqref="AD41">
    <cfRule type="cellIs" dxfId="1839" priority="2342" operator="equal">
      <formula>"수정-신규"</formula>
    </cfRule>
    <cfRule type="cellIs" dxfId="1838" priority="2343" operator="equal">
      <formula>"수정"</formula>
    </cfRule>
    <cfRule type="cellIs" dxfId="1837" priority="2344" operator="equal">
      <formula>"신규"</formula>
    </cfRule>
  </conditionalFormatting>
  <conditionalFormatting sqref="AE41">
    <cfRule type="cellIs" dxfId="1836" priority="2345" operator="equal">
      <formula>"수정-신규"</formula>
    </cfRule>
  </conditionalFormatting>
  <conditionalFormatting sqref="AD41">
    <cfRule type="cellIs" dxfId="1835" priority="2341" operator="equal">
      <formula>"수정-신규"</formula>
    </cfRule>
  </conditionalFormatting>
  <conditionalFormatting sqref="AE40">
    <cfRule type="cellIs" dxfId="1834" priority="2338" operator="equal">
      <formula>"수정-신규"</formula>
    </cfRule>
    <cfRule type="cellIs" dxfId="1833" priority="2339" operator="equal">
      <formula>"수정"</formula>
    </cfRule>
    <cfRule type="cellIs" dxfId="1832" priority="2340" operator="equal">
      <formula>"신규"</formula>
    </cfRule>
  </conditionalFormatting>
  <conditionalFormatting sqref="AD40">
    <cfRule type="cellIs" dxfId="1831" priority="2334" operator="equal">
      <formula>"수정-신규"</formula>
    </cfRule>
    <cfRule type="cellIs" dxfId="1830" priority="2335" operator="equal">
      <formula>"수정"</formula>
    </cfRule>
    <cfRule type="cellIs" dxfId="1829" priority="2336" operator="equal">
      <formula>"신규"</formula>
    </cfRule>
  </conditionalFormatting>
  <conditionalFormatting sqref="AE40">
    <cfRule type="cellIs" dxfId="1828" priority="2337" operator="equal">
      <formula>"수정-신규"</formula>
    </cfRule>
  </conditionalFormatting>
  <conditionalFormatting sqref="AD40">
    <cfRule type="cellIs" dxfId="1827" priority="2333" operator="equal">
      <formula>"수정-신규"</formula>
    </cfRule>
  </conditionalFormatting>
  <conditionalFormatting sqref="AE33">
    <cfRule type="cellIs" dxfId="1826" priority="2330" operator="equal">
      <formula>"수정-신규"</formula>
    </cfRule>
    <cfRule type="cellIs" dxfId="1825" priority="2331" operator="equal">
      <formula>"수정"</formula>
    </cfRule>
    <cfRule type="cellIs" dxfId="1824" priority="2332" operator="equal">
      <formula>"신규"</formula>
    </cfRule>
  </conditionalFormatting>
  <conditionalFormatting sqref="AD33">
    <cfRule type="cellIs" dxfId="1823" priority="2326" operator="equal">
      <formula>"수정-신규"</formula>
    </cfRule>
    <cfRule type="cellIs" dxfId="1822" priority="2327" operator="equal">
      <formula>"수정"</formula>
    </cfRule>
    <cfRule type="cellIs" dxfId="1821" priority="2328" operator="equal">
      <formula>"신규"</formula>
    </cfRule>
  </conditionalFormatting>
  <conditionalFormatting sqref="AE33">
    <cfRule type="cellIs" dxfId="1820" priority="2329" operator="equal">
      <formula>"수정-신규"</formula>
    </cfRule>
  </conditionalFormatting>
  <conditionalFormatting sqref="AD33">
    <cfRule type="cellIs" dxfId="1819" priority="2325" operator="equal">
      <formula>"수정-신규"</formula>
    </cfRule>
  </conditionalFormatting>
  <conditionalFormatting sqref="AE32">
    <cfRule type="cellIs" dxfId="1818" priority="2322" operator="equal">
      <formula>"수정-신규"</formula>
    </cfRule>
    <cfRule type="cellIs" dxfId="1817" priority="2323" operator="equal">
      <formula>"수정"</formula>
    </cfRule>
    <cfRule type="cellIs" dxfId="1816" priority="2324" operator="equal">
      <formula>"신규"</formula>
    </cfRule>
  </conditionalFormatting>
  <conditionalFormatting sqref="AD32">
    <cfRule type="cellIs" dxfId="1815" priority="2318" operator="equal">
      <formula>"수정-신규"</formula>
    </cfRule>
    <cfRule type="cellIs" dxfId="1814" priority="2319" operator="equal">
      <formula>"수정"</formula>
    </cfRule>
    <cfRule type="cellIs" dxfId="1813" priority="2320" operator="equal">
      <formula>"신규"</formula>
    </cfRule>
  </conditionalFormatting>
  <conditionalFormatting sqref="AE32">
    <cfRule type="cellIs" dxfId="1812" priority="2321" operator="equal">
      <formula>"수정-신규"</formula>
    </cfRule>
  </conditionalFormatting>
  <conditionalFormatting sqref="AD32">
    <cfRule type="cellIs" dxfId="1811" priority="2317" operator="equal">
      <formula>"수정-신규"</formula>
    </cfRule>
  </conditionalFormatting>
  <conditionalFormatting sqref="AE35">
    <cfRule type="cellIs" dxfId="1810" priority="2314" operator="equal">
      <formula>"수정-신규"</formula>
    </cfRule>
    <cfRule type="cellIs" dxfId="1809" priority="2315" operator="equal">
      <formula>"수정"</formula>
    </cfRule>
    <cfRule type="cellIs" dxfId="1808" priority="2316" operator="equal">
      <formula>"신규"</formula>
    </cfRule>
  </conditionalFormatting>
  <conditionalFormatting sqref="AD35">
    <cfRule type="cellIs" dxfId="1807" priority="2310" operator="equal">
      <formula>"수정-신규"</formula>
    </cfRule>
    <cfRule type="cellIs" dxfId="1806" priority="2311" operator="equal">
      <formula>"수정"</formula>
    </cfRule>
    <cfRule type="cellIs" dxfId="1805" priority="2312" operator="equal">
      <formula>"신규"</formula>
    </cfRule>
  </conditionalFormatting>
  <conditionalFormatting sqref="AE35">
    <cfRule type="cellIs" dxfId="1804" priority="2313" operator="equal">
      <formula>"수정-신규"</formula>
    </cfRule>
  </conditionalFormatting>
  <conditionalFormatting sqref="AD35">
    <cfRule type="cellIs" dxfId="1803" priority="2309" operator="equal">
      <formula>"수정-신규"</formula>
    </cfRule>
  </conditionalFormatting>
  <conditionalFormatting sqref="AE43">
    <cfRule type="cellIs" dxfId="1802" priority="2306" operator="equal">
      <formula>"수정-신규"</formula>
    </cfRule>
    <cfRule type="cellIs" dxfId="1801" priority="2307" operator="equal">
      <formula>"수정"</formula>
    </cfRule>
    <cfRule type="cellIs" dxfId="1800" priority="2308" operator="equal">
      <formula>"신규"</formula>
    </cfRule>
  </conditionalFormatting>
  <conditionalFormatting sqref="AD43">
    <cfRule type="cellIs" dxfId="1799" priority="2302" operator="equal">
      <formula>"수정-신규"</formula>
    </cfRule>
    <cfRule type="cellIs" dxfId="1798" priority="2303" operator="equal">
      <formula>"수정"</formula>
    </cfRule>
    <cfRule type="cellIs" dxfId="1797" priority="2304" operator="equal">
      <formula>"신규"</formula>
    </cfRule>
  </conditionalFormatting>
  <conditionalFormatting sqref="AE43">
    <cfRule type="cellIs" dxfId="1796" priority="2305" operator="equal">
      <formula>"수정-신규"</formula>
    </cfRule>
  </conditionalFormatting>
  <conditionalFormatting sqref="AD43">
    <cfRule type="cellIs" dxfId="1795" priority="2301" operator="equal">
      <formula>"수정-신규"</formula>
    </cfRule>
  </conditionalFormatting>
  <conditionalFormatting sqref="AE48">
    <cfRule type="cellIs" dxfId="1794" priority="2290" operator="equal">
      <formula>"수정-신규"</formula>
    </cfRule>
    <cfRule type="cellIs" dxfId="1793" priority="2291" operator="equal">
      <formula>"수정"</formula>
    </cfRule>
    <cfRule type="cellIs" dxfId="1792" priority="2292" operator="equal">
      <formula>"신규"</formula>
    </cfRule>
  </conditionalFormatting>
  <conditionalFormatting sqref="AE48">
    <cfRule type="cellIs" dxfId="1791" priority="2289" operator="equal">
      <formula>"수정-신규"</formula>
    </cfRule>
  </conditionalFormatting>
  <conditionalFormatting sqref="AE49">
    <cfRule type="cellIs" dxfId="1790" priority="2298" operator="equal">
      <formula>"수정-신규"</formula>
    </cfRule>
    <cfRule type="cellIs" dxfId="1789" priority="2299" operator="equal">
      <formula>"수정"</formula>
    </cfRule>
    <cfRule type="cellIs" dxfId="1788" priority="2300" operator="equal">
      <formula>"신규"</formula>
    </cfRule>
  </conditionalFormatting>
  <conditionalFormatting sqref="AD49">
    <cfRule type="cellIs" dxfId="1787" priority="2294" operator="equal">
      <formula>"수정-신규"</formula>
    </cfRule>
    <cfRule type="cellIs" dxfId="1786" priority="2295" operator="equal">
      <formula>"수정"</formula>
    </cfRule>
    <cfRule type="cellIs" dxfId="1785" priority="2296" operator="equal">
      <formula>"신규"</formula>
    </cfRule>
  </conditionalFormatting>
  <conditionalFormatting sqref="AE49">
    <cfRule type="cellIs" dxfId="1784" priority="2297" operator="equal">
      <formula>"수정-신규"</formula>
    </cfRule>
  </conditionalFormatting>
  <conditionalFormatting sqref="AD49">
    <cfRule type="cellIs" dxfId="1783" priority="2293" operator="equal">
      <formula>"수정-신규"</formula>
    </cfRule>
  </conditionalFormatting>
  <conditionalFormatting sqref="AD48">
    <cfRule type="cellIs" dxfId="1782" priority="2286" operator="equal">
      <formula>"수정-신규"</formula>
    </cfRule>
    <cfRule type="cellIs" dxfId="1781" priority="2287" operator="equal">
      <formula>"수정"</formula>
    </cfRule>
    <cfRule type="cellIs" dxfId="1780" priority="2288" operator="equal">
      <formula>"신규"</formula>
    </cfRule>
  </conditionalFormatting>
  <conditionalFormatting sqref="AD48">
    <cfRule type="cellIs" dxfId="1779" priority="2285" operator="equal">
      <formula>"수정-신규"</formula>
    </cfRule>
  </conditionalFormatting>
  <conditionalFormatting sqref="AE51">
    <cfRule type="cellIs" dxfId="1778" priority="2282" operator="equal">
      <formula>"수정-신규"</formula>
    </cfRule>
    <cfRule type="cellIs" dxfId="1777" priority="2283" operator="equal">
      <formula>"수정"</formula>
    </cfRule>
    <cfRule type="cellIs" dxfId="1776" priority="2284" operator="equal">
      <formula>"신규"</formula>
    </cfRule>
  </conditionalFormatting>
  <conditionalFormatting sqref="AD51">
    <cfRule type="cellIs" dxfId="1775" priority="2278" operator="equal">
      <formula>"수정-신규"</formula>
    </cfRule>
    <cfRule type="cellIs" dxfId="1774" priority="2279" operator="equal">
      <formula>"수정"</formula>
    </cfRule>
    <cfRule type="cellIs" dxfId="1773" priority="2280" operator="equal">
      <formula>"신규"</formula>
    </cfRule>
  </conditionalFormatting>
  <conditionalFormatting sqref="AE51">
    <cfRule type="cellIs" dxfId="1772" priority="2281" operator="equal">
      <formula>"수정-신규"</formula>
    </cfRule>
  </conditionalFormatting>
  <conditionalFormatting sqref="AD51">
    <cfRule type="cellIs" dxfId="1771" priority="2277" operator="equal">
      <formula>"수정-신규"</formula>
    </cfRule>
  </conditionalFormatting>
  <conditionalFormatting sqref="AE54">
    <cfRule type="cellIs" dxfId="1770" priority="2274" operator="equal">
      <formula>"수정-신규"</formula>
    </cfRule>
    <cfRule type="cellIs" dxfId="1769" priority="2275" operator="equal">
      <formula>"수정"</formula>
    </cfRule>
    <cfRule type="cellIs" dxfId="1768" priority="2276" operator="equal">
      <formula>"신규"</formula>
    </cfRule>
  </conditionalFormatting>
  <conditionalFormatting sqref="AD54">
    <cfRule type="cellIs" dxfId="1767" priority="2270" operator="equal">
      <formula>"수정-신규"</formula>
    </cfRule>
    <cfRule type="cellIs" dxfId="1766" priority="2271" operator="equal">
      <formula>"수정"</formula>
    </cfRule>
    <cfRule type="cellIs" dxfId="1765" priority="2272" operator="equal">
      <formula>"신규"</formula>
    </cfRule>
  </conditionalFormatting>
  <conditionalFormatting sqref="AE54">
    <cfRule type="cellIs" dxfId="1764" priority="2273" operator="equal">
      <formula>"수정-신규"</formula>
    </cfRule>
  </conditionalFormatting>
  <conditionalFormatting sqref="AD54">
    <cfRule type="cellIs" dxfId="1763" priority="2269" operator="equal">
      <formula>"수정-신규"</formula>
    </cfRule>
  </conditionalFormatting>
  <conditionalFormatting sqref="AE52">
    <cfRule type="cellIs" dxfId="1762" priority="2266" operator="equal">
      <formula>"수정-신규"</formula>
    </cfRule>
    <cfRule type="cellIs" dxfId="1761" priority="2267" operator="equal">
      <formula>"수정"</formula>
    </cfRule>
    <cfRule type="cellIs" dxfId="1760" priority="2268" operator="equal">
      <formula>"신규"</formula>
    </cfRule>
  </conditionalFormatting>
  <conditionalFormatting sqref="AD52">
    <cfRule type="cellIs" dxfId="1759" priority="2262" operator="equal">
      <formula>"수정-신규"</formula>
    </cfRule>
    <cfRule type="cellIs" dxfId="1758" priority="2263" operator="equal">
      <formula>"수정"</formula>
    </cfRule>
    <cfRule type="cellIs" dxfId="1757" priority="2264" operator="equal">
      <formula>"신규"</formula>
    </cfRule>
  </conditionalFormatting>
  <conditionalFormatting sqref="AE52">
    <cfRule type="cellIs" dxfId="1756" priority="2265" operator="equal">
      <formula>"수정-신규"</formula>
    </cfRule>
  </conditionalFormatting>
  <conditionalFormatting sqref="AD52">
    <cfRule type="cellIs" dxfId="1755" priority="2261" operator="equal">
      <formula>"수정-신규"</formula>
    </cfRule>
  </conditionalFormatting>
  <conditionalFormatting sqref="AE47">
    <cfRule type="cellIs" dxfId="1754" priority="2258" operator="equal">
      <formula>"수정-신규"</formula>
    </cfRule>
    <cfRule type="cellIs" dxfId="1753" priority="2259" operator="equal">
      <formula>"수정"</formula>
    </cfRule>
    <cfRule type="cellIs" dxfId="1752" priority="2260" operator="equal">
      <formula>"신규"</formula>
    </cfRule>
  </conditionalFormatting>
  <conditionalFormatting sqref="AD47">
    <cfRule type="cellIs" dxfId="1751" priority="2254" operator="equal">
      <formula>"수정-신규"</formula>
    </cfRule>
    <cfRule type="cellIs" dxfId="1750" priority="2255" operator="equal">
      <formula>"수정"</formula>
    </cfRule>
    <cfRule type="cellIs" dxfId="1749" priority="2256" operator="equal">
      <formula>"신규"</formula>
    </cfRule>
  </conditionalFormatting>
  <conditionalFormatting sqref="AE47">
    <cfRule type="cellIs" dxfId="1748" priority="2257" operator="equal">
      <formula>"수정-신규"</formula>
    </cfRule>
  </conditionalFormatting>
  <conditionalFormatting sqref="AD47">
    <cfRule type="cellIs" dxfId="1747" priority="2253" operator="equal">
      <formula>"수정-신규"</formula>
    </cfRule>
  </conditionalFormatting>
  <conditionalFormatting sqref="AE45">
    <cfRule type="cellIs" dxfId="1746" priority="2250" operator="equal">
      <formula>"수정-신규"</formula>
    </cfRule>
    <cfRule type="cellIs" dxfId="1745" priority="2251" operator="equal">
      <formula>"수정"</formula>
    </cfRule>
    <cfRule type="cellIs" dxfId="1744" priority="2252" operator="equal">
      <formula>"신규"</formula>
    </cfRule>
  </conditionalFormatting>
  <conditionalFormatting sqref="AD45">
    <cfRule type="cellIs" dxfId="1743" priority="2246" operator="equal">
      <formula>"수정-신규"</formula>
    </cfRule>
    <cfRule type="cellIs" dxfId="1742" priority="2247" operator="equal">
      <formula>"수정"</formula>
    </cfRule>
    <cfRule type="cellIs" dxfId="1741" priority="2248" operator="equal">
      <formula>"신규"</formula>
    </cfRule>
  </conditionalFormatting>
  <conditionalFormatting sqref="AE45">
    <cfRule type="cellIs" dxfId="1740" priority="2249" operator="equal">
      <formula>"수정-신규"</formula>
    </cfRule>
  </conditionalFormatting>
  <conditionalFormatting sqref="AD45">
    <cfRule type="cellIs" dxfId="1739" priority="2245" operator="equal">
      <formula>"수정-신규"</formula>
    </cfRule>
  </conditionalFormatting>
  <conditionalFormatting sqref="AE94">
    <cfRule type="cellIs" dxfId="1738" priority="2233" operator="equal">
      <formula>"수정-신규"</formula>
    </cfRule>
  </conditionalFormatting>
  <conditionalFormatting sqref="AE38">
    <cfRule type="cellIs" dxfId="1737" priority="2242" operator="equal">
      <formula>"수정-신규"</formula>
    </cfRule>
    <cfRule type="cellIs" dxfId="1736" priority="2243" operator="equal">
      <formula>"수정"</formula>
    </cfRule>
    <cfRule type="cellIs" dxfId="1735" priority="2244" operator="equal">
      <formula>"신규"</formula>
    </cfRule>
  </conditionalFormatting>
  <conditionalFormatting sqref="AD38">
    <cfRule type="cellIs" dxfId="1734" priority="2238" operator="equal">
      <formula>"수정-신규"</formula>
    </cfRule>
    <cfRule type="cellIs" dxfId="1733" priority="2239" operator="equal">
      <formula>"수정"</formula>
    </cfRule>
    <cfRule type="cellIs" dxfId="1732" priority="2240" operator="equal">
      <formula>"신규"</formula>
    </cfRule>
  </conditionalFormatting>
  <conditionalFormatting sqref="AE38">
    <cfRule type="cellIs" dxfId="1731" priority="2241" operator="equal">
      <formula>"수정-신규"</formula>
    </cfRule>
  </conditionalFormatting>
  <conditionalFormatting sqref="AD38">
    <cfRule type="cellIs" dxfId="1730" priority="2237" operator="equal">
      <formula>"수정-신규"</formula>
    </cfRule>
  </conditionalFormatting>
  <conditionalFormatting sqref="AE94">
    <cfRule type="cellIs" dxfId="1729" priority="2234" operator="equal">
      <formula>"수정-신규"</formula>
    </cfRule>
    <cfRule type="cellIs" dxfId="1728" priority="2235" operator="equal">
      <formula>"수정"</formula>
    </cfRule>
    <cfRule type="cellIs" dxfId="1727" priority="2236" operator="equal">
      <formula>"신규"</formula>
    </cfRule>
  </conditionalFormatting>
  <conditionalFormatting sqref="AD94">
    <cfRule type="cellIs" dxfId="1726" priority="2230" operator="equal">
      <formula>"수정-신규"</formula>
    </cfRule>
    <cfRule type="cellIs" dxfId="1725" priority="2231" operator="equal">
      <formula>"수정"</formula>
    </cfRule>
    <cfRule type="cellIs" dxfId="1724" priority="2232" operator="equal">
      <formula>"신규"</formula>
    </cfRule>
  </conditionalFormatting>
  <conditionalFormatting sqref="AD94">
    <cfRule type="cellIs" dxfId="1723" priority="2229" operator="equal">
      <formula>"수정-신규"</formula>
    </cfRule>
  </conditionalFormatting>
  <conditionalFormatting sqref="AE55">
    <cfRule type="cellIs" dxfId="1722" priority="2225" operator="equal">
      <formula>"수정-신규"</formula>
    </cfRule>
  </conditionalFormatting>
  <conditionalFormatting sqref="AE55">
    <cfRule type="cellIs" dxfId="1721" priority="2226" operator="equal">
      <formula>"수정-신규"</formula>
    </cfRule>
    <cfRule type="cellIs" dxfId="1720" priority="2227" operator="equal">
      <formula>"수정"</formula>
    </cfRule>
    <cfRule type="cellIs" dxfId="1719" priority="2228" operator="equal">
      <formula>"신규"</formula>
    </cfRule>
  </conditionalFormatting>
  <conditionalFormatting sqref="AD55">
    <cfRule type="cellIs" dxfId="1718" priority="2222" operator="equal">
      <formula>"수정-신규"</formula>
    </cfRule>
    <cfRule type="cellIs" dxfId="1717" priority="2223" operator="equal">
      <formula>"수정"</formula>
    </cfRule>
    <cfRule type="cellIs" dxfId="1716" priority="2224" operator="equal">
      <formula>"신규"</formula>
    </cfRule>
  </conditionalFormatting>
  <conditionalFormatting sqref="AD55">
    <cfRule type="cellIs" dxfId="1715" priority="2221" operator="equal">
      <formula>"수정-신규"</formula>
    </cfRule>
  </conditionalFormatting>
  <conditionalFormatting sqref="AE46">
    <cfRule type="cellIs" dxfId="1714" priority="2218" operator="equal">
      <formula>"수정-신규"</formula>
    </cfRule>
    <cfRule type="cellIs" dxfId="1713" priority="2219" operator="equal">
      <formula>"수정"</formula>
    </cfRule>
    <cfRule type="cellIs" dxfId="1712" priority="2220" operator="equal">
      <formula>"신규"</formula>
    </cfRule>
  </conditionalFormatting>
  <conditionalFormatting sqref="AD46">
    <cfRule type="cellIs" dxfId="1711" priority="2214" operator="equal">
      <formula>"수정-신규"</formula>
    </cfRule>
    <cfRule type="cellIs" dxfId="1710" priority="2215" operator="equal">
      <formula>"수정"</formula>
    </cfRule>
    <cfRule type="cellIs" dxfId="1709" priority="2216" operator="equal">
      <formula>"신규"</formula>
    </cfRule>
  </conditionalFormatting>
  <conditionalFormatting sqref="AE46">
    <cfRule type="cellIs" dxfId="1708" priority="2217" operator="equal">
      <formula>"수정-신규"</formula>
    </cfRule>
  </conditionalFormatting>
  <conditionalFormatting sqref="AD46">
    <cfRule type="cellIs" dxfId="1707" priority="2213" operator="equal">
      <formula>"수정-신규"</formula>
    </cfRule>
  </conditionalFormatting>
  <conditionalFormatting sqref="AE50">
    <cfRule type="cellIs" dxfId="1706" priority="2210" operator="equal">
      <formula>"수정-신규"</formula>
    </cfRule>
    <cfRule type="cellIs" dxfId="1705" priority="2211" operator="equal">
      <formula>"수정"</formula>
    </cfRule>
    <cfRule type="cellIs" dxfId="1704" priority="2212" operator="equal">
      <formula>"신규"</formula>
    </cfRule>
  </conditionalFormatting>
  <conditionalFormatting sqref="AD50">
    <cfRule type="cellIs" dxfId="1703" priority="2206" operator="equal">
      <formula>"수정-신규"</formula>
    </cfRule>
    <cfRule type="cellIs" dxfId="1702" priority="2207" operator="equal">
      <formula>"수정"</formula>
    </cfRule>
    <cfRule type="cellIs" dxfId="1701" priority="2208" operator="equal">
      <formula>"신규"</formula>
    </cfRule>
  </conditionalFormatting>
  <conditionalFormatting sqref="AE50">
    <cfRule type="cellIs" dxfId="1700" priority="2209" operator="equal">
      <formula>"수정-신규"</formula>
    </cfRule>
  </conditionalFormatting>
  <conditionalFormatting sqref="AD50">
    <cfRule type="cellIs" dxfId="1699" priority="2205" operator="equal">
      <formula>"수정-신규"</formula>
    </cfRule>
  </conditionalFormatting>
  <conditionalFormatting sqref="AE53">
    <cfRule type="cellIs" dxfId="1698" priority="2202" operator="equal">
      <formula>"수정-신규"</formula>
    </cfRule>
    <cfRule type="cellIs" dxfId="1697" priority="2203" operator="equal">
      <formula>"수정"</formula>
    </cfRule>
    <cfRule type="cellIs" dxfId="1696" priority="2204" operator="equal">
      <formula>"신규"</formula>
    </cfRule>
  </conditionalFormatting>
  <conditionalFormatting sqref="AD53">
    <cfRule type="cellIs" dxfId="1695" priority="2198" operator="equal">
      <formula>"수정-신규"</formula>
    </cfRule>
    <cfRule type="cellIs" dxfId="1694" priority="2199" operator="equal">
      <formula>"수정"</formula>
    </cfRule>
    <cfRule type="cellIs" dxfId="1693" priority="2200" operator="equal">
      <formula>"신규"</formula>
    </cfRule>
  </conditionalFormatting>
  <conditionalFormatting sqref="AE53">
    <cfRule type="cellIs" dxfId="1692" priority="2201" operator="equal">
      <formula>"수정-신규"</formula>
    </cfRule>
  </conditionalFormatting>
  <conditionalFormatting sqref="AD53">
    <cfRule type="cellIs" dxfId="1691" priority="2197" operator="equal">
      <formula>"수정-신규"</formula>
    </cfRule>
  </conditionalFormatting>
  <conditionalFormatting sqref="AE56">
    <cfRule type="cellIs" dxfId="1690" priority="2194" operator="equal">
      <formula>"수정-신규"</formula>
    </cfRule>
    <cfRule type="cellIs" dxfId="1689" priority="2195" operator="equal">
      <formula>"수정"</formula>
    </cfRule>
    <cfRule type="cellIs" dxfId="1688" priority="2196" operator="equal">
      <formula>"신규"</formula>
    </cfRule>
  </conditionalFormatting>
  <conditionalFormatting sqref="AD56">
    <cfRule type="cellIs" dxfId="1687" priority="2190" operator="equal">
      <formula>"수정-신규"</formula>
    </cfRule>
    <cfRule type="cellIs" dxfId="1686" priority="2191" operator="equal">
      <formula>"수정"</formula>
    </cfRule>
    <cfRule type="cellIs" dxfId="1685" priority="2192" operator="equal">
      <formula>"신규"</formula>
    </cfRule>
  </conditionalFormatting>
  <conditionalFormatting sqref="AE56">
    <cfRule type="cellIs" dxfId="1684" priority="2193" operator="equal">
      <formula>"수정-신규"</formula>
    </cfRule>
  </conditionalFormatting>
  <conditionalFormatting sqref="AD56">
    <cfRule type="cellIs" dxfId="1683" priority="2189" operator="equal">
      <formula>"수정-신규"</formula>
    </cfRule>
  </conditionalFormatting>
  <conditionalFormatting sqref="AE79">
    <cfRule type="cellIs" dxfId="1682" priority="2178" operator="equal">
      <formula>"수정-신규"</formula>
    </cfRule>
    <cfRule type="cellIs" dxfId="1681" priority="2179" operator="equal">
      <formula>"수정"</formula>
    </cfRule>
    <cfRule type="cellIs" dxfId="1680" priority="2180" operator="equal">
      <formula>"신규"</formula>
    </cfRule>
  </conditionalFormatting>
  <conditionalFormatting sqref="AE79">
    <cfRule type="cellIs" dxfId="1679" priority="2177" operator="equal">
      <formula>"수정-신규"</formula>
    </cfRule>
  </conditionalFormatting>
  <conditionalFormatting sqref="AE80">
    <cfRule type="cellIs" dxfId="1678" priority="2186" operator="equal">
      <formula>"수정-신규"</formula>
    </cfRule>
    <cfRule type="cellIs" dxfId="1677" priority="2187" operator="equal">
      <formula>"수정"</formula>
    </cfRule>
    <cfRule type="cellIs" dxfId="1676" priority="2188" operator="equal">
      <formula>"신규"</formula>
    </cfRule>
  </conditionalFormatting>
  <conditionalFormatting sqref="AD80">
    <cfRule type="cellIs" dxfId="1675" priority="2182" operator="equal">
      <formula>"수정-신규"</formula>
    </cfRule>
    <cfRule type="cellIs" dxfId="1674" priority="2183" operator="equal">
      <formula>"수정"</formula>
    </cfRule>
    <cfRule type="cellIs" dxfId="1673" priority="2184" operator="equal">
      <formula>"신규"</formula>
    </cfRule>
  </conditionalFormatting>
  <conditionalFormatting sqref="AE80">
    <cfRule type="cellIs" dxfId="1672" priority="2185" operator="equal">
      <formula>"수정-신규"</formula>
    </cfRule>
  </conditionalFormatting>
  <conditionalFormatting sqref="AD80">
    <cfRule type="cellIs" dxfId="1671" priority="2181" operator="equal">
      <formula>"수정-신규"</formula>
    </cfRule>
  </conditionalFormatting>
  <conditionalFormatting sqref="AD79">
    <cfRule type="cellIs" dxfId="1670" priority="2174" operator="equal">
      <formula>"수정-신규"</formula>
    </cfRule>
    <cfRule type="cellIs" dxfId="1669" priority="2175" operator="equal">
      <formula>"수정"</formula>
    </cfRule>
    <cfRule type="cellIs" dxfId="1668" priority="2176" operator="equal">
      <formula>"신규"</formula>
    </cfRule>
  </conditionalFormatting>
  <conditionalFormatting sqref="AD79">
    <cfRule type="cellIs" dxfId="1667" priority="2173" operator="equal">
      <formula>"수정-신규"</formula>
    </cfRule>
  </conditionalFormatting>
  <conditionalFormatting sqref="AE85:AE86">
    <cfRule type="cellIs" dxfId="1666" priority="2170" operator="equal">
      <formula>"수정-신규"</formula>
    </cfRule>
    <cfRule type="cellIs" dxfId="1665" priority="2171" operator="equal">
      <formula>"수정"</formula>
    </cfRule>
    <cfRule type="cellIs" dxfId="1664" priority="2172" operator="equal">
      <formula>"신규"</formula>
    </cfRule>
  </conditionalFormatting>
  <conditionalFormatting sqref="AD85:AD86">
    <cfRule type="cellIs" dxfId="1663" priority="2166" operator="equal">
      <formula>"수정-신규"</formula>
    </cfRule>
    <cfRule type="cellIs" dxfId="1662" priority="2167" operator="equal">
      <formula>"수정"</formula>
    </cfRule>
    <cfRule type="cellIs" dxfId="1661" priority="2168" operator="equal">
      <formula>"신규"</formula>
    </cfRule>
  </conditionalFormatting>
  <conditionalFormatting sqref="AE85:AE86">
    <cfRule type="cellIs" dxfId="1660" priority="2169" operator="equal">
      <formula>"수정-신규"</formula>
    </cfRule>
  </conditionalFormatting>
  <conditionalFormatting sqref="AD85:AD86">
    <cfRule type="cellIs" dxfId="1659" priority="2165" operator="equal">
      <formula>"수정-신규"</formula>
    </cfRule>
  </conditionalFormatting>
  <conditionalFormatting sqref="AE90">
    <cfRule type="cellIs" dxfId="1658" priority="2162" operator="equal">
      <formula>"수정-신규"</formula>
    </cfRule>
    <cfRule type="cellIs" dxfId="1657" priority="2163" operator="equal">
      <formula>"수정"</formula>
    </cfRule>
    <cfRule type="cellIs" dxfId="1656" priority="2164" operator="equal">
      <formula>"신규"</formula>
    </cfRule>
  </conditionalFormatting>
  <conditionalFormatting sqref="AD90">
    <cfRule type="cellIs" dxfId="1655" priority="2158" operator="equal">
      <formula>"수정-신규"</formula>
    </cfRule>
    <cfRule type="cellIs" dxfId="1654" priority="2159" operator="equal">
      <formula>"수정"</formula>
    </cfRule>
    <cfRule type="cellIs" dxfId="1653" priority="2160" operator="equal">
      <formula>"신규"</formula>
    </cfRule>
  </conditionalFormatting>
  <conditionalFormatting sqref="AE90">
    <cfRule type="cellIs" dxfId="1652" priority="2161" operator="equal">
      <formula>"수정-신규"</formula>
    </cfRule>
  </conditionalFormatting>
  <conditionalFormatting sqref="AD90">
    <cfRule type="cellIs" dxfId="1651" priority="2157" operator="equal">
      <formula>"수정-신규"</formula>
    </cfRule>
  </conditionalFormatting>
  <conditionalFormatting sqref="AE87">
    <cfRule type="cellIs" dxfId="1650" priority="2154" operator="equal">
      <formula>"수정-신규"</formula>
    </cfRule>
    <cfRule type="cellIs" dxfId="1649" priority="2155" operator="equal">
      <formula>"수정"</formula>
    </cfRule>
    <cfRule type="cellIs" dxfId="1648" priority="2156" operator="equal">
      <formula>"신규"</formula>
    </cfRule>
  </conditionalFormatting>
  <conditionalFormatting sqref="AD87">
    <cfRule type="cellIs" dxfId="1647" priority="2150" operator="equal">
      <formula>"수정-신규"</formula>
    </cfRule>
    <cfRule type="cellIs" dxfId="1646" priority="2151" operator="equal">
      <formula>"수정"</formula>
    </cfRule>
    <cfRule type="cellIs" dxfId="1645" priority="2152" operator="equal">
      <formula>"신규"</formula>
    </cfRule>
  </conditionalFormatting>
  <conditionalFormatting sqref="AE87">
    <cfRule type="cellIs" dxfId="1644" priority="2153" operator="equal">
      <formula>"수정-신규"</formula>
    </cfRule>
  </conditionalFormatting>
  <conditionalFormatting sqref="AD87">
    <cfRule type="cellIs" dxfId="1643" priority="2149" operator="equal">
      <formula>"수정-신규"</formula>
    </cfRule>
  </conditionalFormatting>
  <conditionalFormatting sqref="AE77">
    <cfRule type="cellIs" dxfId="1642" priority="2146" operator="equal">
      <formula>"수정-신규"</formula>
    </cfRule>
    <cfRule type="cellIs" dxfId="1641" priority="2147" operator="equal">
      <formula>"수정"</formula>
    </cfRule>
    <cfRule type="cellIs" dxfId="1640" priority="2148" operator="equal">
      <formula>"신규"</formula>
    </cfRule>
  </conditionalFormatting>
  <conditionalFormatting sqref="AD77">
    <cfRule type="cellIs" dxfId="1639" priority="2142" operator="equal">
      <formula>"수정-신규"</formula>
    </cfRule>
    <cfRule type="cellIs" dxfId="1638" priority="2143" operator="equal">
      <formula>"수정"</formula>
    </cfRule>
    <cfRule type="cellIs" dxfId="1637" priority="2144" operator="equal">
      <formula>"신규"</formula>
    </cfRule>
  </conditionalFormatting>
  <conditionalFormatting sqref="AE77">
    <cfRule type="cellIs" dxfId="1636" priority="2145" operator="equal">
      <formula>"수정-신규"</formula>
    </cfRule>
  </conditionalFormatting>
  <conditionalFormatting sqref="AD77">
    <cfRule type="cellIs" dxfId="1635" priority="2141" operator="equal">
      <formula>"수정-신규"</formula>
    </cfRule>
  </conditionalFormatting>
  <conditionalFormatting sqref="AE64">
    <cfRule type="cellIs" dxfId="1634" priority="2138" operator="equal">
      <formula>"수정-신규"</formula>
    </cfRule>
    <cfRule type="cellIs" dxfId="1633" priority="2139" operator="equal">
      <formula>"수정"</formula>
    </cfRule>
    <cfRule type="cellIs" dxfId="1632" priority="2140" operator="equal">
      <formula>"신규"</formula>
    </cfRule>
  </conditionalFormatting>
  <conditionalFormatting sqref="AD64">
    <cfRule type="cellIs" dxfId="1631" priority="2134" operator="equal">
      <formula>"수정-신규"</formula>
    </cfRule>
    <cfRule type="cellIs" dxfId="1630" priority="2135" operator="equal">
      <formula>"수정"</formula>
    </cfRule>
    <cfRule type="cellIs" dxfId="1629" priority="2136" operator="equal">
      <formula>"신규"</formula>
    </cfRule>
  </conditionalFormatting>
  <conditionalFormatting sqref="AE64">
    <cfRule type="cellIs" dxfId="1628" priority="2137" operator="equal">
      <formula>"수정-신규"</formula>
    </cfRule>
  </conditionalFormatting>
  <conditionalFormatting sqref="AD64">
    <cfRule type="cellIs" dxfId="1627" priority="2133" operator="equal">
      <formula>"수정-신규"</formula>
    </cfRule>
  </conditionalFormatting>
  <conditionalFormatting sqref="AE65">
    <cfRule type="cellIs" dxfId="1626" priority="2130" operator="equal">
      <formula>"수정-신규"</formula>
    </cfRule>
    <cfRule type="cellIs" dxfId="1625" priority="2131" operator="equal">
      <formula>"수정"</formula>
    </cfRule>
    <cfRule type="cellIs" dxfId="1624" priority="2132" operator="equal">
      <formula>"신규"</formula>
    </cfRule>
  </conditionalFormatting>
  <conditionalFormatting sqref="AD65">
    <cfRule type="cellIs" dxfId="1623" priority="2126" operator="equal">
      <formula>"수정-신규"</formula>
    </cfRule>
    <cfRule type="cellIs" dxfId="1622" priority="2127" operator="equal">
      <formula>"수정"</formula>
    </cfRule>
    <cfRule type="cellIs" dxfId="1621" priority="2128" operator="equal">
      <formula>"신규"</formula>
    </cfRule>
  </conditionalFormatting>
  <conditionalFormatting sqref="AE65">
    <cfRule type="cellIs" dxfId="1620" priority="2129" operator="equal">
      <formula>"수정-신규"</formula>
    </cfRule>
  </conditionalFormatting>
  <conditionalFormatting sqref="AD65">
    <cfRule type="cellIs" dxfId="1619" priority="2125" operator="equal">
      <formula>"수정-신규"</formula>
    </cfRule>
  </conditionalFormatting>
  <conditionalFormatting sqref="AE81">
    <cfRule type="cellIs" dxfId="1618" priority="2122" operator="equal">
      <formula>"수정-신규"</formula>
    </cfRule>
    <cfRule type="cellIs" dxfId="1617" priority="2123" operator="equal">
      <formula>"수정"</formula>
    </cfRule>
    <cfRule type="cellIs" dxfId="1616" priority="2124" operator="equal">
      <formula>"신규"</formula>
    </cfRule>
  </conditionalFormatting>
  <conditionalFormatting sqref="AD81">
    <cfRule type="cellIs" dxfId="1615" priority="2118" operator="equal">
      <formula>"수정-신규"</formula>
    </cfRule>
    <cfRule type="cellIs" dxfId="1614" priority="2119" operator="equal">
      <formula>"수정"</formula>
    </cfRule>
    <cfRule type="cellIs" dxfId="1613" priority="2120" operator="equal">
      <formula>"신규"</formula>
    </cfRule>
  </conditionalFormatting>
  <conditionalFormatting sqref="AE81">
    <cfRule type="cellIs" dxfId="1612" priority="2121" operator="equal">
      <formula>"수정-신규"</formula>
    </cfRule>
  </conditionalFormatting>
  <conditionalFormatting sqref="AD81">
    <cfRule type="cellIs" dxfId="1611" priority="2117" operator="equal">
      <formula>"수정-신규"</formula>
    </cfRule>
  </conditionalFormatting>
  <conditionalFormatting sqref="AE88">
    <cfRule type="cellIs" dxfId="1610" priority="2114" operator="equal">
      <formula>"수정-신규"</formula>
    </cfRule>
    <cfRule type="cellIs" dxfId="1609" priority="2115" operator="equal">
      <formula>"수정"</formula>
    </cfRule>
    <cfRule type="cellIs" dxfId="1608" priority="2116" operator="equal">
      <formula>"신규"</formula>
    </cfRule>
  </conditionalFormatting>
  <conditionalFormatting sqref="AD88">
    <cfRule type="cellIs" dxfId="1607" priority="2110" operator="equal">
      <formula>"수정-신규"</formula>
    </cfRule>
    <cfRule type="cellIs" dxfId="1606" priority="2111" operator="equal">
      <formula>"수정"</formula>
    </cfRule>
    <cfRule type="cellIs" dxfId="1605" priority="2112" operator="equal">
      <formula>"신규"</formula>
    </cfRule>
  </conditionalFormatting>
  <conditionalFormatting sqref="AE88">
    <cfRule type="cellIs" dxfId="1604" priority="2113" operator="equal">
      <formula>"수정-신규"</formula>
    </cfRule>
  </conditionalFormatting>
  <conditionalFormatting sqref="AD88">
    <cfRule type="cellIs" dxfId="1603" priority="2109" operator="equal">
      <formula>"수정-신규"</formula>
    </cfRule>
  </conditionalFormatting>
  <conditionalFormatting sqref="AB2:AE3 AB42:AE42">
    <cfRule type="cellIs" dxfId="1602" priority="2106" operator="equal">
      <formula>"수정-신규"</formula>
    </cfRule>
    <cfRule type="cellIs" dxfId="1601" priority="2107" operator="equal">
      <formula>"수정"</formula>
    </cfRule>
    <cfRule type="cellIs" dxfId="1600" priority="2108" operator="equal">
      <formula>"신규"</formula>
    </cfRule>
  </conditionalFormatting>
  <conditionalFormatting sqref="AB2:AE3 AB42:AE42">
    <cfRule type="cellIs" dxfId="1599" priority="2105" operator="equal">
      <formula>"수정-신규"</formula>
    </cfRule>
  </conditionalFormatting>
  <conditionalFormatting sqref="AB4:AE6">
    <cfRule type="cellIs" dxfId="1598" priority="2101" operator="equal">
      <formula>"수정-신규"</formula>
    </cfRule>
  </conditionalFormatting>
  <conditionalFormatting sqref="AB15:AE15">
    <cfRule type="cellIs" dxfId="1597" priority="2093" operator="equal">
      <formula>"수정-신규"</formula>
    </cfRule>
  </conditionalFormatting>
  <conditionalFormatting sqref="AB14:AE14">
    <cfRule type="cellIs" dxfId="1596" priority="2090" operator="equal">
      <formula>"수정-신규"</formula>
    </cfRule>
    <cfRule type="cellIs" dxfId="1595" priority="2091" operator="equal">
      <formula>"수정"</formula>
    </cfRule>
    <cfRule type="cellIs" dxfId="1594" priority="2092" operator="equal">
      <formula>"신규"</formula>
    </cfRule>
  </conditionalFormatting>
  <conditionalFormatting sqref="AB4:AE6">
    <cfRule type="cellIs" dxfId="1593" priority="2102" operator="equal">
      <formula>"수정-신규"</formula>
    </cfRule>
    <cfRule type="cellIs" dxfId="1592" priority="2103" operator="equal">
      <formula>"수정"</formula>
    </cfRule>
    <cfRule type="cellIs" dxfId="1591" priority="2104" operator="equal">
      <formula>"신규"</formula>
    </cfRule>
  </conditionalFormatting>
  <conditionalFormatting sqref="AB11:AE11">
    <cfRule type="cellIs" dxfId="1590" priority="2078" operator="equal">
      <formula>"수정-신규"</formula>
    </cfRule>
    <cfRule type="cellIs" dxfId="1589" priority="2079" operator="equal">
      <formula>"수정"</formula>
    </cfRule>
    <cfRule type="cellIs" dxfId="1588" priority="2080" operator="equal">
      <formula>"신규"</formula>
    </cfRule>
  </conditionalFormatting>
  <conditionalFormatting sqref="AB12:AE12">
    <cfRule type="cellIs" dxfId="1587" priority="2082" operator="equal">
      <formula>"수정-신규"</formula>
    </cfRule>
    <cfRule type="cellIs" dxfId="1586" priority="2083" operator="equal">
      <formula>"수정"</formula>
    </cfRule>
    <cfRule type="cellIs" dxfId="1585" priority="2084" operator="equal">
      <formula>"신규"</formula>
    </cfRule>
  </conditionalFormatting>
  <conditionalFormatting sqref="AB16:AE16">
    <cfRule type="cellIs" dxfId="1584" priority="2098" operator="equal">
      <formula>"수정-신규"</formula>
    </cfRule>
    <cfRule type="cellIs" dxfId="1583" priority="2099" operator="equal">
      <formula>"수정"</formula>
    </cfRule>
    <cfRule type="cellIs" dxfId="1582" priority="2100" operator="equal">
      <formula>"신규"</formula>
    </cfRule>
  </conditionalFormatting>
  <conditionalFormatting sqref="AB16:AE16">
    <cfRule type="cellIs" dxfId="1581" priority="2097" operator="equal">
      <formula>"수정-신규"</formula>
    </cfRule>
  </conditionalFormatting>
  <conditionalFormatting sqref="AB15:AE15">
    <cfRule type="cellIs" dxfId="1580" priority="2094" operator="equal">
      <formula>"수정-신규"</formula>
    </cfRule>
    <cfRule type="cellIs" dxfId="1579" priority="2095" operator="equal">
      <formula>"수정"</formula>
    </cfRule>
    <cfRule type="cellIs" dxfId="1578" priority="2096" operator="equal">
      <formula>"신규"</formula>
    </cfRule>
  </conditionalFormatting>
  <conditionalFormatting sqref="AB14:AE14">
    <cfRule type="cellIs" dxfId="1577" priority="2089" operator="equal">
      <formula>"수정-신규"</formula>
    </cfRule>
  </conditionalFormatting>
  <conditionalFormatting sqref="AB13:AE13">
    <cfRule type="cellIs" dxfId="1576" priority="2086" operator="equal">
      <formula>"수정-신규"</formula>
    </cfRule>
    <cfRule type="cellIs" dxfId="1575" priority="2087" operator="equal">
      <formula>"수정"</formula>
    </cfRule>
    <cfRule type="cellIs" dxfId="1574" priority="2088" operator="equal">
      <formula>"신규"</formula>
    </cfRule>
  </conditionalFormatting>
  <conditionalFormatting sqref="AB13:AE13">
    <cfRule type="cellIs" dxfId="1573" priority="2085" operator="equal">
      <formula>"수정-신규"</formula>
    </cfRule>
  </conditionalFormatting>
  <conditionalFormatting sqref="AB12:AE12">
    <cfRule type="cellIs" dxfId="1572" priority="2081" operator="equal">
      <formula>"수정-신규"</formula>
    </cfRule>
  </conditionalFormatting>
  <conditionalFormatting sqref="AB11:AE11">
    <cfRule type="cellIs" dxfId="1571" priority="2077" operator="equal">
      <formula>"수정-신규"</formula>
    </cfRule>
  </conditionalFormatting>
  <conditionalFormatting sqref="AB23:AE23">
    <cfRule type="cellIs" dxfId="1570" priority="2049" operator="equal">
      <formula>"수정-신규"</formula>
    </cfRule>
  </conditionalFormatting>
  <conditionalFormatting sqref="AB22:AE22">
    <cfRule type="cellIs" dxfId="1569" priority="2045" operator="equal">
      <formula>"수정-신규"</formula>
    </cfRule>
  </conditionalFormatting>
  <conditionalFormatting sqref="AB21:AE21">
    <cfRule type="cellIs" dxfId="1568" priority="2041" operator="equal">
      <formula>"수정-신규"</formula>
    </cfRule>
  </conditionalFormatting>
  <conditionalFormatting sqref="AB29:AE29">
    <cfRule type="cellIs" dxfId="1567" priority="2074" operator="equal">
      <formula>"수정-신규"</formula>
    </cfRule>
    <cfRule type="cellIs" dxfId="1566" priority="2075" operator="equal">
      <formula>"수정"</formula>
    </cfRule>
    <cfRule type="cellIs" dxfId="1565" priority="2076" operator="equal">
      <formula>"신규"</formula>
    </cfRule>
  </conditionalFormatting>
  <conditionalFormatting sqref="AB29:AE29">
    <cfRule type="cellIs" dxfId="1564" priority="2073" operator="equal">
      <formula>"수정-신규"</formula>
    </cfRule>
  </conditionalFormatting>
  <conditionalFormatting sqref="AB28:AE28">
    <cfRule type="cellIs" dxfId="1563" priority="2070" operator="equal">
      <formula>"수정-신규"</formula>
    </cfRule>
    <cfRule type="cellIs" dxfId="1562" priority="2071" operator="equal">
      <formula>"수정"</formula>
    </cfRule>
    <cfRule type="cellIs" dxfId="1561" priority="2072" operator="equal">
      <formula>"신규"</formula>
    </cfRule>
  </conditionalFormatting>
  <conditionalFormatting sqref="AB28:AE28">
    <cfRule type="cellIs" dxfId="1560" priority="2069" operator="equal">
      <formula>"수정-신규"</formula>
    </cfRule>
  </conditionalFormatting>
  <conditionalFormatting sqref="AB27:AE27">
    <cfRule type="cellIs" dxfId="1559" priority="2066" operator="equal">
      <formula>"수정-신규"</formula>
    </cfRule>
    <cfRule type="cellIs" dxfId="1558" priority="2067" operator="equal">
      <formula>"수정"</formula>
    </cfRule>
    <cfRule type="cellIs" dxfId="1557" priority="2068" operator="equal">
      <formula>"신규"</formula>
    </cfRule>
  </conditionalFormatting>
  <conditionalFormatting sqref="AB27:AE27">
    <cfRule type="cellIs" dxfId="1556" priority="2065" operator="equal">
      <formula>"수정-신규"</formula>
    </cfRule>
  </conditionalFormatting>
  <conditionalFormatting sqref="AB26:AE26">
    <cfRule type="cellIs" dxfId="1555" priority="2062" operator="equal">
      <formula>"수정-신규"</formula>
    </cfRule>
    <cfRule type="cellIs" dxfId="1554" priority="2063" operator="equal">
      <formula>"수정"</formula>
    </cfRule>
    <cfRule type="cellIs" dxfId="1553" priority="2064" operator="equal">
      <formula>"신규"</formula>
    </cfRule>
  </conditionalFormatting>
  <conditionalFormatting sqref="AB26:AE26">
    <cfRule type="cellIs" dxfId="1552" priority="2061" operator="equal">
      <formula>"수정-신규"</formula>
    </cfRule>
  </conditionalFormatting>
  <conditionalFormatting sqref="AB25:AE25">
    <cfRule type="cellIs" dxfId="1551" priority="2058" operator="equal">
      <formula>"수정-신규"</formula>
    </cfRule>
    <cfRule type="cellIs" dxfId="1550" priority="2059" operator="equal">
      <formula>"수정"</formula>
    </cfRule>
    <cfRule type="cellIs" dxfId="1549" priority="2060" operator="equal">
      <formula>"신규"</formula>
    </cfRule>
  </conditionalFormatting>
  <conditionalFormatting sqref="AB25:AE25">
    <cfRule type="cellIs" dxfId="1548" priority="2057" operator="equal">
      <formula>"수정-신규"</formula>
    </cfRule>
  </conditionalFormatting>
  <conditionalFormatting sqref="AB24:AE24">
    <cfRule type="cellIs" dxfId="1547" priority="2054" operator="equal">
      <formula>"수정-신규"</formula>
    </cfRule>
    <cfRule type="cellIs" dxfId="1546" priority="2055" operator="equal">
      <formula>"수정"</formula>
    </cfRule>
    <cfRule type="cellIs" dxfId="1545" priority="2056" operator="equal">
      <formula>"신규"</formula>
    </cfRule>
  </conditionalFormatting>
  <conditionalFormatting sqref="AB24:AE24">
    <cfRule type="cellIs" dxfId="1544" priority="2053" operator="equal">
      <formula>"수정-신규"</formula>
    </cfRule>
  </conditionalFormatting>
  <conditionalFormatting sqref="AB23:AE23">
    <cfRule type="cellIs" dxfId="1543" priority="2050" operator="equal">
      <formula>"수정-신규"</formula>
    </cfRule>
    <cfRule type="cellIs" dxfId="1542" priority="2051" operator="equal">
      <formula>"수정"</formula>
    </cfRule>
    <cfRule type="cellIs" dxfId="1541" priority="2052" operator="equal">
      <formula>"신규"</formula>
    </cfRule>
  </conditionalFormatting>
  <conditionalFormatting sqref="AB22:AE22">
    <cfRule type="cellIs" dxfId="1540" priority="2046" operator="equal">
      <formula>"수정-신규"</formula>
    </cfRule>
    <cfRule type="cellIs" dxfId="1539" priority="2047" operator="equal">
      <formula>"수정"</formula>
    </cfRule>
    <cfRule type="cellIs" dxfId="1538" priority="2048" operator="equal">
      <formula>"신규"</formula>
    </cfRule>
  </conditionalFormatting>
  <conditionalFormatting sqref="AB21:AE21">
    <cfRule type="cellIs" dxfId="1537" priority="2042" operator="equal">
      <formula>"수정-신규"</formula>
    </cfRule>
    <cfRule type="cellIs" dxfId="1536" priority="2043" operator="equal">
      <formula>"수정"</formula>
    </cfRule>
    <cfRule type="cellIs" dxfId="1535" priority="2044" operator="equal">
      <formula>"신규"</formula>
    </cfRule>
  </conditionalFormatting>
  <conditionalFormatting sqref="AB20:AE20">
    <cfRule type="cellIs" dxfId="1534" priority="2038" operator="equal">
      <formula>"수정-신규"</formula>
    </cfRule>
    <cfRule type="cellIs" dxfId="1533" priority="2039" operator="equal">
      <formula>"수정"</formula>
    </cfRule>
    <cfRule type="cellIs" dxfId="1532" priority="2040" operator="equal">
      <formula>"신규"</formula>
    </cfRule>
  </conditionalFormatting>
  <conditionalFormatting sqref="AB20:AE20">
    <cfRule type="cellIs" dxfId="1531" priority="2037" operator="equal">
      <formula>"수정-신규"</formula>
    </cfRule>
  </conditionalFormatting>
  <conditionalFormatting sqref="AB19:AE19">
    <cfRule type="cellIs" dxfId="1530" priority="2034" operator="equal">
      <formula>"수정-신규"</formula>
    </cfRule>
    <cfRule type="cellIs" dxfId="1529" priority="2035" operator="equal">
      <formula>"수정"</formula>
    </cfRule>
    <cfRule type="cellIs" dxfId="1528" priority="2036" operator="equal">
      <formula>"신규"</formula>
    </cfRule>
  </conditionalFormatting>
  <conditionalFormatting sqref="AB19:AE19">
    <cfRule type="cellIs" dxfId="1527" priority="2033" operator="equal">
      <formula>"수정-신규"</formula>
    </cfRule>
  </conditionalFormatting>
  <conditionalFormatting sqref="AB18:AE18">
    <cfRule type="cellIs" dxfId="1526" priority="2030" operator="equal">
      <formula>"수정-신규"</formula>
    </cfRule>
    <cfRule type="cellIs" dxfId="1525" priority="2031" operator="equal">
      <formula>"수정"</formula>
    </cfRule>
    <cfRule type="cellIs" dxfId="1524" priority="2032" operator="equal">
      <formula>"신규"</formula>
    </cfRule>
  </conditionalFormatting>
  <conditionalFormatting sqref="AB18:AE18">
    <cfRule type="cellIs" dxfId="1523" priority="2029" operator="equal">
      <formula>"수정-신규"</formula>
    </cfRule>
  </conditionalFormatting>
  <conditionalFormatting sqref="AB17:AE17">
    <cfRule type="cellIs" dxfId="1522" priority="2026" operator="equal">
      <formula>"수정-신규"</formula>
    </cfRule>
    <cfRule type="cellIs" dxfId="1521" priority="2027" operator="equal">
      <formula>"수정"</formula>
    </cfRule>
    <cfRule type="cellIs" dxfId="1520" priority="2028" operator="equal">
      <formula>"신규"</formula>
    </cfRule>
  </conditionalFormatting>
  <conditionalFormatting sqref="AB17:AE17">
    <cfRule type="cellIs" dxfId="1519" priority="2025" operator="equal">
      <formula>"수정-신규"</formula>
    </cfRule>
  </conditionalFormatting>
  <conditionalFormatting sqref="AB5:AE6">
    <cfRule type="cellIs" dxfId="1518" priority="2021" operator="equal">
      <formula>"수정-신규"</formula>
    </cfRule>
  </conditionalFormatting>
  <conditionalFormatting sqref="AB5:AE6">
    <cfRule type="cellIs" dxfId="1517" priority="2022" operator="equal">
      <formula>"수정-신규"</formula>
    </cfRule>
    <cfRule type="cellIs" dxfId="1516" priority="2023" operator="equal">
      <formula>"수정"</formula>
    </cfRule>
    <cfRule type="cellIs" dxfId="1515" priority="2024" operator="equal">
      <formula>"신규"</formula>
    </cfRule>
  </conditionalFormatting>
  <conditionalFormatting sqref="AB30:AE30">
    <cfRule type="cellIs" dxfId="1514" priority="2018" operator="equal">
      <formula>"수정-신규"</formula>
    </cfRule>
    <cfRule type="cellIs" dxfId="1513" priority="2019" operator="equal">
      <formula>"수정"</formula>
    </cfRule>
    <cfRule type="cellIs" dxfId="1512" priority="2020" operator="equal">
      <formula>"신규"</formula>
    </cfRule>
  </conditionalFormatting>
  <conditionalFormatting sqref="AB30:AE30">
    <cfRule type="cellIs" dxfId="1511" priority="2017" operator="equal">
      <formula>"수정-신규"</formula>
    </cfRule>
  </conditionalFormatting>
  <conditionalFormatting sqref="AB36:AE36">
    <cfRule type="cellIs" dxfId="1510" priority="2010" operator="equal">
      <formula>"수정-신규"</formula>
    </cfRule>
    <cfRule type="cellIs" dxfId="1509" priority="2011" operator="equal">
      <formula>"수정"</formula>
    </cfRule>
    <cfRule type="cellIs" dxfId="1508" priority="2012" operator="equal">
      <formula>"신규"</formula>
    </cfRule>
  </conditionalFormatting>
  <conditionalFormatting sqref="AB36:AE36">
    <cfRule type="cellIs" dxfId="1507" priority="2009" operator="equal">
      <formula>"수정-신규"</formula>
    </cfRule>
  </conditionalFormatting>
  <conditionalFormatting sqref="AB37:AE37">
    <cfRule type="cellIs" dxfId="1506" priority="2014" operator="equal">
      <formula>"수정-신규"</formula>
    </cfRule>
    <cfRule type="cellIs" dxfId="1505" priority="2015" operator="equal">
      <formula>"수정"</formula>
    </cfRule>
    <cfRule type="cellIs" dxfId="1504" priority="2016" operator="equal">
      <formula>"신규"</formula>
    </cfRule>
  </conditionalFormatting>
  <conditionalFormatting sqref="AB37:AE37">
    <cfRule type="cellIs" dxfId="1503" priority="2013" operator="equal">
      <formula>"수정-신규"</formula>
    </cfRule>
  </conditionalFormatting>
  <conditionalFormatting sqref="AB34:AE34">
    <cfRule type="cellIs" dxfId="1502" priority="2006" operator="equal">
      <formula>"수정-신규"</formula>
    </cfRule>
    <cfRule type="cellIs" dxfId="1501" priority="2007" operator="equal">
      <formula>"수정"</formula>
    </cfRule>
    <cfRule type="cellIs" dxfId="1500" priority="2008" operator="equal">
      <formula>"신규"</formula>
    </cfRule>
  </conditionalFormatting>
  <conditionalFormatting sqref="AB34:AE34">
    <cfRule type="cellIs" dxfId="1499" priority="2005" operator="equal">
      <formula>"수정-신규"</formula>
    </cfRule>
  </conditionalFormatting>
  <conditionalFormatting sqref="AB39:AE39">
    <cfRule type="cellIs" dxfId="1498" priority="2002" operator="equal">
      <formula>"수정-신규"</formula>
    </cfRule>
    <cfRule type="cellIs" dxfId="1497" priority="2003" operator="equal">
      <formula>"수정"</formula>
    </cfRule>
    <cfRule type="cellIs" dxfId="1496" priority="2004" operator="equal">
      <formula>"신규"</formula>
    </cfRule>
  </conditionalFormatting>
  <conditionalFormatting sqref="AB39:AE39">
    <cfRule type="cellIs" dxfId="1495" priority="2001" operator="equal">
      <formula>"수정-신규"</formula>
    </cfRule>
  </conditionalFormatting>
  <conditionalFormatting sqref="AB41:AE41">
    <cfRule type="cellIs" dxfId="1494" priority="1998" operator="equal">
      <formula>"수정-신규"</formula>
    </cfRule>
    <cfRule type="cellIs" dxfId="1493" priority="1999" operator="equal">
      <formula>"수정"</formula>
    </cfRule>
    <cfRule type="cellIs" dxfId="1492" priority="2000" operator="equal">
      <formula>"신규"</formula>
    </cfRule>
  </conditionalFormatting>
  <conditionalFormatting sqref="AB41:AE41">
    <cfRule type="cellIs" dxfId="1491" priority="1997" operator="equal">
      <formula>"수정-신규"</formula>
    </cfRule>
  </conditionalFormatting>
  <conditionalFormatting sqref="AB33:AE33">
    <cfRule type="cellIs" dxfId="1490" priority="1994" operator="equal">
      <formula>"수정-신규"</formula>
    </cfRule>
    <cfRule type="cellIs" dxfId="1489" priority="1995" operator="equal">
      <formula>"수정"</formula>
    </cfRule>
    <cfRule type="cellIs" dxfId="1488" priority="1996" operator="equal">
      <formula>"신규"</formula>
    </cfRule>
  </conditionalFormatting>
  <conditionalFormatting sqref="AB33:AE33">
    <cfRule type="cellIs" dxfId="1487" priority="1993" operator="equal">
      <formula>"수정-신규"</formula>
    </cfRule>
  </conditionalFormatting>
  <conditionalFormatting sqref="AC32:AE32">
    <cfRule type="cellIs" dxfId="1486" priority="1989" operator="equal">
      <formula>"수정-신규"</formula>
    </cfRule>
  </conditionalFormatting>
  <conditionalFormatting sqref="AC32:AE32">
    <cfRule type="cellIs" dxfId="1485" priority="1990" operator="equal">
      <formula>"수정-신규"</formula>
    </cfRule>
    <cfRule type="cellIs" dxfId="1484" priority="1991" operator="equal">
      <formula>"수정"</formula>
    </cfRule>
    <cfRule type="cellIs" dxfId="1483" priority="1992" operator="equal">
      <formula>"신규"</formula>
    </cfRule>
  </conditionalFormatting>
  <conditionalFormatting sqref="AC32:AE32">
    <cfRule type="cellIs" dxfId="1482" priority="1985" operator="equal">
      <formula>"수정-신규"</formula>
    </cfRule>
  </conditionalFormatting>
  <conditionalFormatting sqref="AC32:AE32">
    <cfRule type="cellIs" dxfId="1481" priority="1986" operator="equal">
      <formula>"수정-신규"</formula>
    </cfRule>
    <cfRule type="cellIs" dxfId="1480" priority="1987" operator="equal">
      <formula>"수정"</formula>
    </cfRule>
    <cfRule type="cellIs" dxfId="1479" priority="1988" operator="equal">
      <formula>"신규"</formula>
    </cfRule>
  </conditionalFormatting>
  <conditionalFormatting sqref="AB31:AE31">
    <cfRule type="cellIs" dxfId="1478" priority="1981" operator="equal">
      <formula>"수정-신규"</formula>
    </cfRule>
  </conditionalFormatting>
  <conditionalFormatting sqref="AB31:AE31">
    <cfRule type="cellIs" dxfId="1477" priority="1982" operator="equal">
      <formula>"수정-신규"</formula>
    </cfRule>
    <cfRule type="cellIs" dxfId="1476" priority="1983" operator="equal">
      <formula>"수정"</formula>
    </cfRule>
    <cfRule type="cellIs" dxfId="1475" priority="1984" operator="equal">
      <formula>"신규"</formula>
    </cfRule>
  </conditionalFormatting>
  <conditionalFormatting sqref="AB31:AE31">
    <cfRule type="cellIs" dxfId="1474" priority="1977" operator="equal">
      <formula>"수정-신규"</formula>
    </cfRule>
  </conditionalFormatting>
  <conditionalFormatting sqref="AB31:AE31">
    <cfRule type="cellIs" dxfId="1473" priority="1978" operator="equal">
      <formula>"수정-신규"</formula>
    </cfRule>
    <cfRule type="cellIs" dxfId="1472" priority="1979" operator="equal">
      <formula>"수정"</formula>
    </cfRule>
    <cfRule type="cellIs" dxfId="1471" priority="1980" operator="equal">
      <formula>"신규"</formula>
    </cfRule>
  </conditionalFormatting>
  <conditionalFormatting sqref="AC7:AE10">
    <cfRule type="cellIs" dxfId="1470" priority="1973" operator="equal">
      <formula>"수정-신규"</formula>
    </cfRule>
  </conditionalFormatting>
  <conditionalFormatting sqref="AC7:AE10">
    <cfRule type="cellIs" dxfId="1469" priority="1974" operator="equal">
      <formula>"수정-신규"</formula>
    </cfRule>
    <cfRule type="cellIs" dxfId="1468" priority="1975" operator="equal">
      <formula>"수정"</formula>
    </cfRule>
    <cfRule type="cellIs" dxfId="1467" priority="1976" operator="equal">
      <formula>"신규"</formula>
    </cfRule>
  </conditionalFormatting>
  <conditionalFormatting sqref="AC7:AE10">
    <cfRule type="cellIs" dxfId="1466" priority="1969" operator="equal">
      <formula>"수정-신규"</formula>
    </cfRule>
  </conditionalFormatting>
  <conditionalFormatting sqref="AC7:AE10">
    <cfRule type="cellIs" dxfId="1465" priority="1970" operator="equal">
      <formula>"수정-신규"</formula>
    </cfRule>
    <cfRule type="cellIs" dxfId="1464" priority="1971" operator="equal">
      <formula>"수정"</formula>
    </cfRule>
    <cfRule type="cellIs" dxfId="1463" priority="1972" operator="equal">
      <formula>"신규"</formula>
    </cfRule>
  </conditionalFormatting>
  <conditionalFormatting sqref="AB40:AE40">
    <cfRule type="cellIs" dxfId="1462" priority="1965" operator="equal">
      <formula>"수정-신규"</formula>
    </cfRule>
  </conditionalFormatting>
  <conditionalFormatting sqref="AB40:AE40">
    <cfRule type="cellIs" dxfId="1461" priority="1966" operator="equal">
      <formula>"수정-신규"</formula>
    </cfRule>
    <cfRule type="cellIs" dxfId="1460" priority="1967" operator="equal">
      <formula>"수정"</formula>
    </cfRule>
    <cfRule type="cellIs" dxfId="1459" priority="1968" operator="equal">
      <formula>"신규"</formula>
    </cfRule>
  </conditionalFormatting>
  <conditionalFormatting sqref="AB40:AE40">
    <cfRule type="cellIs" dxfId="1458" priority="1961" operator="equal">
      <formula>"수정-신규"</formula>
    </cfRule>
  </conditionalFormatting>
  <conditionalFormatting sqref="AB40:AE40">
    <cfRule type="cellIs" dxfId="1457" priority="1962" operator="equal">
      <formula>"수정-신규"</formula>
    </cfRule>
    <cfRule type="cellIs" dxfId="1456" priority="1963" operator="equal">
      <formula>"수정"</formula>
    </cfRule>
    <cfRule type="cellIs" dxfId="1455" priority="1964" operator="equal">
      <formula>"신규"</formula>
    </cfRule>
  </conditionalFormatting>
  <conditionalFormatting sqref="AB35:AE35">
    <cfRule type="cellIs" dxfId="1454" priority="1958" operator="equal">
      <formula>"수정-신규"</formula>
    </cfRule>
    <cfRule type="cellIs" dxfId="1453" priority="1959" operator="equal">
      <formula>"수정"</formula>
    </cfRule>
    <cfRule type="cellIs" dxfId="1452" priority="1960" operator="equal">
      <formula>"신규"</formula>
    </cfRule>
  </conditionalFormatting>
  <conditionalFormatting sqref="AB35:AE35">
    <cfRule type="cellIs" dxfId="1451" priority="1957" operator="equal">
      <formula>"수정-신규"</formula>
    </cfRule>
  </conditionalFormatting>
  <conditionalFormatting sqref="AB43:AE43">
    <cfRule type="cellIs" dxfId="1450" priority="1954" operator="equal">
      <formula>"수정-신규"</formula>
    </cfRule>
    <cfRule type="cellIs" dxfId="1449" priority="1955" operator="equal">
      <formula>"수정"</formula>
    </cfRule>
    <cfRule type="cellIs" dxfId="1448" priority="1956" operator="equal">
      <formula>"신규"</formula>
    </cfRule>
  </conditionalFormatting>
  <conditionalFormatting sqref="AB43:AE43">
    <cfRule type="cellIs" dxfId="1447" priority="1953" operator="equal">
      <formula>"수정-신규"</formula>
    </cfRule>
  </conditionalFormatting>
  <conditionalFormatting sqref="AB48:AE48">
    <cfRule type="cellIs" dxfId="1446" priority="1946" operator="equal">
      <formula>"수정-신규"</formula>
    </cfRule>
    <cfRule type="cellIs" dxfId="1445" priority="1947" operator="equal">
      <formula>"수정"</formula>
    </cfRule>
    <cfRule type="cellIs" dxfId="1444" priority="1948" operator="equal">
      <formula>"신규"</formula>
    </cfRule>
  </conditionalFormatting>
  <conditionalFormatting sqref="AB48:AE48">
    <cfRule type="cellIs" dxfId="1443" priority="1945" operator="equal">
      <formula>"수정-신규"</formula>
    </cfRule>
  </conditionalFormatting>
  <conditionalFormatting sqref="AB49:AE49">
    <cfRule type="cellIs" dxfId="1442" priority="1950" operator="equal">
      <formula>"수정-신규"</formula>
    </cfRule>
    <cfRule type="cellIs" dxfId="1441" priority="1951" operator="equal">
      <formula>"수정"</formula>
    </cfRule>
    <cfRule type="cellIs" dxfId="1440" priority="1952" operator="equal">
      <formula>"신규"</formula>
    </cfRule>
  </conditionalFormatting>
  <conditionalFormatting sqref="AB49:AE49">
    <cfRule type="cellIs" dxfId="1439" priority="1949" operator="equal">
      <formula>"수정-신규"</formula>
    </cfRule>
  </conditionalFormatting>
  <conditionalFormatting sqref="AB51:AE51">
    <cfRule type="cellIs" dxfId="1438" priority="1942" operator="equal">
      <formula>"수정-신규"</formula>
    </cfRule>
    <cfRule type="cellIs" dxfId="1437" priority="1943" operator="equal">
      <formula>"수정"</formula>
    </cfRule>
    <cfRule type="cellIs" dxfId="1436" priority="1944" operator="equal">
      <formula>"신규"</formula>
    </cfRule>
  </conditionalFormatting>
  <conditionalFormatting sqref="AB51:AE51">
    <cfRule type="cellIs" dxfId="1435" priority="1941" operator="equal">
      <formula>"수정-신규"</formula>
    </cfRule>
  </conditionalFormatting>
  <conditionalFormatting sqref="AB54:AE54">
    <cfRule type="cellIs" dxfId="1434" priority="1938" operator="equal">
      <formula>"수정-신규"</formula>
    </cfRule>
    <cfRule type="cellIs" dxfId="1433" priority="1939" operator="equal">
      <formula>"수정"</formula>
    </cfRule>
    <cfRule type="cellIs" dxfId="1432" priority="1940" operator="equal">
      <formula>"신규"</formula>
    </cfRule>
  </conditionalFormatting>
  <conditionalFormatting sqref="AB54:AE54">
    <cfRule type="cellIs" dxfId="1431" priority="1937" operator="equal">
      <formula>"수정-신규"</formula>
    </cfRule>
  </conditionalFormatting>
  <conditionalFormatting sqref="AB47:AE47">
    <cfRule type="cellIs" dxfId="1430" priority="1934" operator="equal">
      <formula>"수정-신규"</formula>
    </cfRule>
    <cfRule type="cellIs" dxfId="1429" priority="1935" operator="equal">
      <formula>"수정"</formula>
    </cfRule>
    <cfRule type="cellIs" dxfId="1428" priority="1936" operator="equal">
      <formula>"신규"</formula>
    </cfRule>
  </conditionalFormatting>
  <conditionalFormatting sqref="AB47:AE47">
    <cfRule type="cellIs" dxfId="1427" priority="1933" operator="equal">
      <formula>"수정-신규"</formula>
    </cfRule>
  </conditionalFormatting>
  <conditionalFormatting sqref="AC45:AE45">
    <cfRule type="cellIs" dxfId="1426" priority="1929" operator="equal">
      <formula>"수정-신규"</formula>
    </cfRule>
  </conditionalFormatting>
  <conditionalFormatting sqref="AC45:AE45">
    <cfRule type="cellIs" dxfId="1425" priority="1930" operator="equal">
      <formula>"수정-신규"</formula>
    </cfRule>
    <cfRule type="cellIs" dxfId="1424" priority="1931" operator="equal">
      <formula>"수정"</formula>
    </cfRule>
    <cfRule type="cellIs" dxfId="1423" priority="1932" operator="equal">
      <formula>"신규"</formula>
    </cfRule>
  </conditionalFormatting>
  <conditionalFormatting sqref="AC45:AE45">
    <cfRule type="cellIs" dxfId="1422" priority="1925" operator="equal">
      <formula>"수정-신규"</formula>
    </cfRule>
  </conditionalFormatting>
  <conditionalFormatting sqref="AC45:AE45">
    <cfRule type="cellIs" dxfId="1421" priority="1926" operator="equal">
      <formula>"수정-신규"</formula>
    </cfRule>
    <cfRule type="cellIs" dxfId="1420" priority="1927" operator="equal">
      <formula>"수정"</formula>
    </cfRule>
    <cfRule type="cellIs" dxfId="1419" priority="1928" operator="equal">
      <formula>"신규"</formula>
    </cfRule>
  </conditionalFormatting>
  <conditionalFormatting sqref="AB44:AE44">
    <cfRule type="cellIs" dxfId="1418" priority="1921" operator="equal">
      <formula>"수정-신규"</formula>
    </cfRule>
  </conditionalFormatting>
  <conditionalFormatting sqref="AB44:AE44">
    <cfRule type="cellIs" dxfId="1417" priority="1922" operator="equal">
      <formula>"수정-신규"</formula>
    </cfRule>
    <cfRule type="cellIs" dxfId="1416" priority="1923" operator="equal">
      <formula>"수정"</formula>
    </cfRule>
    <cfRule type="cellIs" dxfId="1415" priority="1924" operator="equal">
      <formula>"신규"</formula>
    </cfRule>
  </conditionalFormatting>
  <conditionalFormatting sqref="AB44:AE44">
    <cfRule type="cellIs" dxfId="1414" priority="1917" operator="equal">
      <formula>"수정-신규"</formula>
    </cfRule>
  </conditionalFormatting>
  <conditionalFormatting sqref="AB44:AE44">
    <cfRule type="cellIs" dxfId="1413" priority="1918" operator="equal">
      <formula>"수정-신규"</formula>
    </cfRule>
    <cfRule type="cellIs" dxfId="1412" priority="1919" operator="equal">
      <formula>"수정"</formula>
    </cfRule>
    <cfRule type="cellIs" dxfId="1411" priority="1920" operator="equal">
      <formula>"신규"</formula>
    </cfRule>
  </conditionalFormatting>
  <conditionalFormatting sqref="AB52:AE52">
    <cfRule type="cellIs" dxfId="1410" priority="1913" operator="equal">
      <formula>"수정-신규"</formula>
    </cfRule>
  </conditionalFormatting>
  <conditionalFormatting sqref="AB52:AE52">
    <cfRule type="cellIs" dxfId="1409" priority="1914" operator="equal">
      <formula>"수정-신규"</formula>
    </cfRule>
    <cfRule type="cellIs" dxfId="1408" priority="1915" operator="equal">
      <formula>"수정"</formula>
    </cfRule>
    <cfRule type="cellIs" dxfId="1407" priority="1916" operator="equal">
      <formula>"신규"</formula>
    </cfRule>
  </conditionalFormatting>
  <conditionalFormatting sqref="AB52:AE52">
    <cfRule type="cellIs" dxfId="1406" priority="1909" operator="equal">
      <formula>"수정-신규"</formula>
    </cfRule>
  </conditionalFormatting>
  <conditionalFormatting sqref="AB52:AE52">
    <cfRule type="cellIs" dxfId="1405" priority="1910" operator="equal">
      <formula>"수정-신규"</formula>
    </cfRule>
    <cfRule type="cellIs" dxfId="1404" priority="1911" operator="equal">
      <formula>"수정"</formula>
    </cfRule>
    <cfRule type="cellIs" dxfId="1403" priority="1912" operator="equal">
      <formula>"신규"</formula>
    </cfRule>
  </conditionalFormatting>
  <conditionalFormatting sqref="AB94:AE94">
    <cfRule type="cellIs" dxfId="1402" priority="1901" operator="equal">
      <formula>"수정-신규"</formula>
    </cfRule>
  </conditionalFormatting>
  <conditionalFormatting sqref="AB38:AE38">
    <cfRule type="cellIs" dxfId="1401" priority="1906" operator="equal">
      <formula>"수정-신규"</formula>
    </cfRule>
    <cfRule type="cellIs" dxfId="1400" priority="1907" operator="equal">
      <formula>"수정"</formula>
    </cfRule>
    <cfRule type="cellIs" dxfId="1399" priority="1908" operator="equal">
      <formula>"신규"</formula>
    </cfRule>
  </conditionalFormatting>
  <conditionalFormatting sqref="AB38:AE38">
    <cfRule type="cellIs" dxfId="1398" priority="1905" operator="equal">
      <formula>"수정-신규"</formula>
    </cfRule>
  </conditionalFormatting>
  <conditionalFormatting sqref="AB94:AE94">
    <cfRule type="cellIs" dxfId="1397" priority="1902" operator="equal">
      <formula>"수정-신규"</formula>
    </cfRule>
    <cfRule type="cellIs" dxfId="1396" priority="1903" operator="equal">
      <formula>"수정"</formula>
    </cfRule>
    <cfRule type="cellIs" dxfId="1395" priority="1904" operator="equal">
      <formula>"신규"</formula>
    </cfRule>
  </conditionalFormatting>
  <conditionalFormatting sqref="AB55:AE55">
    <cfRule type="cellIs" dxfId="1394" priority="1897" operator="equal">
      <formula>"수정-신규"</formula>
    </cfRule>
  </conditionalFormatting>
  <conditionalFormatting sqref="AB55:AE55">
    <cfRule type="cellIs" dxfId="1393" priority="1898" operator="equal">
      <formula>"수정-신규"</formula>
    </cfRule>
    <cfRule type="cellIs" dxfId="1392" priority="1899" operator="equal">
      <formula>"수정"</formula>
    </cfRule>
    <cfRule type="cellIs" dxfId="1391" priority="1900" operator="equal">
      <formula>"신규"</formula>
    </cfRule>
  </conditionalFormatting>
  <conditionalFormatting sqref="AC46:AE46">
    <cfRule type="cellIs" dxfId="1390" priority="1893" operator="equal">
      <formula>"수정-신규"</formula>
    </cfRule>
  </conditionalFormatting>
  <conditionalFormatting sqref="AC46:AE46">
    <cfRule type="cellIs" dxfId="1389" priority="1894" operator="equal">
      <formula>"수정-신규"</formula>
    </cfRule>
    <cfRule type="cellIs" dxfId="1388" priority="1895" operator="equal">
      <formula>"수정"</formula>
    </cfRule>
    <cfRule type="cellIs" dxfId="1387" priority="1896" operator="equal">
      <formula>"신규"</formula>
    </cfRule>
  </conditionalFormatting>
  <conditionalFormatting sqref="AC46:AE46">
    <cfRule type="cellIs" dxfId="1386" priority="1889" operator="equal">
      <formula>"수정-신규"</formula>
    </cfRule>
  </conditionalFormatting>
  <conditionalFormatting sqref="AC46:AE46">
    <cfRule type="cellIs" dxfId="1385" priority="1890" operator="equal">
      <formula>"수정-신규"</formula>
    </cfRule>
    <cfRule type="cellIs" dxfId="1384" priority="1891" operator="equal">
      <formula>"수정"</formula>
    </cfRule>
    <cfRule type="cellIs" dxfId="1383" priority="1892" operator="equal">
      <formula>"신규"</formula>
    </cfRule>
  </conditionalFormatting>
  <conditionalFormatting sqref="AB50:AE50">
    <cfRule type="cellIs" dxfId="1382" priority="1886" operator="equal">
      <formula>"수정-신규"</formula>
    </cfRule>
    <cfRule type="cellIs" dxfId="1381" priority="1887" operator="equal">
      <formula>"수정"</formula>
    </cfRule>
    <cfRule type="cellIs" dxfId="1380" priority="1888" operator="equal">
      <formula>"신규"</formula>
    </cfRule>
  </conditionalFormatting>
  <conditionalFormatting sqref="AB50:AE50">
    <cfRule type="cellIs" dxfId="1379" priority="1885" operator="equal">
      <formula>"수정-신규"</formula>
    </cfRule>
  </conditionalFormatting>
  <conditionalFormatting sqref="AB53:AE53">
    <cfRule type="cellIs" dxfId="1378" priority="1882" operator="equal">
      <formula>"수정-신규"</formula>
    </cfRule>
    <cfRule type="cellIs" dxfId="1377" priority="1883" operator="equal">
      <formula>"수정"</formula>
    </cfRule>
    <cfRule type="cellIs" dxfId="1376" priority="1884" operator="equal">
      <formula>"신규"</formula>
    </cfRule>
  </conditionalFormatting>
  <conditionalFormatting sqref="AB53:AE53">
    <cfRule type="cellIs" dxfId="1375" priority="1881" operator="equal">
      <formula>"수정-신규"</formula>
    </cfRule>
  </conditionalFormatting>
  <conditionalFormatting sqref="AB56:AE56">
    <cfRule type="cellIs" dxfId="1374" priority="1878" operator="equal">
      <formula>"수정-신규"</formula>
    </cfRule>
    <cfRule type="cellIs" dxfId="1373" priority="1879" operator="equal">
      <formula>"수정"</formula>
    </cfRule>
    <cfRule type="cellIs" dxfId="1372" priority="1880" operator="equal">
      <formula>"신규"</formula>
    </cfRule>
  </conditionalFormatting>
  <conditionalFormatting sqref="AB56:AE56">
    <cfRule type="cellIs" dxfId="1371" priority="1877" operator="equal">
      <formula>"수정-신규"</formula>
    </cfRule>
  </conditionalFormatting>
  <conditionalFormatting sqref="AB79:AE79">
    <cfRule type="cellIs" dxfId="1370" priority="1870" operator="equal">
      <formula>"수정-신규"</formula>
    </cfRule>
    <cfRule type="cellIs" dxfId="1369" priority="1871" operator="equal">
      <formula>"수정"</formula>
    </cfRule>
    <cfRule type="cellIs" dxfId="1368" priority="1872" operator="equal">
      <formula>"신규"</formula>
    </cfRule>
  </conditionalFormatting>
  <conditionalFormatting sqref="AB79:AE79">
    <cfRule type="cellIs" dxfId="1367" priority="1869" operator="equal">
      <formula>"수정-신규"</formula>
    </cfRule>
  </conditionalFormatting>
  <conditionalFormatting sqref="AB80:AE80">
    <cfRule type="cellIs" dxfId="1366" priority="1874" operator="equal">
      <formula>"수정-신규"</formula>
    </cfRule>
    <cfRule type="cellIs" dxfId="1365" priority="1875" operator="equal">
      <formula>"수정"</formula>
    </cfRule>
    <cfRule type="cellIs" dxfId="1364" priority="1876" operator="equal">
      <formula>"신규"</formula>
    </cfRule>
  </conditionalFormatting>
  <conditionalFormatting sqref="AB80:AE80">
    <cfRule type="cellIs" dxfId="1363" priority="1873" operator="equal">
      <formula>"수정-신규"</formula>
    </cfRule>
  </conditionalFormatting>
  <conditionalFormatting sqref="AB85:AE86">
    <cfRule type="cellIs" dxfId="1362" priority="1866" operator="equal">
      <formula>"수정-신규"</formula>
    </cfRule>
    <cfRule type="cellIs" dxfId="1361" priority="1867" operator="equal">
      <formula>"수정"</formula>
    </cfRule>
    <cfRule type="cellIs" dxfId="1360" priority="1868" operator="equal">
      <formula>"신규"</formula>
    </cfRule>
  </conditionalFormatting>
  <conditionalFormatting sqref="AB85:AE86">
    <cfRule type="cellIs" dxfId="1359" priority="1865" operator="equal">
      <formula>"수정-신규"</formula>
    </cfRule>
  </conditionalFormatting>
  <conditionalFormatting sqref="AB90:AE90">
    <cfRule type="cellIs" dxfId="1358" priority="1862" operator="equal">
      <formula>"수정-신규"</formula>
    </cfRule>
    <cfRule type="cellIs" dxfId="1357" priority="1863" operator="equal">
      <formula>"수정"</formula>
    </cfRule>
    <cfRule type="cellIs" dxfId="1356" priority="1864" operator="equal">
      <formula>"신규"</formula>
    </cfRule>
  </conditionalFormatting>
  <conditionalFormatting sqref="AB90:AE90">
    <cfRule type="cellIs" dxfId="1355" priority="1861" operator="equal">
      <formula>"수정-신규"</formula>
    </cfRule>
  </conditionalFormatting>
  <conditionalFormatting sqref="AB77:AE77">
    <cfRule type="cellIs" dxfId="1354" priority="1858" operator="equal">
      <formula>"수정-신규"</formula>
    </cfRule>
    <cfRule type="cellIs" dxfId="1353" priority="1859" operator="equal">
      <formula>"수정"</formula>
    </cfRule>
    <cfRule type="cellIs" dxfId="1352" priority="1860" operator="equal">
      <formula>"신규"</formula>
    </cfRule>
  </conditionalFormatting>
  <conditionalFormatting sqref="AB77:AE77">
    <cfRule type="cellIs" dxfId="1351" priority="1857" operator="equal">
      <formula>"수정-신규"</formula>
    </cfRule>
  </conditionalFormatting>
  <conditionalFormatting sqref="AC64:AE64">
    <cfRule type="cellIs" dxfId="1350" priority="1853" operator="equal">
      <formula>"수정-신규"</formula>
    </cfRule>
  </conditionalFormatting>
  <conditionalFormatting sqref="AC64:AE64">
    <cfRule type="cellIs" dxfId="1349" priority="1854" operator="equal">
      <formula>"수정-신규"</formula>
    </cfRule>
    <cfRule type="cellIs" dxfId="1348" priority="1855" operator="equal">
      <formula>"수정"</formula>
    </cfRule>
    <cfRule type="cellIs" dxfId="1347" priority="1856" operator="equal">
      <formula>"신규"</formula>
    </cfRule>
  </conditionalFormatting>
  <conditionalFormatting sqref="AC64:AE64">
    <cfRule type="cellIs" dxfId="1346" priority="1849" operator="equal">
      <formula>"수정-신규"</formula>
    </cfRule>
  </conditionalFormatting>
  <conditionalFormatting sqref="AC64:AE64">
    <cfRule type="cellIs" dxfId="1345" priority="1850" operator="equal">
      <formula>"수정-신규"</formula>
    </cfRule>
    <cfRule type="cellIs" dxfId="1344" priority="1851" operator="equal">
      <formula>"수정"</formula>
    </cfRule>
    <cfRule type="cellIs" dxfId="1343" priority="1852" operator="equal">
      <formula>"신규"</formula>
    </cfRule>
  </conditionalFormatting>
  <conditionalFormatting sqref="AB59:AE59">
    <cfRule type="cellIs" dxfId="1342" priority="1845" operator="equal">
      <formula>"수정-신규"</formula>
    </cfRule>
  </conditionalFormatting>
  <conditionalFormatting sqref="AB59:AE59">
    <cfRule type="cellIs" dxfId="1341" priority="1846" operator="equal">
      <formula>"수정-신규"</formula>
    </cfRule>
    <cfRule type="cellIs" dxfId="1340" priority="1847" operator="equal">
      <formula>"수정"</formula>
    </cfRule>
    <cfRule type="cellIs" dxfId="1339" priority="1848" operator="equal">
      <formula>"신규"</formula>
    </cfRule>
  </conditionalFormatting>
  <conditionalFormatting sqref="AB59:AE59">
    <cfRule type="cellIs" dxfId="1338" priority="1841" operator="equal">
      <formula>"수정-신규"</formula>
    </cfRule>
  </conditionalFormatting>
  <conditionalFormatting sqref="AB59:AE59">
    <cfRule type="cellIs" dxfId="1337" priority="1842" operator="equal">
      <formula>"수정-신규"</formula>
    </cfRule>
    <cfRule type="cellIs" dxfId="1336" priority="1843" operator="equal">
      <formula>"수정"</formula>
    </cfRule>
    <cfRule type="cellIs" dxfId="1335" priority="1844" operator="equal">
      <formula>"신규"</formula>
    </cfRule>
  </conditionalFormatting>
  <conditionalFormatting sqref="AB87:AE87">
    <cfRule type="cellIs" dxfId="1334" priority="1837" operator="equal">
      <formula>"수정-신규"</formula>
    </cfRule>
  </conditionalFormatting>
  <conditionalFormatting sqref="AB87:AE87">
    <cfRule type="cellIs" dxfId="1333" priority="1838" operator="equal">
      <formula>"수정-신규"</formula>
    </cfRule>
    <cfRule type="cellIs" dxfId="1332" priority="1839" operator="equal">
      <formula>"수정"</formula>
    </cfRule>
    <cfRule type="cellIs" dxfId="1331" priority="1840" operator="equal">
      <formula>"신규"</formula>
    </cfRule>
  </conditionalFormatting>
  <conditionalFormatting sqref="AB87:AE87">
    <cfRule type="cellIs" dxfId="1330" priority="1833" operator="equal">
      <formula>"수정-신규"</formula>
    </cfRule>
  </conditionalFormatting>
  <conditionalFormatting sqref="AB87:AE87">
    <cfRule type="cellIs" dxfId="1329" priority="1834" operator="equal">
      <formula>"수정-신규"</formula>
    </cfRule>
    <cfRule type="cellIs" dxfId="1328" priority="1835" operator="equal">
      <formula>"수정"</formula>
    </cfRule>
    <cfRule type="cellIs" dxfId="1327" priority="1836" operator="equal">
      <formula>"신규"</formula>
    </cfRule>
  </conditionalFormatting>
  <conditionalFormatting sqref="AC65:AE65">
    <cfRule type="cellIs" dxfId="1326" priority="1829" operator="equal">
      <formula>"수정-신규"</formula>
    </cfRule>
  </conditionalFormatting>
  <conditionalFormatting sqref="AC65:AE65">
    <cfRule type="cellIs" dxfId="1325" priority="1830" operator="equal">
      <formula>"수정-신규"</formula>
    </cfRule>
    <cfRule type="cellIs" dxfId="1324" priority="1831" operator="equal">
      <formula>"수정"</formula>
    </cfRule>
    <cfRule type="cellIs" dxfId="1323" priority="1832" operator="equal">
      <formula>"신규"</formula>
    </cfRule>
  </conditionalFormatting>
  <conditionalFormatting sqref="AC65:AE65">
    <cfRule type="cellIs" dxfId="1322" priority="1825" operator="equal">
      <formula>"수정-신규"</formula>
    </cfRule>
  </conditionalFormatting>
  <conditionalFormatting sqref="AC65:AE65">
    <cfRule type="cellIs" dxfId="1321" priority="1826" operator="equal">
      <formula>"수정-신규"</formula>
    </cfRule>
    <cfRule type="cellIs" dxfId="1320" priority="1827" operator="equal">
      <formula>"수정"</formula>
    </cfRule>
    <cfRule type="cellIs" dxfId="1319" priority="1828" operator="equal">
      <formula>"신규"</formula>
    </cfRule>
  </conditionalFormatting>
  <conditionalFormatting sqref="AB81:AE81">
    <cfRule type="cellIs" dxfId="1318" priority="1822" operator="equal">
      <formula>"수정-신규"</formula>
    </cfRule>
    <cfRule type="cellIs" dxfId="1317" priority="1823" operator="equal">
      <formula>"수정"</formula>
    </cfRule>
    <cfRule type="cellIs" dxfId="1316" priority="1824" operator="equal">
      <formula>"신규"</formula>
    </cfRule>
  </conditionalFormatting>
  <conditionalFormatting sqref="AB81:AE81">
    <cfRule type="cellIs" dxfId="1315" priority="1821" operator="equal">
      <formula>"수정-신규"</formula>
    </cfRule>
  </conditionalFormatting>
  <conditionalFormatting sqref="AB88:AE88">
    <cfRule type="cellIs" dxfId="1314" priority="1818" operator="equal">
      <formula>"수정-신규"</formula>
    </cfRule>
    <cfRule type="cellIs" dxfId="1313" priority="1819" operator="equal">
      <formula>"수정"</formula>
    </cfRule>
    <cfRule type="cellIs" dxfId="1312" priority="1820" operator="equal">
      <formula>"신규"</formula>
    </cfRule>
  </conditionalFormatting>
  <conditionalFormatting sqref="AB88:AE88">
    <cfRule type="cellIs" dxfId="1311" priority="1817" operator="equal">
      <formula>"수정-신규"</formula>
    </cfRule>
  </conditionalFormatting>
  <conditionalFormatting sqref="AC2">
    <cfRule type="cellIs" dxfId="1310" priority="1814" operator="equal">
      <formula>"수정-신규"</formula>
    </cfRule>
    <cfRule type="cellIs" dxfId="1309" priority="1815" operator="equal">
      <formula>"수정"</formula>
    </cfRule>
    <cfRule type="cellIs" dxfId="1308" priority="1816" operator="equal">
      <formula>"신규"</formula>
    </cfRule>
  </conditionalFormatting>
  <conditionalFormatting sqref="AC2">
    <cfRule type="cellIs" dxfId="1307" priority="1813" operator="equal">
      <formula>"수정-신규"</formula>
    </cfRule>
  </conditionalFormatting>
  <conditionalFormatting sqref="V29">
    <cfRule type="cellIs" dxfId="1306" priority="1738" operator="equal">
      <formula>"수정-신규"</formula>
    </cfRule>
    <cfRule type="cellIs" dxfId="1305" priority="1739" operator="equal">
      <formula>"수정"</formula>
    </cfRule>
    <cfRule type="cellIs" dxfId="1304" priority="1740" operator="equal">
      <formula>"신규"</formula>
    </cfRule>
  </conditionalFormatting>
  <conditionalFormatting sqref="V29">
    <cfRule type="cellIs" dxfId="1303" priority="1737" operator="equal">
      <formula>"수정-신규"</formula>
    </cfRule>
  </conditionalFormatting>
  <conditionalFormatting sqref="AC68">
    <cfRule type="cellIs" dxfId="1302" priority="1798" operator="equal">
      <formula>"수정-신규"</formula>
    </cfRule>
    <cfRule type="cellIs" dxfId="1301" priority="1799" operator="equal">
      <formula>"수정"</formula>
    </cfRule>
    <cfRule type="cellIs" dxfId="1300" priority="1800" operator="equal">
      <formula>"신규"</formula>
    </cfRule>
  </conditionalFormatting>
  <conditionalFormatting sqref="AC68">
    <cfRule type="cellIs" dxfId="1299" priority="1794" operator="equal">
      <formula>"수정-신규"</formula>
    </cfRule>
    <cfRule type="cellIs" dxfId="1298" priority="1795" operator="equal">
      <formula>"수정"</formula>
    </cfRule>
    <cfRule type="cellIs" dxfId="1297" priority="1796" operator="equal">
      <formula>"신규"</formula>
    </cfRule>
  </conditionalFormatting>
  <conditionalFormatting sqref="AC68">
    <cfRule type="cellIs" dxfId="1296" priority="1797" operator="equal">
      <formula>"수정-신규"</formula>
    </cfRule>
  </conditionalFormatting>
  <conditionalFormatting sqref="AC68">
    <cfRule type="cellIs" dxfId="1295" priority="1793" operator="equal">
      <formula>"수정-신규"</formula>
    </cfRule>
  </conditionalFormatting>
  <conditionalFormatting sqref="AE82">
    <cfRule type="cellIs" dxfId="1294" priority="1785" operator="equal">
      <formula>"수정-신규"</formula>
    </cfRule>
  </conditionalFormatting>
  <conditionalFormatting sqref="AE82">
    <cfRule type="cellIs" dxfId="1293" priority="1786" operator="equal">
      <formula>"수정-신규"</formula>
    </cfRule>
    <cfRule type="cellIs" dxfId="1292" priority="1787" operator="equal">
      <formula>"수정"</formula>
    </cfRule>
    <cfRule type="cellIs" dxfId="1291" priority="1788" operator="equal">
      <formula>"신규"</formula>
    </cfRule>
  </conditionalFormatting>
  <conditionalFormatting sqref="AD82">
    <cfRule type="cellIs" dxfId="1290" priority="1781" operator="equal">
      <formula>"수정-신규"</formula>
    </cfRule>
  </conditionalFormatting>
  <conditionalFormatting sqref="AD82">
    <cfRule type="cellIs" dxfId="1289" priority="1782" operator="equal">
      <formula>"수정-신규"</formula>
    </cfRule>
    <cfRule type="cellIs" dxfId="1288" priority="1783" operator="equal">
      <formula>"수정"</formula>
    </cfRule>
    <cfRule type="cellIs" dxfId="1287" priority="1784" operator="equal">
      <formula>"신규"</formula>
    </cfRule>
  </conditionalFormatting>
  <conditionalFormatting sqref="V24">
    <cfRule type="cellIs" dxfId="1286" priority="1718" operator="equal">
      <formula>"수정-신규"</formula>
    </cfRule>
    <cfRule type="cellIs" dxfId="1285" priority="1719" operator="equal">
      <formula>"수정"</formula>
    </cfRule>
    <cfRule type="cellIs" dxfId="1284" priority="1720" operator="equal">
      <formula>"신규"</formula>
    </cfRule>
  </conditionalFormatting>
  <conditionalFormatting sqref="V24">
    <cfRule type="cellIs" dxfId="1283" priority="1717" operator="equal">
      <formula>"수정-신규"</formula>
    </cfRule>
  </conditionalFormatting>
  <conditionalFormatting sqref="AB82:AE82">
    <cfRule type="cellIs" dxfId="1282" priority="1778" operator="equal">
      <formula>"수정-신규"</formula>
    </cfRule>
    <cfRule type="cellIs" dxfId="1281" priority="1779" operator="equal">
      <formula>"수정"</formula>
    </cfRule>
    <cfRule type="cellIs" dxfId="1280" priority="1780" operator="equal">
      <formula>"신규"</formula>
    </cfRule>
  </conditionalFormatting>
  <conditionalFormatting sqref="AB82:AE82">
    <cfRule type="cellIs" dxfId="1279" priority="1777" operator="equal">
      <formula>"수정-신규"</formula>
    </cfRule>
  </conditionalFormatting>
  <conditionalFormatting sqref="V20">
    <cfRule type="cellIs" dxfId="1278" priority="1702" operator="equal">
      <formula>"수정-신규"</formula>
    </cfRule>
    <cfRule type="cellIs" dxfId="1277" priority="1703" operator="equal">
      <formula>"수정"</formula>
    </cfRule>
    <cfRule type="cellIs" dxfId="1276" priority="1704" operator="equal">
      <formula>"신규"</formula>
    </cfRule>
  </conditionalFormatting>
  <conditionalFormatting sqref="V20">
    <cfRule type="cellIs" dxfId="1275" priority="1701" operator="equal">
      <formula>"수정-신규"</formula>
    </cfRule>
  </conditionalFormatting>
  <conditionalFormatting sqref="AE89">
    <cfRule type="cellIs" dxfId="1274" priority="1770" operator="equal">
      <formula>"수정-신규"</formula>
    </cfRule>
    <cfRule type="cellIs" dxfId="1273" priority="1771" operator="equal">
      <formula>"수정"</formula>
    </cfRule>
    <cfRule type="cellIs" dxfId="1272" priority="1772" operator="equal">
      <formula>"신규"</formula>
    </cfRule>
  </conditionalFormatting>
  <conditionalFormatting sqref="AD89">
    <cfRule type="cellIs" dxfId="1271" priority="1766" operator="equal">
      <formula>"수정-신규"</formula>
    </cfRule>
    <cfRule type="cellIs" dxfId="1270" priority="1767" operator="equal">
      <formula>"수정"</formula>
    </cfRule>
    <cfRule type="cellIs" dxfId="1269" priority="1768" operator="equal">
      <formula>"신규"</formula>
    </cfRule>
  </conditionalFormatting>
  <conditionalFormatting sqref="AE89">
    <cfRule type="cellIs" dxfId="1268" priority="1769" operator="equal">
      <formula>"수정-신규"</formula>
    </cfRule>
  </conditionalFormatting>
  <conditionalFormatting sqref="AD89">
    <cfRule type="cellIs" dxfId="1267" priority="1765" operator="equal">
      <formula>"수정-신규"</formula>
    </cfRule>
  </conditionalFormatting>
  <conditionalFormatting sqref="AB89:AE89">
    <cfRule type="cellIs" dxfId="1266" priority="1762" operator="equal">
      <formula>"수정-신규"</formula>
    </cfRule>
    <cfRule type="cellIs" dxfId="1265" priority="1763" operator="equal">
      <formula>"수정"</formula>
    </cfRule>
    <cfRule type="cellIs" dxfId="1264" priority="1764" operator="equal">
      <formula>"신규"</formula>
    </cfRule>
  </conditionalFormatting>
  <conditionalFormatting sqref="AB89:AE89">
    <cfRule type="cellIs" dxfId="1263" priority="1761" operator="equal">
      <formula>"수정-신규"</formula>
    </cfRule>
  </conditionalFormatting>
  <conditionalFormatting sqref="V2:V3 V7:V10 V42">
    <cfRule type="cellIs" dxfId="1262" priority="1758" operator="equal">
      <formula>"수정-신규"</formula>
    </cfRule>
    <cfRule type="cellIs" dxfId="1261" priority="1759" operator="equal">
      <formula>"수정"</formula>
    </cfRule>
    <cfRule type="cellIs" dxfId="1260" priority="1760" operator="equal">
      <formula>"신규"</formula>
    </cfRule>
  </conditionalFormatting>
  <conditionalFormatting sqref="V2:V3 V7:V10 V42">
    <cfRule type="cellIs" dxfId="1259" priority="1757" operator="equal">
      <formula>"수정-신규"</formula>
    </cfRule>
  </conditionalFormatting>
  <conditionalFormatting sqref="V4">
    <cfRule type="cellIs" dxfId="1258" priority="1753" operator="equal">
      <formula>"수정-신규"</formula>
    </cfRule>
  </conditionalFormatting>
  <conditionalFormatting sqref="V15">
    <cfRule type="cellIs" dxfId="1257" priority="1745" operator="equal">
      <formula>"수정-신규"</formula>
    </cfRule>
  </conditionalFormatting>
  <conditionalFormatting sqref="V14">
    <cfRule type="cellIs" dxfId="1256" priority="1742" operator="equal">
      <formula>"수정-신규"</formula>
    </cfRule>
    <cfRule type="cellIs" dxfId="1255" priority="1743" operator="equal">
      <formula>"수정"</formula>
    </cfRule>
    <cfRule type="cellIs" dxfId="1254" priority="1744" operator="equal">
      <formula>"신규"</formula>
    </cfRule>
  </conditionalFormatting>
  <conditionalFormatting sqref="V4">
    <cfRule type="cellIs" dxfId="1253" priority="1754" operator="equal">
      <formula>"수정-신규"</formula>
    </cfRule>
    <cfRule type="cellIs" dxfId="1252" priority="1755" operator="equal">
      <formula>"수정"</formula>
    </cfRule>
    <cfRule type="cellIs" dxfId="1251" priority="1756" operator="equal">
      <formula>"신규"</formula>
    </cfRule>
  </conditionalFormatting>
  <conditionalFormatting sqref="V16">
    <cfRule type="cellIs" dxfId="1250" priority="1750" operator="equal">
      <formula>"수정-신규"</formula>
    </cfRule>
    <cfRule type="cellIs" dxfId="1249" priority="1751" operator="equal">
      <formula>"수정"</formula>
    </cfRule>
    <cfRule type="cellIs" dxfId="1248" priority="1752" operator="equal">
      <formula>"신규"</formula>
    </cfRule>
  </conditionalFormatting>
  <conditionalFormatting sqref="V16">
    <cfRule type="cellIs" dxfId="1247" priority="1749" operator="equal">
      <formula>"수정-신규"</formula>
    </cfRule>
  </conditionalFormatting>
  <conditionalFormatting sqref="V15">
    <cfRule type="cellIs" dxfId="1246" priority="1746" operator="equal">
      <formula>"수정-신규"</formula>
    </cfRule>
    <cfRule type="cellIs" dxfId="1245" priority="1747" operator="equal">
      <formula>"수정"</formula>
    </cfRule>
    <cfRule type="cellIs" dxfId="1244" priority="1748" operator="equal">
      <formula>"신규"</formula>
    </cfRule>
  </conditionalFormatting>
  <conditionalFormatting sqref="V14">
    <cfRule type="cellIs" dxfId="1243" priority="1741" operator="equal">
      <formula>"수정-신규"</formula>
    </cfRule>
  </conditionalFormatting>
  <conditionalFormatting sqref="V45">
    <cfRule type="cellIs" dxfId="1242" priority="1593" operator="equal">
      <formula>"수정-신규"</formula>
    </cfRule>
  </conditionalFormatting>
  <conditionalFormatting sqref="V38">
    <cfRule type="cellIs" dxfId="1241" priority="1589" operator="equal">
      <formula>"수정-신규"</formula>
    </cfRule>
  </conditionalFormatting>
  <conditionalFormatting sqref="V32">
    <cfRule type="cellIs" dxfId="1240" priority="1633" operator="equal">
      <formula>"수정-신규"</formula>
    </cfRule>
  </conditionalFormatting>
  <conditionalFormatting sqref="V25">
    <cfRule type="cellIs" dxfId="1239" priority="1722" operator="equal">
      <formula>"수정-신규"</formula>
    </cfRule>
    <cfRule type="cellIs" dxfId="1238" priority="1723" operator="equal">
      <formula>"수정"</formula>
    </cfRule>
    <cfRule type="cellIs" dxfId="1237" priority="1724" operator="equal">
      <formula>"신규"</formula>
    </cfRule>
  </conditionalFormatting>
  <conditionalFormatting sqref="V25">
    <cfRule type="cellIs" dxfId="1236" priority="1721" operator="equal">
      <formula>"수정-신규"</formula>
    </cfRule>
  </conditionalFormatting>
  <conditionalFormatting sqref="V28">
    <cfRule type="cellIs" dxfId="1235" priority="1734" operator="equal">
      <formula>"수정-신규"</formula>
    </cfRule>
    <cfRule type="cellIs" dxfId="1234" priority="1735" operator="equal">
      <formula>"수정"</formula>
    </cfRule>
    <cfRule type="cellIs" dxfId="1233" priority="1736" operator="equal">
      <formula>"신규"</formula>
    </cfRule>
  </conditionalFormatting>
  <conditionalFormatting sqref="V28">
    <cfRule type="cellIs" dxfId="1232" priority="1733" operator="equal">
      <formula>"수정-신규"</formula>
    </cfRule>
  </conditionalFormatting>
  <conditionalFormatting sqref="V27">
    <cfRule type="cellIs" dxfId="1231" priority="1730" operator="equal">
      <formula>"수정-신규"</formula>
    </cfRule>
    <cfRule type="cellIs" dxfId="1230" priority="1731" operator="equal">
      <formula>"수정"</formula>
    </cfRule>
    <cfRule type="cellIs" dxfId="1229" priority="1732" operator="equal">
      <formula>"신규"</formula>
    </cfRule>
  </conditionalFormatting>
  <conditionalFormatting sqref="V27">
    <cfRule type="cellIs" dxfId="1228" priority="1729" operator="equal">
      <formula>"수정-신규"</formula>
    </cfRule>
  </conditionalFormatting>
  <conditionalFormatting sqref="V26">
    <cfRule type="cellIs" dxfId="1227" priority="1726" operator="equal">
      <formula>"수정-신규"</formula>
    </cfRule>
    <cfRule type="cellIs" dxfId="1226" priority="1727" operator="equal">
      <formula>"수정"</formula>
    </cfRule>
    <cfRule type="cellIs" dxfId="1225" priority="1728" operator="equal">
      <formula>"신규"</formula>
    </cfRule>
  </conditionalFormatting>
  <conditionalFormatting sqref="V26">
    <cfRule type="cellIs" dxfId="1224" priority="1725" operator="equal">
      <formula>"수정-신규"</formula>
    </cfRule>
  </conditionalFormatting>
  <conditionalFormatting sqref="V17">
    <cfRule type="cellIs" dxfId="1223" priority="1690" operator="equal">
      <formula>"수정-신규"</formula>
    </cfRule>
    <cfRule type="cellIs" dxfId="1222" priority="1691" operator="equal">
      <formula>"수정"</formula>
    </cfRule>
    <cfRule type="cellIs" dxfId="1221" priority="1692" operator="equal">
      <formula>"신규"</formula>
    </cfRule>
  </conditionalFormatting>
  <conditionalFormatting sqref="V17">
    <cfRule type="cellIs" dxfId="1220" priority="1689" operator="equal">
      <formula>"수정-신규"</formula>
    </cfRule>
  </conditionalFormatting>
  <conditionalFormatting sqref="V41">
    <cfRule type="cellIs" dxfId="1219" priority="1646" operator="equal">
      <formula>"수정-신규"</formula>
    </cfRule>
    <cfRule type="cellIs" dxfId="1218" priority="1647" operator="equal">
      <formula>"수정"</formula>
    </cfRule>
    <cfRule type="cellIs" dxfId="1217" priority="1648" operator="equal">
      <formula>"신규"</formula>
    </cfRule>
  </conditionalFormatting>
  <conditionalFormatting sqref="V41">
    <cfRule type="cellIs" dxfId="1216" priority="1645" operator="equal">
      <formula>"수정-신규"</formula>
    </cfRule>
  </conditionalFormatting>
  <conditionalFormatting sqref="V45">
    <cfRule type="cellIs" dxfId="1215" priority="1594" operator="equal">
      <formula>"수정-신규"</formula>
    </cfRule>
    <cfRule type="cellIs" dxfId="1214" priority="1595" operator="equal">
      <formula>"수정"</formula>
    </cfRule>
    <cfRule type="cellIs" dxfId="1213" priority="1596" operator="equal">
      <formula>"신규"</formula>
    </cfRule>
  </conditionalFormatting>
  <conditionalFormatting sqref="V38">
    <cfRule type="cellIs" dxfId="1212" priority="1590" operator="equal">
      <formula>"수정-신규"</formula>
    </cfRule>
    <cfRule type="cellIs" dxfId="1211" priority="1591" operator="equal">
      <formula>"수정"</formula>
    </cfRule>
    <cfRule type="cellIs" dxfId="1210" priority="1592" operator="equal">
      <formula>"신규"</formula>
    </cfRule>
  </conditionalFormatting>
  <conditionalFormatting sqref="V32">
    <cfRule type="cellIs" dxfId="1209" priority="1634" operator="equal">
      <formula>"수정-신규"</formula>
    </cfRule>
    <cfRule type="cellIs" dxfId="1208" priority="1635" operator="equal">
      <formula>"수정"</formula>
    </cfRule>
    <cfRule type="cellIs" dxfId="1207" priority="1636" operator="equal">
      <formula>"신규"</formula>
    </cfRule>
  </conditionalFormatting>
  <conditionalFormatting sqref="V5:V6">
    <cfRule type="cellIs" dxfId="1206" priority="1686" operator="equal">
      <formula>"수정-신규"</formula>
    </cfRule>
    <cfRule type="cellIs" dxfId="1205" priority="1687" operator="equal">
      <formula>"수정"</formula>
    </cfRule>
    <cfRule type="cellIs" dxfId="1204" priority="1688" operator="equal">
      <formula>"신규"</formula>
    </cfRule>
  </conditionalFormatting>
  <conditionalFormatting sqref="V5:V6">
    <cfRule type="cellIs" dxfId="1203" priority="1685" operator="equal">
      <formula>"수정-신규"</formula>
    </cfRule>
  </conditionalFormatting>
  <conditionalFormatting sqref="V19">
    <cfRule type="cellIs" dxfId="1202" priority="1698" operator="equal">
      <formula>"수정-신규"</formula>
    </cfRule>
    <cfRule type="cellIs" dxfId="1201" priority="1699" operator="equal">
      <formula>"수정"</formula>
    </cfRule>
    <cfRule type="cellIs" dxfId="1200" priority="1700" operator="equal">
      <formula>"신규"</formula>
    </cfRule>
  </conditionalFormatting>
  <conditionalFormatting sqref="V19">
    <cfRule type="cellIs" dxfId="1199" priority="1697" operator="equal">
      <formula>"수정-신규"</formula>
    </cfRule>
  </conditionalFormatting>
  <conditionalFormatting sqref="V18">
    <cfRule type="cellIs" dxfId="1198" priority="1694" operator="equal">
      <formula>"수정-신규"</formula>
    </cfRule>
    <cfRule type="cellIs" dxfId="1197" priority="1695" operator="equal">
      <formula>"수정"</formula>
    </cfRule>
    <cfRule type="cellIs" dxfId="1196" priority="1696" operator="equal">
      <formula>"신규"</formula>
    </cfRule>
  </conditionalFormatting>
  <conditionalFormatting sqref="V18">
    <cfRule type="cellIs" dxfId="1195" priority="1693" operator="equal">
      <formula>"수정-신규"</formula>
    </cfRule>
  </conditionalFormatting>
  <conditionalFormatting sqref="V12">
    <cfRule type="cellIs" dxfId="1194" priority="1678" operator="equal">
      <formula>"수정-신규"</formula>
    </cfRule>
    <cfRule type="cellIs" dxfId="1193" priority="1679" operator="equal">
      <formula>"수정"</formula>
    </cfRule>
    <cfRule type="cellIs" dxfId="1192" priority="1680" operator="equal">
      <formula>"신규"</formula>
    </cfRule>
  </conditionalFormatting>
  <conditionalFormatting sqref="V12">
    <cfRule type="cellIs" dxfId="1191" priority="1677" operator="equal">
      <formula>"수정-신규"</formula>
    </cfRule>
  </conditionalFormatting>
  <conditionalFormatting sqref="V11">
    <cfRule type="cellIs" dxfId="1190" priority="1682" operator="equal">
      <formula>"수정-신규"</formula>
    </cfRule>
    <cfRule type="cellIs" dxfId="1189" priority="1683" operator="equal">
      <formula>"수정"</formula>
    </cfRule>
    <cfRule type="cellIs" dxfId="1188" priority="1684" operator="equal">
      <formula>"신규"</formula>
    </cfRule>
  </conditionalFormatting>
  <conditionalFormatting sqref="V11">
    <cfRule type="cellIs" dxfId="1187" priority="1681" operator="equal">
      <formula>"수정-신규"</formula>
    </cfRule>
  </conditionalFormatting>
  <conditionalFormatting sqref="V13">
    <cfRule type="cellIs" dxfId="1186" priority="1673" operator="equal">
      <formula>"수정-신규"</formula>
    </cfRule>
  </conditionalFormatting>
  <conditionalFormatting sqref="V13">
    <cfRule type="cellIs" dxfId="1185" priority="1674" operator="equal">
      <formula>"수정-신규"</formula>
    </cfRule>
    <cfRule type="cellIs" dxfId="1184" priority="1675" operator="equal">
      <formula>"수정"</formula>
    </cfRule>
    <cfRule type="cellIs" dxfId="1183" priority="1676" operator="equal">
      <formula>"신규"</formula>
    </cfRule>
  </conditionalFormatting>
  <conditionalFormatting sqref="V94">
    <cfRule type="cellIs" dxfId="1182" priority="1586" operator="equal">
      <formula>"수정-신규"</formula>
    </cfRule>
    <cfRule type="cellIs" dxfId="1181" priority="1587" operator="equal">
      <formula>"수정"</formula>
    </cfRule>
    <cfRule type="cellIs" dxfId="1180" priority="1588" operator="equal">
      <formula>"신규"</formula>
    </cfRule>
  </conditionalFormatting>
  <conditionalFormatting sqref="V94">
    <cfRule type="cellIs" dxfId="1179" priority="1585" operator="equal">
      <formula>"수정-신규"</formula>
    </cfRule>
  </conditionalFormatting>
  <conditionalFormatting sqref="V55">
    <cfRule type="cellIs" dxfId="1178" priority="1582" operator="equal">
      <formula>"수정-신규"</formula>
    </cfRule>
    <cfRule type="cellIs" dxfId="1177" priority="1583" operator="equal">
      <formula>"수정"</formula>
    </cfRule>
    <cfRule type="cellIs" dxfId="1176" priority="1584" operator="equal">
      <formula>"신규"</formula>
    </cfRule>
  </conditionalFormatting>
  <conditionalFormatting sqref="V55">
    <cfRule type="cellIs" dxfId="1175" priority="1581" operator="equal">
      <formula>"수정-신규"</formula>
    </cfRule>
  </conditionalFormatting>
  <conditionalFormatting sqref="V81:V86">
    <cfRule type="cellIs" dxfId="1174" priority="1526" operator="equal">
      <formula>"수정-신규"</formula>
    </cfRule>
    <cfRule type="cellIs" dxfId="1173" priority="1527" operator="equal">
      <formula>"수정"</formula>
    </cfRule>
    <cfRule type="cellIs" dxfId="1172" priority="1528" operator="equal">
      <formula>"신규"</formula>
    </cfRule>
  </conditionalFormatting>
  <conditionalFormatting sqref="V81:V86">
    <cfRule type="cellIs" dxfId="1171" priority="1525" operator="equal">
      <formula>"수정-신규"</formula>
    </cfRule>
  </conditionalFormatting>
  <conditionalFormatting sqref="V50">
    <cfRule type="cellIs" dxfId="1170" priority="1574" operator="equal">
      <formula>"수정-신규"</formula>
    </cfRule>
    <cfRule type="cellIs" dxfId="1169" priority="1575" operator="equal">
      <formula>"수정"</formula>
    </cfRule>
    <cfRule type="cellIs" dxfId="1168" priority="1576" operator="equal">
      <formula>"신규"</formula>
    </cfRule>
  </conditionalFormatting>
  <conditionalFormatting sqref="V50">
    <cfRule type="cellIs" dxfId="1167" priority="1573" operator="equal">
      <formula>"수정-신규"</formula>
    </cfRule>
  </conditionalFormatting>
  <conditionalFormatting sqref="V85:V86">
    <cfRule type="cellIs" dxfId="1166" priority="1550" operator="equal">
      <formula>"수정-신규"</formula>
    </cfRule>
    <cfRule type="cellIs" dxfId="1165" priority="1551" operator="equal">
      <formula>"수정"</formula>
    </cfRule>
    <cfRule type="cellIs" dxfId="1164" priority="1552" operator="equal">
      <formula>"신규"</formula>
    </cfRule>
  </conditionalFormatting>
  <conditionalFormatting sqref="V85:V86">
    <cfRule type="cellIs" dxfId="1163" priority="1549" operator="equal">
      <formula>"수정-신규"</formula>
    </cfRule>
  </conditionalFormatting>
  <conditionalFormatting sqref="V82">
    <cfRule type="cellIs" dxfId="1162" priority="1513" operator="equal">
      <formula>"수정-신규"</formula>
    </cfRule>
  </conditionalFormatting>
  <conditionalFormatting sqref="V21:V23">
    <cfRule type="cellIs" dxfId="1161" priority="1506" operator="equal">
      <formula>"수정-신규"</formula>
    </cfRule>
    <cfRule type="cellIs" dxfId="1160" priority="1507" operator="equal">
      <formula>"수정"</formula>
    </cfRule>
    <cfRule type="cellIs" dxfId="1159" priority="1508" operator="equal">
      <formula>"신규"</formula>
    </cfRule>
  </conditionalFormatting>
  <conditionalFormatting sqref="V21:V23">
    <cfRule type="cellIs" dxfId="1158" priority="1505" operator="equal">
      <formula>"수정-신규"</formula>
    </cfRule>
  </conditionalFormatting>
  <conditionalFormatting sqref="V82">
    <cfRule type="cellIs" dxfId="1157" priority="1514" operator="equal">
      <formula>"수정-신규"</formula>
    </cfRule>
    <cfRule type="cellIs" dxfId="1156" priority="1515" operator="equal">
      <formula>"수정"</formula>
    </cfRule>
    <cfRule type="cellIs" dxfId="1155" priority="1516" operator="equal">
      <formula>"신규"</formula>
    </cfRule>
  </conditionalFormatting>
  <conditionalFormatting sqref="V34:V35">
    <cfRule type="cellIs" dxfId="1154" priority="1498" operator="equal">
      <formula>"수정-신규"</formula>
    </cfRule>
    <cfRule type="cellIs" dxfId="1153" priority="1499" operator="equal">
      <formula>"수정"</formula>
    </cfRule>
    <cfRule type="cellIs" dxfId="1152" priority="1500" operator="equal">
      <formula>"신규"</formula>
    </cfRule>
  </conditionalFormatting>
  <conditionalFormatting sqref="V34:V35">
    <cfRule type="cellIs" dxfId="1151" priority="1497" operator="equal">
      <formula>"수정-신규"</formula>
    </cfRule>
  </conditionalFormatting>
  <conditionalFormatting sqref="V64">
    <cfRule type="cellIs" dxfId="1150" priority="1466" operator="equal">
      <formula>"수정-신규"</formula>
    </cfRule>
    <cfRule type="cellIs" dxfId="1149" priority="1467" operator="equal">
      <formula>"수정"</formula>
    </cfRule>
    <cfRule type="cellIs" dxfId="1148" priority="1468" operator="equal">
      <formula>"신규"</formula>
    </cfRule>
  </conditionalFormatting>
  <conditionalFormatting sqref="V64">
    <cfRule type="cellIs" dxfId="1147" priority="1465" operator="equal">
      <formula>"수정-신규"</formula>
    </cfRule>
  </conditionalFormatting>
  <conditionalFormatting sqref="V57">
    <cfRule type="cellIs" dxfId="1146" priority="1398" operator="equal">
      <formula>"수정-신규"</formula>
    </cfRule>
    <cfRule type="cellIs" dxfId="1145" priority="1399" operator="equal">
      <formula>"수정"</formula>
    </cfRule>
    <cfRule type="cellIs" dxfId="1144" priority="1400" operator="equal">
      <formula>"신규"</formula>
    </cfRule>
  </conditionalFormatting>
  <conditionalFormatting sqref="V57">
    <cfRule type="cellIs" dxfId="1143" priority="1397" operator="equal">
      <formula>"수정-신규"</formula>
    </cfRule>
  </conditionalFormatting>
  <conditionalFormatting sqref="AE72">
    <cfRule type="cellIs" dxfId="1142" priority="1434" operator="equal">
      <formula>"수정-신규"</formula>
    </cfRule>
    <cfRule type="cellIs" dxfId="1141" priority="1435" operator="equal">
      <formula>"수정"</formula>
    </cfRule>
    <cfRule type="cellIs" dxfId="1140" priority="1436" operator="equal">
      <formula>"신규"</formula>
    </cfRule>
  </conditionalFormatting>
  <conditionalFormatting sqref="AE72">
    <cfRule type="cellIs" dxfId="1139" priority="1433" operator="equal">
      <formula>"수정-신규"</formula>
    </cfRule>
  </conditionalFormatting>
  <conditionalFormatting sqref="V59">
    <cfRule type="cellIs" dxfId="1138" priority="1402" operator="equal">
      <formula>"수정-신규"</formula>
    </cfRule>
    <cfRule type="cellIs" dxfId="1137" priority="1403" operator="equal">
      <formula>"수정"</formula>
    </cfRule>
    <cfRule type="cellIs" dxfId="1136" priority="1404" operator="equal">
      <formula>"신규"</formula>
    </cfRule>
  </conditionalFormatting>
  <conditionalFormatting sqref="V59">
    <cfRule type="cellIs" dxfId="1135" priority="1401" operator="equal">
      <formula>"수정-신규"</formula>
    </cfRule>
  </conditionalFormatting>
  <conditionalFormatting sqref="V44">
    <cfRule type="cellIs" dxfId="1134" priority="1394" operator="equal">
      <formula>"수정-신규"</formula>
    </cfRule>
    <cfRule type="cellIs" dxfId="1133" priority="1395" operator="equal">
      <formula>"수정"</formula>
    </cfRule>
    <cfRule type="cellIs" dxfId="1132" priority="1396" operator="equal">
      <formula>"신규"</formula>
    </cfRule>
  </conditionalFormatting>
  <conditionalFormatting sqref="V44">
    <cfRule type="cellIs" dxfId="1131" priority="1393" operator="equal">
      <formula>"수정-신규"</formula>
    </cfRule>
  </conditionalFormatting>
  <conditionalFormatting sqref="V64">
    <cfRule type="cellIs" dxfId="1130" priority="1462" operator="equal">
      <formula>"수정-신규"</formula>
    </cfRule>
    <cfRule type="cellIs" dxfId="1129" priority="1463" operator="equal">
      <formula>"수정"</formula>
    </cfRule>
    <cfRule type="cellIs" dxfId="1128" priority="1464" operator="equal">
      <formula>"신규"</formula>
    </cfRule>
  </conditionalFormatting>
  <conditionalFormatting sqref="V64">
    <cfRule type="cellIs" dxfId="1127" priority="1461" operator="equal">
      <formula>"수정-신규"</formula>
    </cfRule>
  </conditionalFormatting>
  <conditionalFormatting sqref="AB57:AE57">
    <cfRule type="cellIs" dxfId="1126" priority="1417" operator="equal">
      <formula>"수정-신규"</formula>
    </cfRule>
  </conditionalFormatting>
  <conditionalFormatting sqref="AB57:AE57">
    <cfRule type="cellIs" dxfId="1125" priority="1418" operator="equal">
      <formula>"수정-신규"</formula>
    </cfRule>
    <cfRule type="cellIs" dxfId="1124" priority="1419" operator="equal">
      <formula>"수정"</formula>
    </cfRule>
    <cfRule type="cellIs" dxfId="1123" priority="1420" operator="equal">
      <formula>"신규"</formula>
    </cfRule>
  </conditionalFormatting>
  <conditionalFormatting sqref="AB72:AE72">
    <cfRule type="cellIs" dxfId="1122" priority="1425" operator="equal">
      <formula>"수정-신규"</formula>
    </cfRule>
  </conditionalFormatting>
  <conditionalFormatting sqref="AB72:AE72">
    <cfRule type="cellIs" dxfId="1121" priority="1426" operator="equal">
      <formula>"수정-신규"</formula>
    </cfRule>
    <cfRule type="cellIs" dxfId="1120" priority="1427" operator="equal">
      <formula>"수정"</formula>
    </cfRule>
    <cfRule type="cellIs" dxfId="1119" priority="1428" operator="equal">
      <formula>"신규"</formula>
    </cfRule>
  </conditionalFormatting>
  <conditionalFormatting sqref="AD72">
    <cfRule type="cellIs" dxfId="1118" priority="1429" operator="equal">
      <formula>"수정-신규"</formula>
    </cfRule>
  </conditionalFormatting>
  <conditionalFormatting sqref="AD72">
    <cfRule type="cellIs" dxfId="1117" priority="1430" operator="equal">
      <formula>"수정-신규"</formula>
    </cfRule>
    <cfRule type="cellIs" dxfId="1116" priority="1431" operator="equal">
      <formula>"수정"</formula>
    </cfRule>
    <cfRule type="cellIs" dxfId="1115" priority="1432" operator="equal">
      <formula>"신규"</formula>
    </cfRule>
  </conditionalFormatting>
  <conditionalFormatting sqref="V31">
    <cfRule type="cellIs" dxfId="1114" priority="1389" operator="equal">
      <formula>"수정-신규"</formula>
    </cfRule>
  </conditionalFormatting>
  <conditionalFormatting sqref="V31">
    <cfRule type="cellIs" dxfId="1113" priority="1390" operator="equal">
      <formula>"수정-신규"</formula>
    </cfRule>
    <cfRule type="cellIs" dxfId="1112" priority="1391" operator="equal">
      <formula>"수정"</formula>
    </cfRule>
    <cfRule type="cellIs" dxfId="1111" priority="1392" operator="equal">
      <formula>"신규"</formula>
    </cfRule>
  </conditionalFormatting>
  <conditionalFormatting sqref="AB57:AE57">
    <cfRule type="cellIs" dxfId="1110" priority="1413" operator="equal">
      <formula>"수정-신규"</formula>
    </cfRule>
  </conditionalFormatting>
  <conditionalFormatting sqref="AB57:AE57">
    <cfRule type="cellIs" dxfId="1109" priority="1414" operator="equal">
      <formula>"수정-신규"</formula>
    </cfRule>
    <cfRule type="cellIs" dxfId="1108" priority="1415" operator="equal">
      <formula>"수정"</formula>
    </cfRule>
    <cfRule type="cellIs" dxfId="1107" priority="1416" operator="equal">
      <formula>"신규"</formula>
    </cfRule>
  </conditionalFormatting>
  <conditionalFormatting sqref="AD73">
    <cfRule type="cellIs" dxfId="1106" priority="1381" operator="equal">
      <formula>"수정-신규"</formula>
    </cfRule>
  </conditionalFormatting>
  <conditionalFormatting sqref="AD73">
    <cfRule type="cellIs" dxfId="1105" priority="1382" operator="equal">
      <formula>"수정-신규"</formula>
    </cfRule>
    <cfRule type="cellIs" dxfId="1104" priority="1383" operator="equal">
      <formula>"수정"</formula>
    </cfRule>
    <cfRule type="cellIs" dxfId="1103" priority="1384" operator="equal">
      <formula>"신규"</formula>
    </cfRule>
  </conditionalFormatting>
  <conditionalFormatting sqref="V58">
    <cfRule type="cellIs" dxfId="1102" priority="1366" operator="equal">
      <formula>"수정-신규"</formula>
    </cfRule>
    <cfRule type="cellIs" dxfId="1101" priority="1367" operator="equal">
      <formula>"수정"</formula>
    </cfRule>
    <cfRule type="cellIs" dxfId="1100" priority="1368" operator="equal">
      <formula>"신규"</formula>
    </cfRule>
  </conditionalFormatting>
  <conditionalFormatting sqref="V58">
    <cfRule type="cellIs" dxfId="1099" priority="1365" operator="equal">
      <formula>"수정-신규"</formula>
    </cfRule>
  </conditionalFormatting>
  <conditionalFormatting sqref="AE73">
    <cfRule type="cellIs" dxfId="1098" priority="1385" operator="equal">
      <formula>"수정-신규"</formula>
    </cfRule>
  </conditionalFormatting>
  <conditionalFormatting sqref="AE73">
    <cfRule type="cellIs" dxfId="1097" priority="1386" operator="equal">
      <formula>"수정-신규"</formula>
    </cfRule>
    <cfRule type="cellIs" dxfId="1096" priority="1387" operator="equal">
      <formula>"수정"</formula>
    </cfRule>
    <cfRule type="cellIs" dxfId="1095" priority="1388" operator="equal">
      <formula>"신규"</formula>
    </cfRule>
  </conditionalFormatting>
  <conditionalFormatting sqref="AB73:AE73">
    <cfRule type="cellIs" dxfId="1094" priority="1377" operator="equal">
      <formula>"수정-신규"</formula>
    </cfRule>
  </conditionalFormatting>
  <conditionalFormatting sqref="AB73:AE73">
    <cfRule type="cellIs" dxfId="1093" priority="1378" operator="equal">
      <formula>"수정-신규"</formula>
    </cfRule>
    <cfRule type="cellIs" dxfId="1092" priority="1379" operator="equal">
      <formula>"수정"</formula>
    </cfRule>
    <cfRule type="cellIs" dxfId="1091" priority="1380" operator="equal">
      <formula>"신규"</formula>
    </cfRule>
  </conditionalFormatting>
  <conditionalFormatting sqref="AB58:AE58">
    <cfRule type="cellIs" dxfId="1090" priority="1370" operator="equal">
      <formula>"수정-신규"</formula>
    </cfRule>
    <cfRule type="cellIs" dxfId="1089" priority="1371" operator="equal">
      <formula>"수정"</formula>
    </cfRule>
    <cfRule type="cellIs" dxfId="1088" priority="1372" operator="equal">
      <formula>"신규"</formula>
    </cfRule>
  </conditionalFormatting>
  <conditionalFormatting sqref="AB58:AE58">
    <cfRule type="cellIs" dxfId="1087" priority="1369" operator="equal">
      <formula>"수정-신규"</formula>
    </cfRule>
  </conditionalFormatting>
  <conditionalFormatting sqref="AB58:AE58">
    <cfRule type="cellIs" dxfId="1086" priority="1373" operator="equal">
      <formula>"수정-신규"</formula>
    </cfRule>
  </conditionalFormatting>
  <conditionalFormatting sqref="AB58:AE58">
    <cfRule type="cellIs" dxfId="1085" priority="1374" operator="equal">
      <formula>"수정-신규"</formula>
    </cfRule>
    <cfRule type="cellIs" dxfId="1084" priority="1375" operator="equal">
      <formula>"수정"</formula>
    </cfRule>
    <cfRule type="cellIs" dxfId="1083" priority="1376" operator="equal">
      <formula>"신규"</formula>
    </cfRule>
  </conditionalFormatting>
  <conditionalFormatting sqref="AD74">
    <cfRule type="cellIs" dxfId="1082" priority="1289" operator="equal">
      <formula>"수정-신규"</formula>
    </cfRule>
  </conditionalFormatting>
  <conditionalFormatting sqref="AD74">
    <cfRule type="cellIs" dxfId="1081" priority="1290" operator="equal">
      <formula>"수정-신규"</formula>
    </cfRule>
    <cfRule type="cellIs" dxfId="1080" priority="1291" operator="equal">
      <formula>"수정"</formula>
    </cfRule>
    <cfRule type="cellIs" dxfId="1079" priority="1292" operator="equal">
      <formula>"신규"</formula>
    </cfRule>
  </conditionalFormatting>
  <conditionalFormatting sqref="AB74:AE74">
    <cfRule type="cellIs" dxfId="1078" priority="1285" operator="equal">
      <formula>"수정-신규"</formula>
    </cfRule>
  </conditionalFormatting>
  <conditionalFormatting sqref="AB74:AE74">
    <cfRule type="cellIs" dxfId="1077" priority="1286" operator="equal">
      <formula>"수정-신규"</formula>
    </cfRule>
    <cfRule type="cellIs" dxfId="1076" priority="1287" operator="equal">
      <formula>"수정"</formula>
    </cfRule>
    <cfRule type="cellIs" dxfId="1075" priority="1288" operator="equal">
      <formula>"신규"</formula>
    </cfRule>
  </conditionalFormatting>
  <conditionalFormatting sqref="AE66">
    <cfRule type="cellIs" dxfId="1074" priority="1362" operator="equal">
      <formula>"수정-신규"</formula>
    </cfRule>
    <cfRule type="cellIs" dxfId="1073" priority="1363" operator="equal">
      <formula>"수정"</formula>
    </cfRule>
    <cfRule type="cellIs" dxfId="1072" priority="1364" operator="equal">
      <formula>"신규"</formula>
    </cfRule>
  </conditionalFormatting>
  <conditionalFormatting sqref="AD66">
    <cfRule type="cellIs" dxfId="1071" priority="1358" operator="equal">
      <formula>"수정-신규"</formula>
    </cfRule>
    <cfRule type="cellIs" dxfId="1070" priority="1359" operator="equal">
      <formula>"수정"</formula>
    </cfRule>
    <cfRule type="cellIs" dxfId="1069" priority="1360" operator="equal">
      <formula>"신규"</formula>
    </cfRule>
  </conditionalFormatting>
  <conditionalFormatting sqref="AE66">
    <cfRule type="cellIs" dxfId="1068" priority="1361" operator="equal">
      <formula>"수정-신규"</formula>
    </cfRule>
  </conditionalFormatting>
  <conditionalFormatting sqref="AD66">
    <cfRule type="cellIs" dxfId="1067" priority="1357" operator="equal">
      <formula>"수정-신규"</formula>
    </cfRule>
  </conditionalFormatting>
  <conditionalFormatting sqref="AC66:AE66">
    <cfRule type="cellIs" dxfId="1066" priority="1353" operator="equal">
      <formula>"수정-신규"</formula>
    </cfRule>
  </conditionalFormatting>
  <conditionalFormatting sqref="AC66:AE66">
    <cfRule type="cellIs" dxfId="1065" priority="1354" operator="equal">
      <formula>"수정-신규"</formula>
    </cfRule>
    <cfRule type="cellIs" dxfId="1064" priority="1355" operator="equal">
      <formula>"수정"</formula>
    </cfRule>
    <cfRule type="cellIs" dxfId="1063" priority="1356" operator="equal">
      <formula>"신규"</formula>
    </cfRule>
  </conditionalFormatting>
  <conditionalFormatting sqref="AC66:AE66">
    <cfRule type="cellIs" dxfId="1062" priority="1349" operator="equal">
      <formula>"수정-신규"</formula>
    </cfRule>
  </conditionalFormatting>
  <conditionalFormatting sqref="AC66:AE66">
    <cfRule type="cellIs" dxfId="1061" priority="1350" operator="equal">
      <formula>"수정-신규"</formula>
    </cfRule>
    <cfRule type="cellIs" dxfId="1060" priority="1351" operator="equal">
      <formula>"수정"</formula>
    </cfRule>
    <cfRule type="cellIs" dxfId="1059" priority="1352" operator="equal">
      <formula>"신규"</formula>
    </cfRule>
  </conditionalFormatting>
  <conditionalFormatting sqref="AD68:AE68">
    <cfRule type="cellIs" dxfId="1058" priority="1337" operator="equal">
      <formula>"수정-신규"</formula>
    </cfRule>
  </conditionalFormatting>
  <conditionalFormatting sqref="AD68:AE68">
    <cfRule type="cellIs" dxfId="1057" priority="1338" operator="equal">
      <formula>"수정-신규"</formula>
    </cfRule>
    <cfRule type="cellIs" dxfId="1056" priority="1339" operator="equal">
      <formula>"수정"</formula>
    </cfRule>
    <cfRule type="cellIs" dxfId="1055" priority="1340" operator="equal">
      <formula>"신규"</formula>
    </cfRule>
  </conditionalFormatting>
  <conditionalFormatting sqref="AD68:AE68">
    <cfRule type="cellIs" dxfId="1054" priority="1333" operator="equal">
      <formula>"수정-신규"</formula>
    </cfRule>
  </conditionalFormatting>
  <conditionalFormatting sqref="AD68:AE68">
    <cfRule type="cellIs" dxfId="1053" priority="1334" operator="equal">
      <formula>"수정-신규"</formula>
    </cfRule>
    <cfRule type="cellIs" dxfId="1052" priority="1335" operator="equal">
      <formula>"수정"</formula>
    </cfRule>
    <cfRule type="cellIs" dxfId="1051" priority="1336" operator="equal">
      <formula>"신규"</formula>
    </cfRule>
  </conditionalFormatting>
  <conditionalFormatting sqref="AB61:AE61">
    <cfRule type="cellIs" dxfId="1050" priority="1329" operator="equal">
      <formula>"수정-신규"</formula>
    </cfRule>
  </conditionalFormatting>
  <conditionalFormatting sqref="AB61:AE61">
    <cfRule type="cellIs" dxfId="1049" priority="1330" operator="equal">
      <formula>"수정-신규"</formula>
    </cfRule>
    <cfRule type="cellIs" dxfId="1048" priority="1331" operator="equal">
      <formula>"수정"</formula>
    </cfRule>
    <cfRule type="cellIs" dxfId="1047" priority="1332" operator="equal">
      <formula>"신규"</formula>
    </cfRule>
  </conditionalFormatting>
  <conditionalFormatting sqref="AB61:AE61">
    <cfRule type="cellIs" dxfId="1046" priority="1325" operator="equal">
      <formula>"수정-신규"</formula>
    </cfRule>
  </conditionalFormatting>
  <conditionalFormatting sqref="AB61:AE61">
    <cfRule type="cellIs" dxfId="1045" priority="1326" operator="equal">
      <formula>"수정-신규"</formula>
    </cfRule>
    <cfRule type="cellIs" dxfId="1044" priority="1327" operator="equal">
      <formula>"수정"</formula>
    </cfRule>
    <cfRule type="cellIs" dxfId="1043" priority="1328" operator="equal">
      <formula>"신규"</formula>
    </cfRule>
  </conditionalFormatting>
  <conditionalFormatting sqref="V61">
    <cfRule type="cellIs" dxfId="1042" priority="1321" operator="equal">
      <formula>"수정-신규"</formula>
    </cfRule>
  </conditionalFormatting>
  <conditionalFormatting sqref="V61">
    <cfRule type="cellIs" dxfId="1041" priority="1322" operator="equal">
      <formula>"수정-신규"</formula>
    </cfRule>
    <cfRule type="cellIs" dxfId="1040" priority="1323" operator="equal">
      <formula>"수정"</formula>
    </cfRule>
    <cfRule type="cellIs" dxfId="1039" priority="1324" operator="equal">
      <formula>"신규"</formula>
    </cfRule>
  </conditionalFormatting>
  <conditionalFormatting sqref="AE70:AE71">
    <cfRule type="cellIs" dxfId="1038" priority="1318" operator="equal">
      <formula>"수정-신규"</formula>
    </cfRule>
    <cfRule type="cellIs" dxfId="1037" priority="1319" operator="equal">
      <formula>"수정"</formula>
    </cfRule>
    <cfRule type="cellIs" dxfId="1036" priority="1320" operator="equal">
      <formula>"신규"</formula>
    </cfRule>
  </conditionalFormatting>
  <conditionalFormatting sqref="AD70:AD71">
    <cfRule type="cellIs" dxfId="1035" priority="1315" operator="equal">
      <formula>"수정-신규"</formula>
    </cfRule>
    <cfRule type="cellIs" dxfId="1034" priority="1315" operator="equal">
      <formula>"수정"</formula>
    </cfRule>
    <cfRule type="cellIs" dxfId="1033" priority="1316" operator="equal">
      <formula>"신규"</formula>
    </cfRule>
  </conditionalFormatting>
  <conditionalFormatting sqref="AE70:AE71">
    <cfRule type="cellIs" dxfId="1032" priority="1317" operator="equal">
      <formula>"수정-신규"</formula>
    </cfRule>
  </conditionalFormatting>
  <conditionalFormatting sqref="AD70:AD71">
    <cfRule type="cellIs" dxfId="1031" priority="1313" operator="equal">
      <formula>"수정-신규"</formula>
    </cfRule>
  </conditionalFormatting>
  <conditionalFormatting sqref="AC70:AE71">
    <cfRule type="cellIs" dxfId="1030" priority="1312" operator="equal">
      <formula>"수정-신규"</formula>
    </cfRule>
  </conditionalFormatting>
  <conditionalFormatting sqref="AC70:AE71">
    <cfRule type="cellIs" dxfId="1029" priority="1310" operator="equal">
      <formula>"수정-신규"</formula>
    </cfRule>
    <cfRule type="cellIs" dxfId="1028" priority="1311" operator="equal">
      <formula>"수정"</formula>
    </cfRule>
    <cfRule type="cellIs" dxfId="1027" priority="2819" operator="equal">
      <formula>"신규"</formula>
    </cfRule>
  </conditionalFormatting>
  <conditionalFormatting sqref="AC70:AE71">
    <cfRule type="cellIs" dxfId="1026" priority="1308" operator="equal">
      <formula>"수정-신규"</formula>
    </cfRule>
  </conditionalFormatting>
  <conditionalFormatting sqref="AC70:AE71">
    <cfRule type="cellIs" dxfId="1025" priority="1306" operator="equal">
      <formula>"수정-신규"</formula>
    </cfRule>
    <cfRule type="cellIs" dxfId="1024" priority="1307" operator="equal">
      <formula>"수정"</formula>
    </cfRule>
    <cfRule type="cellIs" dxfId="1023" priority="2820" operator="equal">
      <formula>"신규"</formula>
    </cfRule>
  </conditionalFormatting>
  <conditionalFormatting sqref="AE75">
    <cfRule type="cellIs" dxfId="1022" priority="1246" operator="equal">
      <formula>"수정-신규"</formula>
    </cfRule>
    <cfRule type="cellIs" dxfId="1021" priority="1247" operator="equal">
      <formula>"수정"</formula>
    </cfRule>
    <cfRule type="cellIs" dxfId="1020" priority="1248" operator="equal">
      <formula>"신규"</formula>
    </cfRule>
  </conditionalFormatting>
  <conditionalFormatting sqref="AE75">
    <cfRule type="cellIs" dxfId="1019" priority="1245" operator="equal">
      <formula>"수정-신규"</formula>
    </cfRule>
  </conditionalFormatting>
  <conditionalFormatting sqref="AD75">
    <cfRule type="cellIs" dxfId="1018" priority="1242" operator="equal">
      <formula>"수정-신규"</formula>
    </cfRule>
    <cfRule type="cellIs" dxfId="1017" priority="1243" operator="equal">
      <formula>"수정"</formula>
    </cfRule>
    <cfRule type="cellIs" dxfId="1016" priority="1244" operator="equal">
      <formula>"신규"</formula>
    </cfRule>
  </conditionalFormatting>
  <conditionalFormatting sqref="AD75">
    <cfRule type="cellIs" dxfId="1015" priority="1241" operator="equal">
      <formula>"수정-신규"</formula>
    </cfRule>
  </conditionalFormatting>
  <conditionalFormatting sqref="AE74">
    <cfRule type="cellIs" dxfId="1014" priority="1294" operator="equal">
      <formula>"수정-신규"</formula>
    </cfRule>
    <cfRule type="cellIs" dxfId="1013" priority="1295" operator="equal">
      <formula>"수정"</formula>
    </cfRule>
    <cfRule type="cellIs" dxfId="1012" priority="1296" operator="equal">
      <formula>"신규"</formula>
    </cfRule>
  </conditionalFormatting>
  <conditionalFormatting sqref="AE74">
    <cfRule type="cellIs" dxfId="1011" priority="1293" operator="equal">
      <formula>"수정-신규"</formula>
    </cfRule>
  </conditionalFormatting>
  <conditionalFormatting sqref="AB60:AE60">
    <cfRule type="cellIs" dxfId="1010" priority="1281" operator="equal">
      <formula>"수정-신규"</formula>
    </cfRule>
  </conditionalFormatting>
  <conditionalFormatting sqref="AB60:AE60">
    <cfRule type="cellIs" dxfId="1009" priority="1282" operator="equal">
      <formula>"수정-신규"</formula>
    </cfRule>
    <cfRule type="cellIs" dxfId="1008" priority="1283" operator="equal">
      <formula>"수정"</formula>
    </cfRule>
    <cfRule type="cellIs" dxfId="1007" priority="1284" operator="equal">
      <formula>"신규"</formula>
    </cfRule>
  </conditionalFormatting>
  <conditionalFormatting sqref="AB60:AE60">
    <cfRule type="cellIs" dxfId="1006" priority="1277" operator="equal">
      <formula>"수정-신규"</formula>
    </cfRule>
  </conditionalFormatting>
  <conditionalFormatting sqref="AB60:AE60">
    <cfRule type="cellIs" dxfId="1005" priority="1278" operator="equal">
      <formula>"수정-신규"</formula>
    </cfRule>
    <cfRule type="cellIs" dxfId="1004" priority="1279" operator="equal">
      <formula>"수정"</formula>
    </cfRule>
    <cfRule type="cellIs" dxfId="1003" priority="1280" operator="equal">
      <formula>"신규"</formula>
    </cfRule>
  </conditionalFormatting>
  <conditionalFormatting sqref="V60">
    <cfRule type="cellIs" dxfId="1002" priority="1273" operator="equal">
      <formula>"수정-신규"</formula>
    </cfRule>
  </conditionalFormatting>
  <conditionalFormatting sqref="V60">
    <cfRule type="cellIs" dxfId="1001" priority="1274" operator="equal">
      <formula>"수정-신규"</formula>
    </cfRule>
    <cfRule type="cellIs" dxfId="1000" priority="1275" operator="equal">
      <formula>"수정"</formula>
    </cfRule>
    <cfRule type="cellIs" dxfId="999" priority="1276" operator="equal">
      <formula>"신규"</formula>
    </cfRule>
  </conditionalFormatting>
  <conditionalFormatting sqref="AE69">
    <cfRule type="cellIs" dxfId="998" priority="1267" operator="equal">
      <formula>"수정-신규"</formula>
    </cfRule>
    <cfRule type="cellIs" dxfId="997" priority="1268" operator="equal">
      <formula>"수정"</formula>
    </cfRule>
    <cfRule type="cellIs" dxfId="996" priority="1269" operator="equal">
      <formula>"신규"</formula>
    </cfRule>
  </conditionalFormatting>
  <conditionalFormatting sqref="AD69">
    <cfRule type="cellIs" dxfId="995" priority="1264" operator="equal">
      <formula>"수정-신규"</formula>
    </cfRule>
    <cfRule type="cellIs" dxfId="994" priority="1265" operator="equal">
      <formula>"신규"</formula>
    </cfRule>
  </conditionalFormatting>
  <conditionalFormatting sqref="AE69">
    <cfRule type="cellIs" dxfId="993" priority="1266" operator="equal">
      <formula>"수정-신규"</formula>
    </cfRule>
  </conditionalFormatting>
  <conditionalFormatting sqref="AD69">
    <cfRule type="cellIs" dxfId="992" priority="1263" operator="equal">
      <formula>"수정-신규"</formula>
    </cfRule>
  </conditionalFormatting>
  <conditionalFormatting sqref="AC69:AE69">
    <cfRule type="cellIs" dxfId="991" priority="1262" operator="equal">
      <formula>"수정-신규"</formula>
    </cfRule>
  </conditionalFormatting>
  <conditionalFormatting sqref="AC69:AE69">
    <cfRule type="cellIs" dxfId="990" priority="1260" operator="equal">
      <formula>"수정-신규"</formula>
    </cfRule>
    <cfRule type="cellIs" dxfId="989" priority="1261" operator="equal">
      <formula>"수정"</formula>
    </cfRule>
  </conditionalFormatting>
  <conditionalFormatting sqref="AC69:AE69">
    <cfRule type="cellIs" dxfId="988" priority="1259" operator="equal">
      <formula>"수정-신규"</formula>
    </cfRule>
  </conditionalFormatting>
  <conditionalFormatting sqref="AC69:AE69">
    <cfRule type="cellIs" dxfId="987" priority="1257" operator="equal">
      <formula>"수정-신규"</formula>
    </cfRule>
    <cfRule type="cellIs" dxfId="986" priority="1258" operator="equal">
      <formula>"수정"</formula>
    </cfRule>
  </conditionalFormatting>
  <conditionalFormatting sqref="AB84:AE84">
    <cfRule type="cellIs" dxfId="985" priority="1210" operator="equal">
      <formula>"수정-신규"</formula>
    </cfRule>
    <cfRule type="cellIs" dxfId="984" priority="1211" operator="equal">
      <formula>"수정"</formula>
    </cfRule>
    <cfRule type="cellIs" dxfId="983" priority="1212" operator="equal">
      <formula>"신규"</formula>
    </cfRule>
  </conditionalFormatting>
  <conditionalFormatting sqref="AB84:AE84">
    <cfRule type="cellIs" dxfId="982" priority="1209" operator="equal">
      <formula>"수정-신규"</formula>
    </cfRule>
  </conditionalFormatting>
  <conditionalFormatting sqref="V84">
    <cfRule type="cellIs" dxfId="981" priority="1206" operator="equal">
      <formula>"수정-신규"</formula>
    </cfRule>
    <cfRule type="cellIs" dxfId="980" priority="1207" operator="equal">
      <formula>"수정"</formula>
    </cfRule>
    <cfRule type="cellIs" dxfId="979" priority="1208" operator="equal">
      <formula>"신규"</formula>
    </cfRule>
  </conditionalFormatting>
  <conditionalFormatting sqref="V84">
    <cfRule type="cellIs" dxfId="978" priority="1205" operator="equal">
      <formula>"수정-신규"</formula>
    </cfRule>
  </conditionalFormatting>
  <conditionalFormatting sqref="AB75:AE75">
    <cfRule type="cellIs" dxfId="977" priority="1238" operator="equal">
      <formula>"수정-신규"</formula>
    </cfRule>
    <cfRule type="cellIs" dxfId="976" priority="1239" operator="equal">
      <formula>"수정"</formula>
    </cfRule>
    <cfRule type="cellIs" dxfId="975" priority="1240" operator="equal">
      <formula>"신규"</formula>
    </cfRule>
  </conditionalFormatting>
  <conditionalFormatting sqref="AB75:AE75">
    <cfRule type="cellIs" dxfId="974" priority="1237" operator="equal">
      <formula>"수정-신규"</formula>
    </cfRule>
  </conditionalFormatting>
  <conditionalFormatting sqref="AE83">
    <cfRule type="cellIs" dxfId="973" priority="1234" operator="equal">
      <formula>"수정-신규"</formula>
    </cfRule>
    <cfRule type="cellIs" dxfId="972" priority="1235" operator="equal">
      <formula>"수정"</formula>
    </cfRule>
    <cfRule type="cellIs" dxfId="971" priority="1236" operator="equal">
      <formula>"신규"</formula>
    </cfRule>
  </conditionalFormatting>
  <conditionalFormatting sqref="AD83">
    <cfRule type="cellIs" dxfId="970" priority="1230" operator="equal">
      <formula>"수정-신규"</formula>
    </cfRule>
    <cfRule type="cellIs" dxfId="969" priority="1231" operator="equal">
      <formula>"수정"</formula>
    </cfRule>
    <cfRule type="cellIs" dxfId="968" priority="1232" operator="equal">
      <formula>"신규"</formula>
    </cfRule>
  </conditionalFormatting>
  <conditionalFormatting sqref="AE83">
    <cfRule type="cellIs" dxfId="967" priority="1233" operator="equal">
      <formula>"수정-신규"</formula>
    </cfRule>
  </conditionalFormatting>
  <conditionalFormatting sqref="AD83">
    <cfRule type="cellIs" dxfId="966" priority="1229" operator="equal">
      <formula>"수정-신규"</formula>
    </cfRule>
  </conditionalFormatting>
  <conditionalFormatting sqref="AB83:AE83">
    <cfRule type="cellIs" dxfId="965" priority="1226" operator="equal">
      <formula>"수정-신규"</formula>
    </cfRule>
    <cfRule type="cellIs" dxfId="964" priority="1227" operator="equal">
      <formula>"수정"</formula>
    </cfRule>
    <cfRule type="cellIs" dxfId="963" priority="1228" operator="equal">
      <formula>"신규"</formula>
    </cfRule>
  </conditionalFormatting>
  <conditionalFormatting sqref="AB83:AE83">
    <cfRule type="cellIs" dxfId="962" priority="1225" operator="equal">
      <formula>"수정-신규"</formula>
    </cfRule>
  </conditionalFormatting>
  <conditionalFormatting sqref="V83">
    <cfRule type="cellIs" dxfId="961" priority="1222" operator="equal">
      <formula>"수정-신규"</formula>
    </cfRule>
    <cfRule type="cellIs" dxfId="960" priority="1223" operator="equal">
      <formula>"수정"</formula>
    </cfRule>
    <cfRule type="cellIs" dxfId="959" priority="1224" operator="equal">
      <formula>"신규"</formula>
    </cfRule>
  </conditionalFormatting>
  <conditionalFormatting sqref="V83">
    <cfRule type="cellIs" dxfId="958" priority="1221" operator="equal">
      <formula>"수정-신규"</formula>
    </cfRule>
  </conditionalFormatting>
  <conditionalFormatting sqref="AE84">
    <cfRule type="cellIs" dxfId="957" priority="1218" operator="equal">
      <formula>"수정-신규"</formula>
    </cfRule>
    <cfRule type="cellIs" dxfId="956" priority="1219" operator="equal">
      <formula>"수정"</formula>
    </cfRule>
    <cfRule type="cellIs" dxfId="955" priority="1220" operator="equal">
      <formula>"신규"</formula>
    </cfRule>
  </conditionalFormatting>
  <conditionalFormatting sqref="AD84">
    <cfRule type="cellIs" dxfId="954" priority="1214" operator="equal">
      <formula>"수정-신규"</formula>
    </cfRule>
    <cfRule type="cellIs" dxfId="953" priority="1215" operator="equal">
      <formula>"수정"</formula>
    </cfRule>
    <cfRule type="cellIs" dxfId="952" priority="1216" operator="equal">
      <formula>"신규"</formula>
    </cfRule>
  </conditionalFormatting>
  <conditionalFormatting sqref="AE84">
    <cfRule type="cellIs" dxfId="951" priority="1217" operator="equal">
      <formula>"수정-신규"</formula>
    </cfRule>
  </conditionalFormatting>
  <conditionalFormatting sqref="AD84">
    <cfRule type="cellIs" dxfId="950" priority="1213" operator="equal">
      <formula>"수정-신규"</formula>
    </cfRule>
  </conditionalFormatting>
  <conditionalFormatting sqref="AD92:AD93">
    <cfRule type="cellIs" dxfId="949" priority="1198" operator="equal">
      <formula>"수정-신규"</formula>
    </cfRule>
    <cfRule type="cellIs" dxfId="948" priority="1199" operator="equal">
      <formula>"수정"</formula>
    </cfRule>
    <cfRule type="cellIs" dxfId="947" priority="1200" operator="equal">
      <formula>"신규"</formula>
    </cfRule>
  </conditionalFormatting>
  <conditionalFormatting sqref="AD92:AD93">
    <cfRule type="cellIs" dxfId="946" priority="1197" operator="equal">
      <formula>"수정-신규"</formula>
    </cfRule>
  </conditionalFormatting>
  <conditionalFormatting sqref="AB92:AE93">
    <cfRule type="cellIs" dxfId="945" priority="1194" operator="equal">
      <formula>"수정-신규"</formula>
    </cfRule>
    <cfRule type="cellIs" dxfId="944" priority="1195" operator="equal">
      <formula>"수정"</formula>
    </cfRule>
    <cfRule type="cellIs" dxfId="943" priority="1196" operator="equal">
      <formula>"신규"</formula>
    </cfRule>
  </conditionalFormatting>
  <conditionalFormatting sqref="AB92:AE93">
    <cfRule type="cellIs" dxfId="942" priority="1193" operator="equal">
      <formula>"수정-신규"</formula>
    </cfRule>
  </conditionalFormatting>
  <conditionalFormatting sqref="AE92:AE93">
    <cfRule type="cellIs" dxfId="941" priority="1202" operator="equal">
      <formula>"수정-신규"</formula>
    </cfRule>
    <cfRule type="cellIs" dxfId="940" priority="1203" operator="equal">
      <formula>"수정"</formula>
    </cfRule>
    <cfRule type="cellIs" dxfId="939" priority="1204" operator="equal">
      <formula>"신규"</formula>
    </cfRule>
  </conditionalFormatting>
  <conditionalFormatting sqref="AE92:AE93">
    <cfRule type="cellIs" dxfId="938" priority="1201" operator="equal">
      <formula>"수정-신규"</formula>
    </cfRule>
  </conditionalFormatting>
  <conditionalFormatting sqref="AE91">
    <cfRule type="cellIs" dxfId="937" priority="1186" operator="equal">
      <formula>"수정-신규"</formula>
    </cfRule>
    <cfRule type="cellIs" dxfId="936" priority="1187" operator="equal">
      <formula>"수정"</formula>
    </cfRule>
    <cfRule type="cellIs" dxfId="935" priority="1188" operator="equal">
      <formula>"신규"</formula>
    </cfRule>
  </conditionalFormatting>
  <conditionalFormatting sqref="AD91">
    <cfRule type="cellIs" dxfId="934" priority="1182" operator="equal">
      <formula>"수정-신규"</formula>
    </cfRule>
    <cfRule type="cellIs" dxfId="933" priority="1183" operator="equal">
      <formula>"수정"</formula>
    </cfRule>
    <cfRule type="cellIs" dxfId="932" priority="1184" operator="equal">
      <formula>"신규"</formula>
    </cfRule>
  </conditionalFormatting>
  <conditionalFormatting sqref="AE91">
    <cfRule type="cellIs" dxfId="931" priority="1185" operator="equal">
      <formula>"수정-신규"</formula>
    </cfRule>
  </conditionalFormatting>
  <conditionalFormatting sqref="AD91">
    <cfRule type="cellIs" dxfId="930" priority="1181" operator="equal">
      <formula>"수정-신규"</formula>
    </cfRule>
  </conditionalFormatting>
  <conditionalFormatting sqref="AB91:AE91">
    <cfRule type="cellIs" dxfId="929" priority="1178" operator="equal">
      <formula>"수정-신규"</formula>
    </cfRule>
    <cfRule type="cellIs" dxfId="928" priority="1179" operator="equal">
      <formula>"수정"</formula>
    </cfRule>
    <cfRule type="cellIs" dxfId="927" priority="1180" operator="equal">
      <formula>"신규"</formula>
    </cfRule>
  </conditionalFormatting>
  <conditionalFormatting sqref="AB91:AE91">
    <cfRule type="cellIs" dxfId="926" priority="1177" operator="equal">
      <formula>"수정-신규"</formula>
    </cfRule>
  </conditionalFormatting>
  <conditionalFormatting sqref="AA114">
    <cfRule type="cellIs" dxfId="925" priority="1164" operator="equal">
      <formula>"수정-신규"</formula>
    </cfRule>
    <cfRule type="cellIs" dxfId="924" priority="1165" operator="equal">
      <formula>"수정"</formula>
    </cfRule>
    <cfRule type="cellIs" dxfId="923" priority="1166" operator="equal">
      <formula>"신규"</formula>
    </cfRule>
  </conditionalFormatting>
  <conditionalFormatting sqref="AA114">
    <cfRule type="cellIs" dxfId="922" priority="1163" operator="equal">
      <formula>"수정-신규"</formula>
    </cfRule>
  </conditionalFormatting>
  <conditionalFormatting sqref="AE114">
    <cfRule type="cellIs" dxfId="921" priority="1159" operator="equal">
      <formula>"수정-신규"</formula>
    </cfRule>
  </conditionalFormatting>
  <conditionalFormatting sqref="AE114">
    <cfRule type="cellIs" dxfId="920" priority="1160" operator="equal">
      <formula>"수정-신규"</formula>
    </cfRule>
    <cfRule type="cellIs" dxfId="919" priority="1161" operator="equal">
      <formula>"수정"</formula>
    </cfRule>
    <cfRule type="cellIs" dxfId="918" priority="1162" operator="equal">
      <formula>"신규"</formula>
    </cfRule>
  </conditionalFormatting>
  <conditionalFormatting sqref="AD114">
    <cfRule type="cellIs" dxfId="917" priority="1156" operator="equal">
      <formula>"수정-신규"</formula>
    </cfRule>
    <cfRule type="cellIs" dxfId="916" priority="1157" operator="equal">
      <formula>"수정"</formula>
    </cfRule>
    <cfRule type="cellIs" dxfId="915" priority="1158" operator="equal">
      <formula>"신규"</formula>
    </cfRule>
  </conditionalFormatting>
  <conditionalFormatting sqref="AD114">
    <cfRule type="cellIs" dxfId="914" priority="1155" operator="equal">
      <formula>"수정-신규"</formula>
    </cfRule>
  </conditionalFormatting>
  <conditionalFormatting sqref="AE95">
    <cfRule type="cellIs" dxfId="913" priority="1152" operator="equal">
      <formula>"수정-신규"</formula>
    </cfRule>
    <cfRule type="cellIs" dxfId="912" priority="1153" operator="equal">
      <formula>"수정"</formula>
    </cfRule>
    <cfRule type="cellIs" dxfId="911" priority="1154" operator="equal">
      <formula>"신규"</formula>
    </cfRule>
  </conditionalFormatting>
  <conditionalFormatting sqref="AD95">
    <cfRule type="cellIs" dxfId="910" priority="1148" operator="equal">
      <formula>"수정-신규"</formula>
    </cfRule>
    <cfRule type="cellIs" dxfId="909" priority="1149" operator="equal">
      <formula>"수정"</formula>
    </cfRule>
    <cfRule type="cellIs" dxfId="908" priority="1150" operator="equal">
      <formula>"신규"</formula>
    </cfRule>
  </conditionalFormatting>
  <conditionalFormatting sqref="AE95">
    <cfRule type="cellIs" dxfId="907" priority="1151" operator="equal">
      <formula>"수정-신규"</formula>
    </cfRule>
  </conditionalFormatting>
  <conditionalFormatting sqref="AD95">
    <cfRule type="cellIs" dxfId="906" priority="1147" operator="equal">
      <formula>"수정-신규"</formula>
    </cfRule>
  </conditionalFormatting>
  <conditionalFormatting sqref="AE105">
    <cfRule type="cellIs" dxfId="905" priority="1136" operator="equal">
      <formula>"수정-신규"</formula>
    </cfRule>
    <cfRule type="cellIs" dxfId="904" priority="1137" operator="equal">
      <formula>"수정"</formula>
    </cfRule>
    <cfRule type="cellIs" dxfId="903" priority="1138" operator="equal">
      <formula>"신규"</formula>
    </cfRule>
  </conditionalFormatting>
  <conditionalFormatting sqref="AE105">
    <cfRule type="cellIs" dxfId="902" priority="1135" operator="equal">
      <formula>"수정-신규"</formula>
    </cfRule>
  </conditionalFormatting>
  <conditionalFormatting sqref="AE106">
    <cfRule type="cellIs" dxfId="901" priority="1144" operator="equal">
      <formula>"수정-신규"</formula>
    </cfRule>
    <cfRule type="cellIs" dxfId="900" priority="1145" operator="equal">
      <formula>"수정"</formula>
    </cfRule>
    <cfRule type="cellIs" dxfId="899" priority="1146" operator="equal">
      <formula>"신규"</formula>
    </cfRule>
  </conditionalFormatting>
  <conditionalFormatting sqref="AD106">
    <cfRule type="cellIs" dxfId="898" priority="1140" operator="equal">
      <formula>"수정-신규"</formula>
    </cfRule>
    <cfRule type="cellIs" dxfId="897" priority="1141" operator="equal">
      <formula>"수정"</formula>
    </cfRule>
    <cfRule type="cellIs" dxfId="896" priority="1142" operator="equal">
      <formula>"신규"</formula>
    </cfRule>
  </conditionalFormatting>
  <conditionalFormatting sqref="AE106">
    <cfRule type="cellIs" dxfId="895" priority="1143" operator="equal">
      <formula>"수정-신규"</formula>
    </cfRule>
  </conditionalFormatting>
  <conditionalFormatting sqref="AD106">
    <cfRule type="cellIs" dxfId="894" priority="1139" operator="equal">
      <formula>"수정-신규"</formula>
    </cfRule>
  </conditionalFormatting>
  <conditionalFormatting sqref="AD105">
    <cfRule type="cellIs" dxfId="893" priority="1132" operator="equal">
      <formula>"수정-신규"</formula>
    </cfRule>
    <cfRule type="cellIs" dxfId="892" priority="1133" operator="equal">
      <formula>"수정"</formula>
    </cfRule>
    <cfRule type="cellIs" dxfId="891" priority="1134" operator="equal">
      <formula>"신규"</formula>
    </cfRule>
  </conditionalFormatting>
  <conditionalFormatting sqref="AD105">
    <cfRule type="cellIs" dxfId="890" priority="1131" operator="equal">
      <formula>"수정-신규"</formula>
    </cfRule>
  </conditionalFormatting>
  <conditionalFormatting sqref="AD113">
    <cfRule type="cellIs" dxfId="889" priority="1116" operator="equal">
      <formula>"수정-신규"</formula>
    </cfRule>
    <cfRule type="cellIs" dxfId="888" priority="1117" operator="equal">
      <formula>"수정"</formula>
    </cfRule>
    <cfRule type="cellIs" dxfId="887" priority="1118" operator="equal">
      <formula>"신규"</formula>
    </cfRule>
  </conditionalFormatting>
  <conditionalFormatting sqref="AE110">
    <cfRule type="cellIs" dxfId="886" priority="1112" operator="equal">
      <formula>"수정-신규"</formula>
    </cfRule>
    <cfRule type="cellIs" dxfId="885" priority="1113" operator="equal">
      <formula>"수정"</formula>
    </cfRule>
    <cfRule type="cellIs" dxfId="884" priority="1114" operator="equal">
      <formula>"신규"</formula>
    </cfRule>
  </conditionalFormatting>
  <conditionalFormatting sqref="AD113">
    <cfRule type="cellIs" dxfId="883" priority="1115" operator="equal">
      <formula>"수정-신규"</formula>
    </cfRule>
  </conditionalFormatting>
  <conditionalFormatting sqref="AE110">
    <cfRule type="cellIs" dxfId="882" priority="1111" operator="equal">
      <formula>"수정-신규"</formula>
    </cfRule>
  </conditionalFormatting>
  <conditionalFormatting sqref="AE113">
    <cfRule type="cellIs" dxfId="881" priority="1120" operator="equal">
      <formula>"수정-신규"</formula>
    </cfRule>
    <cfRule type="cellIs" dxfId="880" priority="1121" operator="equal">
      <formula>"수정"</formula>
    </cfRule>
    <cfRule type="cellIs" dxfId="879" priority="1122" operator="equal">
      <formula>"신규"</formula>
    </cfRule>
  </conditionalFormatting>
  <conditionalFormatting sqref="AE107">
    <cfRule type="cellIs" dxfId="878" priority="1080" operator="equal">
      <formula>"수정-신규"</formula>
    </cfRule>
    <cfRule type="cellIs" dxfId="877" priority="1081" operator="equal">
      <formula>"수정"</formula>
    </cfRule>
    <cfRule type="cellIs" dxfId="876" priority="1082" operator="equal">
      <formula>"신규"</formula>
    </cfRule>
  </conditionalFormatting>
  <conditionalFormatting sqref="AE113">
    <cfRule type="cellIs" dxfId="875" priority="1119" operator="equal">
      <formula>"수정-신규"</formula>
    </cfRule>
  </conditionalFormatting>
  <conditionalFormatting sqref="AE107">
    <cfRule type="cellIs" dxfId="874" priority="1079" operator="equal">
      <formula>"수정-신규"</formula>
    </cfRule>
  </conditionalFormatting>
  <conditionalFormatting sqref="AD107">
    <cfRule type="cellIs" dxfId="873" priority="1076" operator="equal">
      <formula>"수정-신규"</formula>
    </cfRule>
    <cfRule type="cellIs" dxfId="872" priority="1077" operator="equal">
      <formula>"수정"</formula>
    </cfRule>
    <cfRule type="cellIs" dxfId="871" priority="1078" operator="equal">
      <formula>"신규"</formula>
    </cfRule>
  </conditionalFormatting>
  <conditionalFormatting sqref="AD110">
    <cfRule type="cellIs" dxfId="870" priority="1108" operator="equal">
      <formula>"수정-신규"</formula>
    </cfRule>
    <cfRule type="cellIs" dxfId="869" priority="1109" operator="equal">
      <formula>"수정"</formula>
    </cfRule>
    <cfRule type="cellIs" dxfId="868" priority="1110" operator="equal">
      <formula>"신규"</formula>
    </cfRule>
  </conditionalFormatting>
  <conditionalFormatting sqref="AD107">
    <cfRule type="cellIs" dxfId="867" priority="1075" operator="equal">
      <formula>"수정-신규"</formula>
    </cfRule>
  </conditionalFormatting>
  <conditionalFormatting sqref="AD110">
    <cfRule type="cellIs" dxfId="866" priority="1107" operator="equal">
      <formula>"수정-신규"</formula>
    </cfRule>
  </conditionalFormatting>
  <conditionalFormatting sqref="AD99">
    <cfRule type="cellIs" dxfId="865" priority="1092" operator="equal">
      <formula>"수정-신규"</formula>
    </cfRule>
    <cfRule type="cellIs" dxfId="864" priority="1093" operator="equal">
      <formula>"수정"</formula>
    </cfRule>
    <cfRule type="cellIs" dxfId="863" priority="1094" operator="equal">
      <formula>"신규"</formula>
    </cfRule>
  </conditionalFormatting>
  <conditionalFormatting sqref="AE100">
    <cfRule type="cellIs" dxfId="862" priority="1088" operator="equal">
      <formula>"수정-신규"</formula>
    </cfRule>
    <cfRule type="cellIs" dxfId="861" priority="1089" operator="equal">
      <formula>"수정"</formula>
    </cfRule>
    <cfRule type="cellIs" dxfId="860" priority="1090" operator="equal">
      <formula>"신규"</formula>
    </cfRule>
  </conditionalFormatting>
  <conditionalFormatting sqref="AD99">
    <cfRule type="cellIs" dxfId="859" priority="1091" operator="equal">
      <formula>"수정-신규"</formula>
    </cfRule>
  </conditionalFormatting>
  <conditionalFormatting sqref="AE100">
    <cfRule type="cellIs" dxfId="858" priority="1087" operator="equal">
      <formula>"수정-신규"</formula>
    </cfRule>
  </conditionalFormatting>
  <conditionalFormatting sqref="AE99">
    <cfRule type="cellIs" dxfId="857" priority="1096" operator="equal">
      <formula>"수정-신규"</formula>
    </cfRule>
    <cfRule type="cellIs" dxfId="856" priority="1097" operator="equal">
      <formula>"수정"</formula>
    </cfRule>
    <cfRule type="cellIs" dxfId="855" priority="1098" operator="equal">
      <formula>"신규"</formula>
    </cfRule>
  </conditionalFormatting>
  <conditionalFormatting sqref="AB98:AE98">
    <cfRule type="cellIs" dxfId="854" priority="1024" operator="equal">
      <formula>"수정-신규"</formula>
    </cfRule>
    <cfRule type="cellIs" dxfId="853" priority="1025" operator="equal">
      <formula>"수정"</formula>
    </cfRule>
    <cfRule type="cellIs" dxfId="852" priority="1026" operator="equal">
      <formula>"신규"</formula>
    </cfRule>
  </conditionalFormatting>
  <conditionalFormatting sqref="AE99">
    <cfRule type="cellIs" dxfId="851" priority="1095" operator="equal">
      <formula>"수정-신규"</formula>
    </cfRule>
  </conditionalFormatting>
  <conditionalFormatting sqref="AB98:AE98">
    <cfRule type="cellIs" dxfId="850" priority="1023" operator="equal">
      <formula>"수정-신규"</formula>
    </cfRule>
  </conditionalFormatting>
  <conditionalFormatting sqref="AB110:AE110">
    <cfRule type="cellIs" dxfId="849" priority="1020" operator="equal">
      <formula>"수정-신규"</formula>
    </cfRule>
    <cfRule type="cellIs" dxfId="848" priority="1021" operator="equal">
      <formula>"수정"</formula>
    </cfRule>
    <cfRule type="cellIs" dxfId="847" priority="1022" operator="equal">
      <formula>"신규"</formula>
    </cfRule>
  </conditionalFormatting>
  <conditionalFormatting sqref="AD100">
    <cfRule type="cellIs" dxfId="846" priority="1084" operator="equal">
      <formula>"수정-신규"</formula>
    </cfRule>
    <cfRule type="cellIs" dxfId="845" priority="1085" operator="equal">
      <formula>"수정"</formula>
    </cfRule>
    <cfRule type="cellIs" dxfId="844" priority="1086" operator="equal">
      <formula>"신규"</formula>
    </cfRule>
  </conditionalFormatting>
  <conditionalFormatting sqref="AB110:AE110">
    <cfRule type="cellIs" dxfId="843" priority="1019" operator="equal">
      <formula>"수정-신규"</formula>
    </cfRule>
  </conditionalFormatting>
  <conditionalFormatting sqref="AD100">
    <cfRule type="cellIs" dxfId="842" priority="1083" operator="equal">
      <formula>"수정-신규"</formula>
    </cfRule>
  </conditionalFormatting>
  <conditionalFormatting sqref="AB106:AE106">
    <cfRule type="cellIs" dxfId="841" priority="1056" operator="equal">
      <formula>"수정-신규"</formula>
    </cfRule>
    <cfRule type="cellIs" dxfId="840" priority="1057" operator="equal">
      <formula>"수정"</formula>
    </cfRule>
    <cfRule type="cellIs" dxfId="839" priority="1058" operator="equal">
      <formula>"신규"</formula>
    </cfRule>
  </conditionalFormatting>
  <conditionalFormatting sqref="AB105:AE105">
    <cfRule type="cellIs" dxfId="838" priority="1052" operator="equal">
      <formula>"수정-신규"</formula>
    </cfRule>
    <cfRule type="cellIs" dxfId="837" priority="1053" operator="equal">
      <formula>"수정"</formula>
    </cfRule>
    <cfRule type="cellIs" dxfId="836" priority="1054" operator="equal">
      <formula>"신규"</formula>
    </cfRule>
  </conditionalFormatting>
  <conditionalFormatting sqref="AB106:AE106">
    <cfRule type="cellIs" dxfId="835" priority="1055" operator="equal">
      <formula>"수정-신규"</formula>
    </cfRule>
  </conditionalFormatting>
  <conditionalFormatting sqref="AB105:AE105">
    <cfRule type="cellIs" dxfId="834" priority="1051" operator="equal">
      <formula>"수정-신규"</formula>
    </cfRule>
  </conditionalFormatting>
  <conditionalFormatting sqref="AE111">
    <cfRule type="cellIs" dxfId="833" priority="1072" operator="equal">
      <formula>"수정-신규"</formula>
    </cfRule>
    <cfRule type="cellIs" dxfId="832" priority="1073" operator="equal">
      <formula>"수정"</formula>
    </cfRule>
    <cfRule type="cellIs" dxfId="831" priority="1074" operator="equal">
      <formula>"신규"</formula>
    </cfRule>
  </conditionalFormatting>
  <conditionalFormatting sqref="AD111">
    <cfRule type="cellIs" dxfId="830" priority="1068" operator="equal">
      <formula>"수정-신규"</formula>
    </cfRule>
    <cfRule type="cellIs" dxfId="829" priority="1069" operator="equal">
      <formula>"수정"</formula>
    </cfRule>
    <cfRule type="cellIs" dxfId="828" priority="1070" operator="equal">
      <formula>"신규"</formula>
    </cfRule>
  </conditionalFormatting>
  <conditionalFormatting sqref="AE111">
    <cfRule type="cellIs" dxfId="827" priority="1071" operator="equal">
      <formula>"수정-신규"</formula>
    </cfRule>
  </conditionalFormatting>
  <conditionalFormatting sqref="AD111">
    <cfRule type="cellIs" dxfId="826" priority="1067" operator="equal">
      <formula>"수정-신규"</formula>
    </cfRule>
  </conditionalFormatting>
  <conditionalFormatting sqref="AB114:AE114">
    <cfRule type="cellIs" dxfId="825" priority="1063" operator="equal">
      <formula>"수정-신규"</formula>
    </cfRule>
  </conditionalFormatting>
  <conditionalFormatting sqref="AB114:AE114">
    <cfRule type="cellIs" dxfId="824" priority="1064" operator="equal">
      <formula>"수정-신규"</formula>
    </cfRule>
    <cfRule type="cellIs" dxfId="823" priority="1065" operator="equal">
      <formula>"수정"</formula>
    </cfRule>
    <cfRule type="cellIs" dxfId="822" priority="1066" operator="equal">
      <formula>"신규"</formula>
    </cfRule>
  </conditionalFormatting>
  <conditionalFormatting sqref="AB95:AE95">
    <cfRule type="cellIs" dxfId="821" priority="1060" operator="equal">
      <formula>"수정-신규"</formula>
    </cfRule>
    <cfRule type="cellIs" dxfId="820" priority="1061" operator="equal">
      <formula>"수정"</formula>
    </cfRule>
    <cfRule type="cellIs" dxfId="819" priority="1062" operator="equal">
      <formula>"신규"</formula>
    </cfRule>
  </conditionalFormatting>
  <conditionalFormatting sqref="AB95:AE95">
    <cfRule type="cellIs" dxfId="818" priority="1059" operator="equal">
      <formula>"수정-신규"</formula>
    </cfRule>
  </conditionalFormatting>
  <conditionalFormatting sqref="AC71">
    <cfRule type="cellIs" dxfId="817" priority="996" operator="equal">
      <formula>"수정-신규"</formula>
    </cfRule>
    <cfRule type="cellIs" dxfId="816" priority="997" operator="equal">
      <formula>"수정"</formula>
    </cfRule>
    <cfRule type="cellIs" dxfId="815" priority="998" operator="equal">
      <formula>"신규"</formula>
    </cfRule>
  </conditionalFormatting>
  <conditionalFormatting sqref="AC71">
    <cfRule type="cellIs" dxfId="814" priority="995" operator="equal">
      <formula>"수정-신규"</formula>
    </cfRule>
  </conditionalFormatting>
  <conditionalFormatting sqref="AB111:AE111">
    <cfRule type="cellIs" dxfId="813" priority="1000" operator="equal">
      <formula>"수정-신규"</formula>
    </cfRule>
    <cfRule type="cellIs" dxfId="812" priority="1001" operator="equal">
      <formula>"수정"</formula>
    </cfRule>
    <cfRule type="cellIs" dxfId="811" priority="1002" operator="equal">
      <formula>"신규"</formula>
    </cfRule>
  </conditionalFormatting>
  <conditionalFormatting sqref="AB111:AE111">
    <cfRule type="cellIs" dxfId="810" priority="999" operator="equal">
      <formula>"수정-신규"</formula>
    </cfRule>
  </conditionalFormatting>
  <conditionalFormatting sqref="AC99:AE99">
    <cfRule type="cellIs" dxfId="809" priority="1036" operator="equal">
      <formula>"수정-신규"</formula>
    </cfRule>
    <cfRule type="cellIs" dxfId="808" priority="1037" operator="equal">
      <formula>"수정"</formula>
    </cfRule>
    <cfRule type="cellIs" dxfId="807" priority="1038" operator="equal">
      <formula>"신규"</formula>
    </cfRule>
  </conditionalFormatting>
  <conditionalFormatting sqref="AC99:AE99">
    <cfRule type="cellIs" dxfId="806" priority="1035" operator="equal">
      <formula>"수정-신규"</formula>
    </cfRule>
  </conditionalFormatting>
  <conditionalFormatting sqref="AB113:AE113">
    <cfRule type="cellIs" dxfId="805" priority="1044" operator="equal">
      <formula>"수정-신규"</formula>
    </cfRule>
    <cfRule type="cellIs" dxfId="804" priority="1045" operator="equal">
      <formula>"수정"</formula>
    </cfRule>
    <cfRule type="cellIs" dxfId="803" priority="1046" operator="equal">
      <formula>"신규"</formula>
    </cfRule>
  </conditionalFormatting>
  <conditionalFormatting sqref="AB113:AE113">
    <cfRule type="cellIs" dxfId="802" priority="1043" operator="equal">
      <formula>"수정-신규"</formula>
    </cfRule>
  </conditionalFormatting>
  <conditionalFormatting sqref="AB98:AE98">
    <cfRule type="cellIs" dxfId="801" priority="1028" operator="equal">
      <formula>"수정-신규"</formula>
    </cfRule>
    <cfRule type="cellIs" dxfId="800" priority="1029" operator="equal">
      <formula>"수정"</formula>
    </cfRule>
    <cfRule type="cellIs" dxfId="799" priority="1030" operator="equal">
      <formula>"신규"</formula>
    </cfRule>
  </conditionalFormatting>
  <conditionalFormatting sqref="AB98:AE98">
    <cfRule type="cellIs" dxfId="798" priority="1027" operator="equal">
      <formula>"수정-신규"</formula>
    </cfRule>
  </conditionalFormatting>
  <conditionalFormatting sqref="AC100:AE100">
    <cfRule type="cellIs" dxfId="797" priority="1011" operator="equal">
      <formula>"수정-신규"</formula>
    </cfRule>
  </conditionalFormatting>
  <conditionalFormatting sqref="AC100:AE100">
    <cfRule type="cellIs" dxfId="796" priority="1012" operator="equal">
      <formula>"수정-신규"</formula>
    </cfRule>
    <cfRule type="cellIs" dxfId="795" priority="1013" operator="equal">
      <formula>"수정"</formula>
    </cfRule>
    <cfRule type="cellIs" dxfId="794" priority="1014" operator="equal">
      <formula>"신규"</formula>
    </cfRule>
  </conditionalFormatting>
  <conditionalFormatting sqref="AC99:AE99">
    <cfRule type="cellIs" dxfId="793" priority="1031" operator="equal">
      <formula>"수정-신규"</formula>
    </cfRule>
  </conditionalFormatting>
  <conditionalFormatting sqref="AC99:AE99">
    <cfRule type="cellIs" dxfId="792" priority="1032" operator="equal">
      <formula>"수정-신규"</formula>
    </cfRule>
    <cfRule type="cellIs" dxfId="791" priority="1033" operator="equal">
      <formula>"수정"</formula>
    </cfRule>
    <cfRule type="cellIs" dxfId="790" priority="1034" operator="equal">
      <formula>"신규"</formula>
    </cfRule>
  </conditionalFormatting>
  <conditionalFormatting sqref="AB110:AE110">
    <cfRule type="cellIs" dxfId="789" priority="1015" operator="equal">
      <formula>"수정-신규"</formula>
    </cfRule>
  </conditionalFormatting>
  <conditionalFormatting sqref="AB110:AE110">
    <cfRule type="cellIs" dxfId="788" priority="1016" operator="equal">
      <formula>"수정-신규"</formula>
    </cfRule>
    <cfRule type="cellIs" dxfId="787" priority="1017" operator="equal">
      <formula>"수정"</formula>
    </cfRule>
    <cfRule type="cellIs" dxfId="786" priority="1018" operator="equal">
      <formula>"신규"</formula>
    </cfRule>
  </conditionalFormatting>
  <conditionalFormatting sqref="AE108">
    <cfRule type="cellIs" dxfId="785" priority="987" operator="equal">
      <formula>"수정-신규"</formula>
    </cfRule>
  </conditionalFormatting>
  <conditionalFormatting sqref="AE108">
    <cfRule type="cellIs" dxfId="784" priority="988" operator="equal">
      <formula>"수정-신규"</formula>
    </cfRule>
    <cfRule type="cellIs" dxfId="783" priority="989" operator="equal">
      <formula>"수정"</formula>
    </cfRule>
    <cfRule type="cellIs" dxfId="782" priority="990" operator="equal">
      <formula>"신규"</formula>
    </cfRule>
  </conditionalFormatting>
  <conditionalFormatting sqref="AC100:AE100">
    <cfRule type="cellIs" dxfId="781" priority="1007" operator="equal">
      <formula>"수정-신규"</formula>
    </cfRule>
  </conditionalFormatting>
  <conditionalFormatting sqref="AC100:AE100">
    <cfRule type="cellIs" dxfId="780" priority="1008" operator="equal">
      <formula>"수정-신규"</formula>
    </cfRule>
    <cfRule type="cellIs" dxfId="779" priority="1009" operator="equal">
      <formula>"수정"</formula>
    </cfRule>
    <cfRule type="cellIs" dxfId="778" priority="1010" operator="equal">
      <formula>"신규"</formula>
    </cfRule>
  </conditionalFormatting>
  <conditionalFormatting sqref="AC71">
    <cfRule type="cellIs" dxfId="777" priority="991" operator="equal">
      <formula>"수정-신규"</formula>
    </cfRule>
  </conditionalFormatting>
  <conditionalFormatting sqref="AC71">
    <cfRule type="cellIs" dxfId="776" priority="992" operator="equal">
      <formula>"수정-신규"</formula>
    </cfRule>
    <cfRule type="cellIs" dxfId="775" priority="993" operator="equal">
      <formula>"수정"</formula>
    </cfRule>
    <cfRule type="cellIs" dxfId="774" priority="994" operator="equal">
      <formula>"신규"</formula>
    </cfRule>
  </conditionalFormatting>
  <conditionalFormatting sqref="AB107:AE107">
    <cfRule type="cellIs" dxfId="773" priority="1004" operator="equal">
      <formula>"수정-신규"</formula>
    </cfRule>
    <cfRule type="cellIs" dxfId="772" priority="1005" operator="equal">
      <formula>"수정"</formula>
    </cfRule>
    <cfRule type="cellIs" dxfId="771" priority="1006" operator="equal">
      <formula>"신규"</formula>
    </cfRule>
  </conditionalFormatting>
  <conditionalFormatting sqref="AB107:AE107">
    <cfRule type="cellIs" dxfId="770" priority="1003" operator="equal">
      <formula>"수정-신규"</formula>
    </cfRule>
  </conditionalFormatting>
  <conditionalFormatting sqref="V108">
    <cfRule type="cellIs" dxfId="769" priority="944" operator="equal">
      <formula>"수정-신규"</formula>
    </cfRule>
    <cfRule type="cellIs" dxfId="768" priority="945" operator="equal">
      <formula>"수정"</formula>
    </cfRule>
    <cfRule type="cellIs" dxfId="767" priority="946" operator="equal">
      <formula>"신규"</formula>
    </cfRule>
  </conditionalFormatting>
  <conditionalFormatting sqref="V108">
    <cfRule type="cellIs" dxfId="766" priority="943" operator="equal">
      <formula>"수정-신규"</formula>
    </cfRule>
  </conditionalFormatting>
  <conditionalFormatting sqref="AD108">
    <cfRule type="cellIs" dxfId="765" priority="984" operator="equal">
      <formula>"수정-신규"</formula>
    </cfRule>
    <cfRule type="cellIs" dxfId="764" priority="985" operator="equal">
      <formula>"수정"</formula>
    </cfRule>
    <cfRule type="cellIs" dxfId="763" priority="986" operator="equal">
      <formula>"신규"</formula>
    </cfRule>
  </conditionalFormatting>
  <conditionalFormatting sqref="V95">
    <cfRule type="cellIs" dxfId="762" priority="936" operator="equal">
      <formula>"수정-신규"</formula>
    </cfRule>
    <cfRule type="cellIs" dxfId="761" priority="937" operator="equal">
      <formula>"수정"</formula>
    </cfRule>
    <cfRule type="cellIs" dxfId="760" priority="938" operator="equal">
      <formula>"신규"</formula>
    </cfRule>
  </conditionalFormatting>
  <conditionalFormatting sqref="AD108">
    <cfRule type="cellIs" dxfId="759" priority="983" operator="equal">
      <formula>"수정-신규"</formula>
    </cfRule>
  </conditionalFormatting>
  <conditionalFormatting sqref="V95">
    <cfRule type="cellIs" dxfId="758" priority="935" operator="equal">
      <formula>"수정-신규"</formula>
    </cfRule>
  </conditionalFormatting>
  <conditionalFormatting sqref="AB108:AE108">
    <cfRule type="cellIs" dxfId="757" priority="980" operator="equal">
      <formula>"수정-신규"</formula>
    </cfRule>
    <cfRule type="cellIs" dxfId="756" priority="981" operator="equal">
      <formula>"수정"</formula>
    </cfRule>
    <cfRule type="cellIs" dxfId="755" priority="982" operator="equal">
      <formula>"신규"</formula>
    </cfRule>
  </conditionalFormatting>
  <conditionalFormatting sqref="AB108:AE108">
    <cfRule type="cellIs" dxfId="754" priority="979" operator="equal">
      <formula>"수정-신규"</formula>
    </cfRule>
  </conditionalFormatting>
  <conditionalFormatting sqref="AE112">
    <cfRule type="cellIs" dxfId="753" priority="976" operator="equal">
      <formula>"수정-신규"</formula>
    </cfRule>
    <cfRule type="cellIs" dxfId="752" priority="977" operator="equal">
      <formula>"수정"</formula>
    </cfRule>
    <cfRule type="cellIs" dxfId="751" priority="978" operator="equal">
      <formula>"신규"</formula>
    </cfRule>
  </conditionalFormatting>
  <conditionalFormatting sqref="AD112">
    <cfRule type="cellIs" dxfId="750" priority="972" operator="equal">
      <formula>"수정-신규"</formula>
    </cfRule>
    <cfRule type="cellIs" dxfId="749" priority="973" operator="equal">
      <formula>"수정"</formula>
    </cfRule>
    <cfRule type="cellIs" dxfId="748" priority="974" operator="equal">
      <formula>"신규"</formula>
    </cfRule>
  </conditionalFormatting>
  <conditionalFormatting sqref="AE112">
    <cfRule type="cellIs" dxfId="747" priority="975" operator="equal">
      <formula>"수정-신규"</formula>
    </cfRule>
  </conditionalFormatting>
  <conditionalFormatting sqref="AD112">
    <cfRule type="cellIs" dxfId="746" priority="971" operator="equal">
      <formula>"수정-신규"</formula>
    </cfRule>
  </conditionalFormatting>
  <conditionalFormatting sqref="AB112:AE112">
    <cfRule type="cellIs" dxfId="745" priority="968" operator="equal">
      <formula>"수정-신규"</formula>
    </cfRule>
    <cfRule type="cellIs" dxfId="744" priority="969" operator="equal">
      <formula>"수정"</formula>
    </cfRule>
    <cfRule type="cellIs" dxfId="743" priority="970" operator="equal">
      <formula>"신규"</formula>
    </cfRule>
  </conditionalFormatting>
  <conditionalFormatting sqref="AB112:AE112">
    <cfRule type="cellIs" dxfId="742" priority="967" operator="equal">
      <formula>"수정-신규"</formula>
    </cfRule>
  </conditionalFormatting>
  <conditionalFormatting sqref="V114">
    <cfRule type="cellIs" dxfId="741" priority="964" operator="equal">
      <formula>"수정-신규"</formula>
    </cfRule>
    <cfRule type="cellIs" dxfId="740" priority="965" operator="equal">
      <formula>"수정"</formula>
    </cfRule>
    <cfRule type="cellIs" dxfId="739" priority="966" operator="equal">
      <formula>"신규"</formula>
    </cfRule>
  </conditionalFormatting>
  <conditionalFormatting sqref="V114">
    <cfRule type="cellIs" dxfId="738" priority="963" operator="equal">
      <formula>"수정-신규"</formula>
    </cfRule>
  </conditionalFormatting>
  <conditionalFormatting sqref="V113">
    <cfRule type="cellIs" dxfId="737" priority="956" operator="equal">
      <formula>"수정-신규"</formula>
    </cfRule>
    <cfRule type="cellIs" dxfId="736" priority="957" operator="equal">
      <formula>"수정"</formula>
    </cfRule>
    <cfRule type="cellIs" dxfId="735" priority="958" operator="equal">
      <formula>"신규"</formula>
    </cfRule>
  </conditionalFormatting>
  <conditionalFormatting sqref="V113">
    <cfRule type="cellIs" dxfId="734" priority="955" operator="equal">
      <formula>"수정-신규"</formula>
    </cfRule>
  </conditionalFormatting>
  <conditionalFormatting sqref="V111">
    <cfRule type="cellIs" dxfId="733" priority="948" operator="equal">
      <formula>"수정-신규"</formula>
    </cfRule>
    <cfRule type="cellIs" dxfId="732" priority="949" operator="equal">
      <formula>"수정"</formula>
    </cfRule>
    <cfRule type="cellIs" dxfId="731" priority="950" operator="equal">
      <formula>"신규"</formula>
    </cfRule>
  </conditionalFormatting>
  <conditionalFormatting sqref="V111">
    <cfRule type="cellIs" dxfId="730" priority="947" operator="equal">
      <formula>"수정-신규"</formula>
    </cfRule>
  </conditionalFormatting>
  <conditionalFormatting sqref="V107">
    <cfRule type="cellIs" dxfId="729" priority="951" operator="equal">
      <formula>"수정-신규"</formula>
    </cfRule>
  </conditionalFormatting>
  <conditionalFormatting sqref="V107">
    <cfRule type="cellIs" dxfId="728" priority="952" operator="equal">
      <formula>"수정-신규"</formula>
    </cfRule>
    <cfRule type="cellIs" dxfId="727" priority="953" operator="equal">
      <formula>"수정"</formula>
    </cfRule>
    <cfRule type="cellIs" dxfId="726" priority="954" operator="equal">
      <formula>"신규"</formula>
    </cfRule>
  </conditionalFormatting>
  <conditionalFormatting sqref="V112">
    <cfRule type="cellIs" dxfId="725" priority="940" operator="equal">
      <formula>"수정-신규"</formula>
    </cfRule>
    <cfRule type="cellIs" dxfId="724" priority="941" operator="equal">
      <formula>"수정"</formula>
    </cfRule>
    <cfRule type="cellIs" dxfId="723" priority="942" operator="equal">
      <formula>"신규"</formula>
    </cfRule>
  </conditionalFormatting>
  <conditionalFormatting sqref="V112">
    <cfRule type="cellIs" dxfId="722" priority="939" operator="equal">
      <formula>"수정-신규"</formula>
    </cfRule>
  </conditionalFormatting>
  <conditionalFormatting sqref="V105:V106">
    <cfRule type="cellIs" dxfId="721" priority="932" operator="equal">
      <formula>"수정-신규"</formula>
    </cfRule>
    <cfRule type="cellIs" dxfId="720" priority="933" operator="equal">
      <formula>"수정"</formula>
    </cfRule>
    <cfRule type="cellIs" dxfId="719" priority="934" operator="equal">
      <formula>"신규"</formula>
    </cfRule>
  </conditionalFormatting>
  <conditionalFormatting sqref="V105:V106">
    <cfRule type="cellIs" dxfId="718" priority="931" operator="equal">
      <formula>"수정-신규"</formula>
    </cfRule>
  </conditionalFormatting>
  <conditionalFormatting sqref="V110">
    <cfRule type="cellIs" dxfId="717" priority="927" operator="equal">
      <formula>"수정-신규"</formula>
    </cfRule>
  </conditionalFormatting>
  <conditionalFormatting sqref="V110">
    <cfRule type="cellIs" dxfId="716" priority="928" operator="equal">
      <formula>"수정-신규"</formula>
    </cfRule>
    <cfRule type="cellIs" dxfId="715" priority="929" operator="equal">
      <formula>"수정"</formula>
    </cfRule>
    <cfRule type="cellIs" dxfId="714" priority="930" operator="equal">
      <formula>"신규"</formula>
    </cfRule>
  </conditionalFormatting>
  <conditionalFormatting sqref="AD102">
    <cfRule type="cellIs" dxfId="713" priority="896" operator="equal">
      <formula>"수정-신규"</formula>
    </cfRule>
    <cfRule type="cellIs" dxfId="712" priority="897" operator="equal">
      <formula>"수정"</formula>
    </cfRule>
    <cfRule type="cellIs" dxfId="711" priority="898" operator="equal">
      <formula>"신규"</formula>
    </cfRule>
  </conditionalFormatting>
  <conditionalFormatting sqref="AD102">
    <cfRule type="cellIs" dxfId="710" priority="895" operator="equal">
      <formula>"수정-신규"</formula>
    </cfRule>
  </conditionalFormatting>
  <conditionalFormatting sqref="V98">
    <cfRule type="cellIs" dxfId="709" priority="880" operator="equal">
      <formula>"수정-신규"</formula>
    </cfRule>
    <cfRule type="cellIs" dxfId="708" priority="881" operator="equal">
      <formula>"수정"</formula>
    </cfRule>
    <cfRule type="cellIs" dxfId="707" priority="882" operator="equal">
      <formula>"신규"</formula>
    </cfRule>
  </conditionalFormatting>
  <conditionalFormatting sqref="V98">
    <cfRule type="cellIs" dxfId="706" priority="879" operator="equal">
      <formula>"수정-신규"</formula>
    </cfRule>
  </conditionalFormatting>
  <conditionalFormatting sqref="AE102">
    <cfRule type="cellIs" dxfId="705" priority="900" operator="equal">
      <formula>"수정-신규"</formula>
    </cfRule>
    <cfRule type="cellIs" dxfId="704" priority="901" operator="equal">
      <formula>"수정"</formula>
    </cfRule>
    <cfRule type="cellIs" dxfId="703" priority="902" operator="equal">
      <formula>"신규"</formula>
    </cfRule>
  </conditionalFormatting>
  <conditionalFormatting sqref="AE102">
    <cfRule type="cellIs" dxfId="702" priority="899" operator="equal">
      <formula>"수정-신규"</formula>
    </cfRule>
  </conditionalFormatting>
  <conditionalFormatting sqref="AB96:AE96">
    <cfRule type="cellIs" dxfId="701" priority="884" operator="equal">
      <formula>"수정-신규"</formula>
    </cfRule>
    <cfRule type="cellIs" dxfId="700" priority="885" operator="equal">
      <formula>"수정"</formula>
    </cfRule>
    <cfRule type="cellIs" dxfId="699" priority="886" operator="equal">
      <formula>"신규"</formula>
    </cfRule>
  </conditionalFormatting>
  <conditionalFormatting sqref="AB96:AE96">
    <cfRule type="cellIs" dxfId="698" priority="883" operator="equal">
      <formula>"수정-신규"</formula>
    </cfRule>
  </conditionalFormatting>
  <conditionalFormatting sqref="AB96:AE96">
    <cfRule type="cellIs" dxfId="697" priority="888" operator="equal">
      <formula>"수정-신규"</formula>
    </cfRule>
    <cfRule type="cellIs" dxfId="696" priority="889" operator="equal">
      <formula>"수정"</formula>
    </cfRule>
    <cfRule type="cellIs" dxfId="695" priority="890" operator="equal">
      <formula>"신규"</formula>
    </cfRule>
  </conditionalFormatting>
  <conditionalFormatting sqref="AB96:AE96">
    <cfRule type="cellIs" dxfId="694" priority="887" operator="equal">
      <formula>"수정-신규"</formula>
    </cfRule>
  </conditionalFormatting>
  <conditionalFormatting sqref="AB97:AE97">
    <cfRule type="cellIs" dxfId="693" priority="856" operator="equal">
      <formula>"수정-신규"</formula>
    </cfRule>
    <cfRule type="cellIs" dxfId="692" priority="857" operator="equal">
      <formula>"수정"</formula>
    </cfRule>
    <cfRule type="cellIs" dxfId="691" priority="858" operator="equal">
      <formula>"신규"</formula>
    </cfRule>
  </conditionalFormatting>
  <conditionalFormatting sqref="AB97:AE97">
    <cfRule type="cellIs" dxfId="690" priority="855" operator="equal">
      <formula>"수정-신규"</formula>
    </cfRule>
  </conditionalFormatting>
  <conditionalFormatting sqref="AB102:AE102">
    <cfRule type="cellIs" dxfId="689" priority="892" operator="equal">
      <formula>"수정-신규"</formula>
    </cfRule>
    <cfRule type="cellIs" dxfId="688" priority="893" operator="equal">
      <formula>"수정"</formula>
    </cfRule>
    <cfRule type="cellIs" dxfId="687" priority="894" operator="equal">
      <formula>"신규"</formula>
    </cfRule>
  </conditionalFormatting>
  <conditionalFormatting sqref="AB102:AE102">
    <cfRule type="cellIs" dxfId="686" priority="891" operator="equal">
      <formula>"수정-신규"</formula>
    </cfRule>
  </conditionalFormatting>
  <conditionalFormatting sqref="V96">
    <cfRule type="cellIs" dxfId="685" priority="876" operator="equal">
      <formula>"수정-신규"</formula>
    </cfRule>
    <cfRule type="cellIs" dxfId="684" priority="877" operator="equal">
      <formula>"수정"</formula>
    </cfRule>
    <cfRule type="cellIs" dxfId="683" priority="878" operator="equal">
      <formula>"신규"</formula>
    </cfRule>
  </conditionalFormatting>
  <conditionalFormatting sqref="V96">
    <cfRule type="cellIs" dxfId="682" priority="875" operator="equal">
      <formula>"수정-신규"</formula>
    </cfRule>
  </conditionalFormatting>
  <conditionalFormatting sqref="AD103">
    <cfRule type="cellIs" dxfId="681" priority="867" operator="equal">
      <formula>"수정-신규"</formula>
    </cfRule>
  </conditionalFormatting>
  <conditionalFormatting sqref="AD103">
    <cfRule type="cellIs" dxfId="680" priority="868" operator="equal">
      <formula>"수정-신규"</formula>
    </cfRule>
    <cfRule type="cellIs" dxfId="679" priority="869" operator="equal">
      <formula>"수정"</formula>
    </cfRule>
    <cfRule type="cellIs" dxfId="678" priority="870" operator="equal">
      <formula>"신규"</formula>
    </cfRule>
  </conditionalFormatting>
  <conditionalFormatting sqref="AE103">
    <cfRule type="cellIs" dxfId="677" priority="871" operator="equal">
      <formula>"수정-신규"</formula>
    </cfRule>
  </conditionalFormatting>
  <conditionalFormatting sqref="AE103">
    <cfRule type="cellIs" dxfId="676" priority="872" operator="equal">
      <formula>"수정-신규"</formula>
    </cfRule>
    <cfRule type="cellIs" dxfId="675" priority="873" operator="equal">
      <formula>"수정"</formula>
    </cfRule>
    <cfRule type="cellIs" dxfId="674" priority="874" operator="equal">
      <formula>"신규"</formula>
    </cfRule>
  </conditionalFormatting>
  <conditionalFormatting sqref="V97">
    <cfRule type="cellIs" dxfId="673" priority="852" operator="equal">
      <formula>"수정-신규"</formula>
    </cfRule>
    <cfRule type="cellIs" dxfId="672" priority="853" operator="equal">
      <formula>"수정"</formula>
    </cfRule>
    <cfRule type="cellIs" dxfId="671" priority="854" operator="equal">
      <formula>"신규"</formula>
    </cfRule>
  </conditionalFormatting>
  <conditionalFormatting sqref="V97">
    <cfRule type="cellIs" dxfId="670" priority="851" operator="equal">
      <formula>"수정-신규"</formula>
    </cfRule>
  </conditionalFormatting>
  <conditionalFormatting sqref="AB103:AE103">
    <cfRule type="cellIs" dxfId="669" priority="863" operator="equal">
      <formula>"수정-신규"</formula>
    </cfRule>
  </conditionalFormatting>
  <conditionalFormatting sqref="AB103:AE103">
    <cfRule type="cellIs" dxfId="668" priority="864" operator="equal">
      <formula>"수정-신규"</formula>
    </cfRule>
    <cfRule type="cellIs" dxfId="667" priority="865" operator="equal">
      <formula>"수정"</formula>
    </cfRule>
    <cfRule type="cellIs" dxfId="666" priority="866" operator="equal">
      <formula>"신규"</formula>
    </cfRule>
  </conditionalFormatting>
  <conditionalFormatting sqref="AD101">
    <cfRule type="cellIs" dxfId="665" priority="844" operator="equal">
      <formula>"수정-신규"</formula>
    </cfRule>
    <cfRule type="cellIs" dxfId="664" priority="845" operator="equal">
      <formula>"수정"</formula>
    </cfRule>
    <cfRule type="cellIs" dxfId="663" priority="846" operator="equal">
      <formula>"신규"</formula>
    </cfRule>
  </conditionalFormatting>
  <conditionalFormatting sqref="AD101">
    <cfRule type="cellIs" dxfId="662" priority="843" operator="equal">
      <formula>"수정-신규"</formula>
    </cfRule>
  </conditionalFormatting>
  <conditionalFormatting sqref="AB97:AE97">
    <cfRule type="cellIs" dxfId="661" priority="859" operator="equal">
      <formula>"수정-신규"</formula>
    </cfRule>
  </conditionalFormatting>
  <conditionalFormatting sqref="AB97:AE97">
    <cfRule type="cellIs" dxfId="660" priority="860" operator="equal">
      <formula>"수정-신규"</formula>
    </cfRule>
    <cfRule type="cellIs" dxfId="659" priority="861" operator="equal">
      <formula>"수정"</formula>
    </cfRule>
    <cfRule type="cellIs" dxfId="658" priority="862" operator="equal">
      <formula>"신규"</formula>
    </cfRule>
  </conditionalFormatting>
  <conditionalFormatting sqref="AE101">
    <cfRule type="cellIs" dxfId="657" priority="848" operator="equal">
      <formula>"수정-신규"</formula>
    </cfRule>
    <cfRule type="cellIs" dxfId="656" priority="849" operator="equal">
      <formula>"수정"</formula>
    </cfRule>
    <cfRule type="cellIs" dxfId="655" priority="850" operator="equal">
      <formula>"신규"</formula>
    </cfRule>
  </conditionalFormatting>
  <conditionalFormatting sqref="AE101">
    <cfRule type="cellIs" dxfId="654" priority="847" operator="equal">
      <formula>"수정-신규"</formula>
    </cfRule>
  </conditionalFormatting>
  <conditionalFormatting sqref="AC101:AE101">
    <cfRule type="cellIs" dxfId="653" priority="839" operator="equal">
      <formula>"수정-신규"</formula>
    </cfRule>
  </conditionalFormatting>
  <conditionalFormatting sqref="AC101:AE101">
    <cfRule type="cellIs" dxfId="652" priority="840" operator="equal">
      <formula>"수정-신규"</formula>
    </cfRule>
    <cfRule type="cellIs" dxfId="651" priority="841" operator="equal">
      <formula>"수정"</formula>
    </cfRule>
    <cfRule type="cellIs" dxfId="650" priority="842" operator="equal">
      <formula>"신규"</formula>
    </cfRule>
  </conditionalFormatting>
  <conditionalFormatting sqref="AC101:AE101">
    <cfRule type="cellIs" dxfId="649" priority="835" operator="equal">
      <formula>"수정-신규"</formula>
    </cfRule>
  </conditionalFormatting>
  <conditionalFormatting sqref="AC101:AE101">
    <cfRule type="cellIs" dxfId="648" priority="836" operator="equal">
      <formula>"수정-신규"</formula>
    </cfRule>
    <cfRule type="cellIs" dxfId="647" priority="837" operator="equal">
      <formula>"수정"</formula>
    </cfRule>
    <cfRule type="cellIs" dxfId="646" priority="838" operator="equal">
      <formula>"신규"</formula>
    </cfRule>
  </conditionalFormatting>
  <conditionalFormatting sqref="AD71:AE71">
    <cfRule type="cellIs" dxfId="645" priority="823" operator="equal">
      <formula>"수정-신규"</formula>
    </cfRule>
  </conditionalFormatting>
  <conditionalFormatting sqref="AD71:AE71">
    <cfRule type="cellIs" dxfId="644" priority="824" operator="equal">
      <formula>"수정-신규"</formula>
    </cfRule>
    <cfRule type="cellIs" dxfId="643" priority="825" operator="equal">
      <formula>"수정"</formula>
    </cfRule>
    <cfRule type="cellIs" dxfId="642" priority="826" operator="equal">
      <formula>"신규"</formula>
    </cfRule>
  </conditionalFormatting>
  <conditionalFormatting sqref="AD71:AE71">
    <cfRule type="cellIs" dxfId="641" priority="819" operator="equal">
      <formula>"수정-신규"</formula>
    </cfRule>
  </conditionalFormatting>
  <conditionalFormatting sqref="AD71:AE71">
    <cfRule type="cellIs" dxfId="640" priority="820" operator="equal">
      <formula>"수정-신규"</formula>
    </cfRule>
    <cfRule type="cellIs" dxfId="639" priority="821" operator="equal">
      <formula>"수정"</formula>
    </cfRule>
    <cfRule type="cellIs" dxfId="638" priority="822" operator="equal">
      <formula>"신규"</formula>
    </cfRule>
  </conditionalFormatting>
  <conditionalFormatting sqref="AD104">
    <cfRule type="cellIs" dxfId="637" priority="734" operator="equal">
      <formula>"수정-신규"</formula>
    </cfRule>
    <cfRule type="cellIs" dxfId="636" priority="735" operator="equal">
      <formula>"수정"</formula>
    </cfRule>
    <cfRule type="cellIs" dxfId="635" priority="736" operator="equal">
      <formula>"신규"</formula>
    </cfRule>
  </conditionalFormatting>
  <conditionalFormatting sqref="AD104">
    <cfRule type="cellIs" dxfId="634" priority="733" operator="equal">
      <formula>"수정-신규"</formula>
    </cfRule>
  </conditionalFormatting>
  <conditionalFormatting sqref="AB104:AE104">
    <cfRule type="cellIs" dxfId="633" priority="730" operator="equal">
      <formula>"수정-신규"</formula>
    </cfRule>
    <cfRule type="cellIs" dxfId="632" priority="731" operator="equal">
      <formula>"수정"</formula>
    </cfRule>
    <cfRule type="cellIs" dxfId="631" priority="732" operator="equal">
      <formula>"신규"</formula>
    </cfRule>
  </conditionalFormatting>
  <conditionalFormatting sqref="AB104:AE104">
    <cfRule type="cellIs" dxfId="630" priority="729" operator="equal">
      <formula>"수정-신규"</formula>
    </cfRule>
  </conditionalFormatting>
  <conditionalFormatting sqref="AE104">
    <cfRule type="cellIs" dxfId="629" priority="738" operator="equal">
      <formula>"수정-신규"</formula>
    </cfRule>
    <cfRule type="cellIs" dxfId="628" priority="739" operator="equal">
      <formula>"수정"</formula>
    </cfRule>
    <cfRule type="cellIs" dxfId="627" priority="740" operator="equal">
      <formula>"신규"</formula>
    </cfRule>
  </conditionalFormatting>
  <conditionalFormatting sqref="AD109">
    <cfRule type="cellIs" dxfId="626" priority="722" operator="equal">
      <formula>"수정-신규"</formula>
    </cfRule>
    <cfRule type="cellIs" dxfId="625" priority="723" operator="equal">
      <formula>"수정"</formula>
    </cfRule>
    <cfRule type="cellIs" dxfId="624" priority="724" operator="equal">
      <formula>"신규"</formula>
    </cfRule>
  </conditionalFormatting>
  <conditionalFormatting sqref="AE104">
    <cfRule type="cellIs" dxfId="623" priority="737" operator="equal">
      <formula>"수정-신규"</formula>
    </cfRule>
  </conditionalFormatting>
  <conditionalFormatting sqref="AD109">
    <cfRule type="cellIs" dxfId="622" priority="721" operator="equal">
      <formula>"수정-신규"</formula>
    </cfRule>
  </conditionalFormatting>
  <conditionalFormatting sqref="AB109:AE109">
    <cfRule type="cellIs" dxfId="621" priority="718" operator="equal">
      <formula>"수정-신규"</formula>
    </cfRule>
    <cfRule type="cellIs" dxfId="620" priority="719" operator="equal">
      <formula>"수정"</formula>
    </cfRule>
    <cfRule type="cellIs" dxfId="619" priority="720" operator="equal">
      <formula>"신규"</formula>
    </cfRule>
  </conditionalFormatting>
  <conditionalFormatting sqref="AB109:AE109">
    <cfRule type="cellIs" dxfId="618" priority="717" operator="equal">
      <formula>"수정-신규"</formula>
    </cfRule>
  </conditionalFormatting>
  <conditionalFormatting sqref="AE109">
    <cfRule type="cellIs" dxfId="617" priority="726" operator="equal">
      <formula>"수정-신규"</formula>
    </cfRule>
    <cfRule type="cellIs" dxfId="616" priority="727" operator="equal">
      <formula>"수정"</formula>
    </cfRule>
    <cfRule type="cellIs" dxfId="615" priority="728" operator="equal">
      <formula>"신규"</formula>
    </cfRule>
  </conditionalFormatting>
  <conditionalFormatting sqref="V86">
    <cfRule type="cellIs" dxfId="614" priority="698" operator="equal">
      <formula>"수정-신규"</formula>
    </cfRule>
    <cfRule type="cellIs" dxfId="613" priority="699" operator="equal">
      <formula>"수정"</formula>
    </cfRule>
    <cfRule type="cellIs" dxfId="612" priority="700" operator="equal">
      <formula>"신규"</formula>
    </cfRule>
  </conditionalFormatting>
  <conditionalFormatting sqref="AE109">
    <cfRule type="cellIs" dxfId="611" priority="725" operator="equal">
      <formula>"수정-신규"</formula>
    </cfRule>
  </conditionalFormatting>
  <conditionalFormatting sqref="V86">
    <cfRule type="cellIs" dxfId="610" priority="697" operator="equal">
      <formula>"수정-신규"</formula>
    </cfRule>
  </conditionalFormatting>
  <conditionalFormatting sqref="AB62:AE63">
    <cfRule type="cellIs" dxfId="609" priority="638" operator="equal">
      <formula>"수정-신규"</formula>
    </cfRule>
    <cfRule type="cellIs" dxfId="608" priority="639" operator="equal">
      <formula>"수정"</formula>
    </cfRule>
    <cfRule type="cellIs" dxfId="607" priority="640" operator="equal">
      <formula>"신규"</formula>
    </cfRule>
  </conditionalFormatting>
  <conditionalFormatting sqref="AB62:AE63">
    <cfRule type="cellIs" dxfId="606" priority="637" operator="equal">
      <formula>"수정-신규"</formula>
    </cfRule>
  </conditionalFormatting>
  <conditionalFormatting sqref="V109">
    <cfRule type="cellIs" dxfId="605" priority="714" operator="equal">
      <formula>"수정-신규"</formula>
    </cfRule>
    <cfRule type="cellIs" dxfId="604" priority="715" operator="equal">
      <formula>"수정"</formula>
    </cfRule>
    <cfRule type="cellIs" dxfId="603" priority="716" operator="equal">
      <formula>"신규"</formula>
    </cfRule>
  </conditionalFormatting>
  <conditionalFormatting sqref="V109">
    <cfRule type="cellIs" dxfId="602" priority="713" operator="equal">
      <formula>"수정-신규"</formula>
    </cfRule>
  </conditionalFormatting>
  <conditionalFormatting sqref="AE86">
    <cfRule type="cellIs" dxfId="601" priority="710" operator="equal">
      <formula>"수정-신규"</formula>
    </cfRule>
    <cfRule type="cellIs" dxfId="600" priority="711" operator="equal">
      <formula>"수정"</formula>
    </cfRule>
    <cfRule type="cellIs" dxfId="599" priority="712" operator="equal">
      <formula>"신규"</formula>
    </cfRule>
  </conditionalFormatting>
  <conditionalFormatting sqref="AD86">
    <cfRule type="cellIs" dxfId="598" priority="706" operator="equal">
      <formula>"수정-신규"</formula>
    </cfRule>
    <cfRule type="cellIs" dxfId="597" priority="707" operator="equal">
      <formula>"수정"</formula>
    </cfRule>
    <cfRule type="cellIs" dxfId="596" priority="708" operator="equal">
      <formula>"신규"</formula>
    </cfRule>
  </conditionalFormatting>
  <conditionalFormatting sqref="AE86">
    <cfRule type="cellIs" dxfId="595" priority="709" operator="equal">
      <formula>"수정-신규"</formula>
    </cfRule>
  </conditionalFormatting>
  <conditionalFormatting sqref="AD86">
    <cfRule type="cellIs" dxfId="594" priority="705" operator="equal">
      <formula>"수정-신규"</formula>
    </cfRule>
  </conditionalFormatting>
  <conditionalFormatting sqref="AB86:AE86">
    <cfRule type="cellIs" dxfId="593" priority="702" operator="equal">
      <formula>"수정-신규"</formula>
    </cfRule>
    <cfRule type="cellIs" dxfId="592" priority="703" operator="equal">
      <formula>"수정"</formula>
    </cfRule>
    <cfRule type="cellIs" dxfId="591" priority="704" operator="equal">
      <formula>"신규"</formula>
    </cfRule>
  </conditionalFormatting>
  <conditionalFormatting sqref="AB86:AE86">
    <cfRule type="cellIs" dxfId="590" priority="701" operator="equal">
      <formula>"수정-신규"</formula>
    </cfRule>
  </conditionalFormatting>
  <conditionalFormatting sqref="V62:V63">
    <cfRule type="cellIs" dxfId="589" priority="630" operator="equal">
      <formula>"수정-신규"</formula>
    </cfRule>
    <cfRule type="cellIs" dxfId="588" priority="631" operator="equal">
      <formula>"수정"</formula>
    </cfRule>
    <cfRule type="cellIs" dxfId="587" priority="632" operator="equal">
      <formula>"신규"</formula>
    </cfRule>
  </conditionalFormatting>
  <conditionalFormatting sqref="V62:V63">
    <cfRule type="cellIs" dxfId="586" priority="629" operator="equal">
      <formula>"수정-신규"</formula>
    </cfRule>
  </conditionalFormatting>
  <conditionalFormatting sqref="AB93:AE93">
    <cfRule type="cellIs" dxfId="585" priority="670" operator="equal">
      <formula>"수정-신규"</formula>
    </cfRule>
    <cfRule type="cellIs" dxfId="584" priority="671" operator="equal">
      <formula>"수정"</formula>
    </cfRule>
    <cfRule type="cellIs" dxfId="583" priority="672" operator="equal">
      <formula>"신규"</formula>
    </cfRule>
  </conditionalFormatting>
  <conditionalFormatting sqref="AE93">
    <cfRule type="cellIs" dxfId="582" priority="678" operator="equal">
      <formula>"수정-신규"</formula>
    </cfRule>
    <cfRule type="cellIs" dxfId="581" priority="679" operator="equal">
      <formula>"수정"</formula>
    </cfRule>
    <cfRule type="cellIs" dxfId="580" priority="680" operator="equal">
      <formula>"신규"</formula>
    </cfRule>
  </conditionalFormatting>
  <conditionalFormatting sqref="AB93:AE93">
    <cfRule type="cellIs" dxfId="579" priority="669" operator="equal">
      <formula>"수정-신규"</formula>
    </cfRule>
  </conditionalFormatting>
  <conditionalFormatting sqref="AE93">
    <cfRule type="cellIs" dxfId="578" priority="677" operator="equal">
      <formula>"수정-신규"</formula>
    </cfRule>
  </conditionalFormatting>
  <conditionalFormatting sqref="AD93">
    <cfRule type="cellIs" dxfId="577" priority="674" operator="equal">
      <formula>"수정-신규"</formula>
    </cfRule>
    <cfRule type="cellIs" dxfId="576" priority="675" operator="equal">
      <formula>"수정"</formula>
    </cfRule>
    <cfRule type="cellIs" dxfId="575" priority="676" operator="equal">
      <formula>"신규"</formula>
    </cfRule>
  </conditionalFormatting>
  <conditionalFormatting sqref="AD93">
    <cfRule type="cellIs" dxfId="574" priority="673" operator="equal">
      <formula>"수정-신규"</formula>
    </cfRule>
  </conditionalFormatting>
  <conditionalFormatting sqref="V65:V71">
    <cfRule type="cellIs" dxfId="573" priority="578" operator="equal">
      <formula>"수정-신규"</formula>
    </cfRule>
    <cfRule type="cellIs" dxfId="572" priority="579" operator="equal">
      <formula>"수정"</formula>
    </cfRule>
    <cfRule type="cellIs" dxfId="571" priority="580" operator="equal">
      <formula>"신규"</formula>
    </cfRule>
  </conditionalFormatting>
  <conditionalFormatting sqref="V65:V71">
    <cfRule type="cellIs" dxfId="570" priority="577" operator="equal">
      <formula>"수정-신규"</formula>
    </cfRule>
  </conditionalFormatting>
  <conditionalFormatting sqref="V93">
    <cfRule type="cellIs" dxfId="569" priority="666" operator="equal">
      <formula>"수정-신규"</formula>
    </cfRule>
    <cfRule type="cellIs" dxfId="568" priority="667" operator="equal">
      <formula>"수정"</formula>
    </cfRule>
    <cfRule type="cellIs" dxfId="567" priority="668" operator="equal">
      <formula>"신규"</formula>
    </cfRule>
  </conditionalFormatting>
  <conditionalFormatting sqref="AB63:AE63">
    <cfRule type="cellIs" dxfId="566" priority="662" operator="equal">
      <formula>"수정-신규"</formula>
    </cfRule>
    <cfRule type="cellIs" dxfId="565" priority="663" operator="equal">
      <formula>"수정"</formula>
    </cfRule>
    <cfRule type="cellIs" dxfId="564" priority="664" operator="equal">
      <formula>"신규"</formula>
    </cfRule>
  </conditionalFormatting>
  <conditionalFormatting sqref="V93">
    <cfRule type="cellIs" dxfId="563" priority="665" operator="equal">
      <formula>"수정-신규"</formula>
    </cfRule>
  </conditionalFormatting>
  <conditionalFormatting sqref="AB63:AE63">
    <cfRule type="cellIs" dxfId="562" priority="661" operator="equal">
      <formula>"수정-신규"</formula>
    </cfRule>
  </conditionalFormatting>
  <conditionalFormatting sqref="AB63:AE63">
    <cfRule type="cellIs" dxfId="561" priority="658" operator="equal">
      <formula>"수정-신규"</formula>
    </cfRule>
    <cfRule type="cellIs" dxfId="560" priority="659" operator="equal">
      <formula>"수정"</formula>
    </cfRule>
    <cfRule type="cellIs" dxfId="559" priority="660" operator="equal">
      <formula>"신규"</formula>
    </cfRule>
  </conditionalFormatting>
  <conditionalFormatting sqref="AB63:AE63">
    <cfRule type="cellIs" dxfId="558" priority="657" operator="equal">
      <formula>"수정-신규"</formula>
    </cfRule>
  </conditionalFormatting>
  <conditionalFormatting sqref="AC67">
    <cfRule type="cellIs" dxfId="557" priority="625" operator="equal">
      <formula>"수정-신규"</formula>
    </cfRule>
  </conditionalFormatting>
  <conditionalFormatting sqref="AC67">
    <cfRule type="cellIs" dxfId="556" priority="626" operator="equal">
      <formula>"수정-신규"</formula>
    </cfRule>
    <cfRule type="cellIs" dxfId="555" priority="627" operator="equal">
      <formula>"수정"</formula>
    </cfRule>
    <cfRule type="cellIs" dxfId="554" priority="628" operator="equal">
      <formula>"신규"</formula>
    </cfRule>
  </conditionalFormatting>
  <conditionalFormatting sqref="AB62:AE63">
    <cfRule type="cellIs" dxfId="553" priority="633" operator="equal">
      <formula>"수정-신규"</formula>
    </cfRule>
  </conditionalFormatting>
  <conditionalFormatting sqref="AB62:AE63">
    <cfRule type="cellIs" dxfId="552" priority="634" operator="equal">
      <formula>"수정-신규"</formula>
    </cfRule>
    <cfRule type="cellIs" dxfId="551" priority="635" operator="equal">
      <formula>"수정"</formula>
    </cfRule>
    <cfRule type="cellIs" dxfId="550" priority="636" operator="equal">
      <formula>"신규"</formula>
    </cfRule>
  </conditionalFormatting>
  <conditionalFormatting sqref="V63">
    <cfRule type="cellIs" dxfId="549" priority="653" operator="equal">
      <formula>"수정-신규"</formula>
    </cfRule>
  </conditionalFormatting>
  <conditionalFormatting sqref="V63">
    <cfRule type="cellIs" dxfId="548" priority="654" operator="equal">
      <formula>"수정-신규"</formula>
    </cfRule>
    <cfRule type="cellIs" dxfId="547" priority="655" operator="equal">
      <formula>"수정"</formula>
    </cfRule>
    <cfRule type="cellIs" dxfId="546" priority="656" operator="equal">
      <formula>"신규"</formula>
    </cfRule>
  </conditionalFormatting>
  <conditionalFormatting sqref="AB76:AE76">
    <cfRule type="cellIs" dxfId="545" priority="593" operator="equal">
      <formula>"수정-신규"</formula>
    </cfRule>
  </conditionalFormatting>
  <conditionalFormatting sqref="AB76:AE76">
    <cfRule type="cellIs" dxfId="544" priority="594" operator="equal">
      <formula>"수정-신규"</formula>
    </cfRule>
    <cfRule type="cellIs" dxfId="543" priority="595" operator="equal">
      <formula>"수정"</formula>
    </cfRule>
    <cfRule type="cellIs" dxfId="542" priority="596" operator="equal">
      <formula>"신규"</formula>
    </cfRule>
  </conditionalFormatting>
  <conditionalFormatting sqref="V65:V71">
    <cfRule type="cellIs" dxfId="541" priority="581" operator="equal">
      <formula>"수정-신규"</formula>
    </cfRule>
  </conditionalFormatting>
  <conditionalFormatting sqref="V65:V71">
    <cfRule type="cellIs" dxfId="540" priority="582" operator="equal">
      <formula>"수정-신규"</formula>
    </cfRule>
    <cfRule type="cellIs" dxfId="539" priority="583" operator="equal">
      <formula>"수정"</formula>
    </cfRule>
    <cfRule type="cellIs" dxfId="538" priority="584" operator="equal">
      <formula>"신규"</formula>
    </cfRule>
  </conditionalFormatting>
  <conditionalFormatting sqref="AC67">
    <cfRule type="cellIs" dxfId="537" priority="622" operator="equal">
      <formula>"수정-신규"</formula>
    </cfRule>
    <cfRule type="cellIs" dxfId="536" priority="623" operator="equal">
      <formula>"수정"</formula>
    </cfRule>
    <cfRule type="cellIs" dxfId="535" priority="624" operator="equal">
      <formula>"신규"</formula>
    </cfRule>
  </conditionalFormatting>
  <conditionalFormatting sqref="AC67">
    <cfRule type="cellIs" dxfId="534" priority="621" operator="equal">
      <formula>"수정-신규"</formula>
    </cfRule>
  </conditionalFormatting>
  <conditionalFormatting sqref="AD67:AE67">
    <cfRule type="cellIs" dxfId="533" priority="609" operator="equal">
      <formula>"수정-신규"</formula>
    </cfRule>
  </conditionalFormatting>
  <conditionalFormatting sqref="AD67:AE67">
    <cfRule type="cellIs" dxfId="532" priority="610" operator="equal">
      <formula>"수정-신규"</formula>
    </cfRule>
    <cfRule type="cellIs" dxfId="531" priority="611" operator="equal">
      <formula>"수정"</formula>
    </cfRule>
    <cfRule type="cellIs" dxfId="530" priority="612" operator="equal">
      <formula>"신규"</formula>
    </cfRule>
  </conditionalFormatting>
  <conditionalFormatting sqref="AD67:AE67">
    <cfRule type="cellIs" dxfId="529" priority="605" operator="equal">
      <formula>"수정-신규"</formula>
    </cfRule>
  </conditionalFormatting>
  <conditionalFormatting sqref="AD67:AE67">
    <cfRule type="cellIs" dxfId="528" priority="606" operator="equal">
      <formula>"수정-신규"</formula>
    </cfRule>
    <cfRule type="cellIs" dxfId="527" priority="607" operator="equal">
      <formula>"수정"</formula>
    </cfRule>
    <cfRule type="cellIs" dxfId="526" priority="608" operator="equal">
      <formula>"신규"</formula>
    </cfRule>
  </conditionalFormatting>
  <conditionalFormatting sqref="AE76">
    <cfRule type="cellIs" dxfId="525" priority="602" operator="equal">
      <formula>"수정-신규"</formula>
    </cfRule>
    <cfRule type="cellIs" dxfId="524" priority="603" operator="equal">
      <formula>"수정"</formula>
    </cfRule>
    <cfRule type="cellIs" dxfId="523" priority="604" operator="equal">
      <formula>"신규"</formula>
    </cfRule>
  </conditionalFormatting>
  <conditionalFormatting sqref="AD76">
    <cfRule type="cellIs" dxfId="522" priority="598" operator="equal">
      <formula>"수정-신규"</formula>
    </cfRule>
    <cfRule type="cellIs" dxfId="521" priority="599" operator="equal">
      <formula>"수정"</formula>
    </cfRule>
    <cfRule type="cellIs" dxfId="520" priority="600" operator="equal">
      <formula>"신규"</formula>
    </cfRule>
  </conditionalFormatting>
  <conditionalFormatting sqref="AE76">
    <cfRule type="cellIs" dxfId="519" priority="601" operator="equal">
      <formula>"수정-신규"</formula>
    </cfRule>
  </conditionalFormatting>
  <conditionalFormatting sqref="AD76">
    <cfRule type="cellIs" dxfId="518" priority="597" operator="equal">
      <formula>"수정-신규"</formula>
    </cfRule>
  </conditionalFormatting>
  <conditionalFormatting sqref="V46">
    <cfRule type="cellIs" dxfId="517" priority="554" operator="equal">
      <formula>"수정-신규"</formula>
    </cfRule>
    <cfRule type="cellIs" dxfId="516" priority="555" operator="equal">
      <formula>"수정"</formula>
    </cfRule>
    <cfRule type="cellIs" dxfId="515" priority="556" operator="equal">
      <formula>"신규"</formula>
    </cfRule>
  </conditionalFormatting>
  <conditionalFormatting sqref="V46">
    <cfRule type="cellIs" dxfId="514" priority="553" operator="equal">
      <formula>"수정-신규"</formula>
    </cfRule>
  </conditionalFormatting>
  <conditionalFormatting sqref="V39">
    <cfRule type="cellIs" dxfId="513" priority="550" operator="equal">
      <formula>"수정-신규"</formula>
    </cfRule>
    <cfRule type="cellIs" dxfId="512" priority="551" operator="equal">
      <formula>"수정"</formula>
    </cfRule>
    <cfRule type="cellIs" dxfId="511" priority="552" operator="equal">
      <formula>"신규"</formula>
    </cfRule>
  </conditionalFormatting>
  <conditionalFormatting sqref="V39">
    <cfRule type="cellIs" dxfId="510" priority="549" operator="equal">
      <formula>"수정-신규"</formula>
    </cfRule>
  </conditionalFormatting>
  <conditionalFormatting sqref="V88:V93">
    <cfRule type="cellIs" dxfId="509" priority="566" operator="equal">
      <formula>"수정-신규"</formula>
    </cfRule>
    <cfRule type="cellIs" dxfId="508" priority="567" operator="equal">
      <formula>"수정"</formula>
    </cfRule>
    <cfRule type="cellIs" dxfId="507" priority="568" operator="equal">
      <formula>"신규"</formula>
    </cfRule>
  </conditionalFormatting>
  <conditionalFormatting sqref="V88:V93">
    <cfRule type="cellIs" dxfId="506" priority="565" operator="equal">
      <formula>"수정-신규"</formula>
    </cfRule>
  </conditionalFormatting>
  <conditionalFormatting sqref="V53:V54">
    <cfRule type="cellIs" dxfId="505" priority="562" operator="equal">
      <formula>"수정-신규"</formula>
    </cfRule>
    <cfRule type="cellIs" dxfId="504" priority="563" operator="equal">
      <formula>"수정"</formula>
    </cfRule>
    <cfRule type="cellIs" dxfId="503" priority="564" operator="equal">
      <formula>"신규"</formula>
    </cfRule>
  </conditionalFormatting>
  <conditionalFormatting sqref="V53:V54">
    <cfRule type="cellIs" dxfId="502" priority="561" operator="equal">
      <formula>"수정-신규"</formula>
    </cfRule>
  </conditionalFormatting>
  <conditionalFormatting sqref="V51">
    <cfRule type="cellIs" dxfId="501" priority="558" operator="equal">
      <formula>"수정-신규"</formula>
    </cfRule>
    <cfRule type="cellIs" dxfId="500" priority="559" operator="equal">
      <formula>"수정"</formula>
    </cfRule>
    <cfRule type="cellIs" dxfId="499" priority="560" operator="equal">
      <formula>"신규"</formula>
    </cfRule>
  </conditionalFormatting>
  <conditionalFormatting sqref="V51">
    <cfRule type="cellIs" dxfId="498" priority="557" operator="equal">
      <formula>"수정-신규"</formula>
    </cfRule>
  </conditionalFormatting>
  <conditionalFormatting sqref="AD78">
    <cfRule type="cellIs" dxfId="497" priority="541" operator="equal">
      <formula>"수정-신규"</formula>
    </cfRule>
  </conditionalFormatting>
  <conditionalFormatting sqref="AD78">
    <cfRule type="cellIs" dxfId="496" priority="542" operator="equal">
      <formula>"수정-신규"</formula>
    </cfRule>
    <cfRule type="cellIs" dxfId="495" priority="543" operator="equal">
      <formula>"수정"</formula>
    </cfRule>
    <cfRule type="cellIs" dxfId="494" priority="544" operator="equal">
      <formula>"신규"</formula>
    </cfRule>
  </conditionalFormatting>
  <conditionalFormatting sqref="AB78:AE78">
    <cfRule type="cellIs" dxfId="493" priority="537" operator="equal">
      <formula>"수정-신규"</formula>
    </cfRule>
  </conditionalFormatting>
  <conditionalFormatting sqref="AB78:AE78">
    <cfRule type="cellIs" dxfId="492" priority="538" operator="equal">
      <formula>"수정-신규"</formula>
    </cfRule>
    <cfRule type="cellIs" dxfId="491" priority="539" operator="equal">
      <formula>"수정"</formula>
    </cfRule>
    <cfRule type="cellIs" dxfId="490" priority="540" operator="equal">
      <formula>"신규"</formula>
    </cfRule>
  </conditionalFormatting>
  <conditionalFormatting sqref="AE78">
    <cfRule type="cellIs" dxfId="489" priority="546" operator="equal">
      <formula>"수정-신규"</formula>
    </cfRule>
    <cfRule type="cellIs" dxfId="488" priority="547" operator="equal">
      <formula>"수정"</formula>
    </cfRule>
    <cfRule type="cellIs" dxfId="487" priority="548" operator="equal">
      <formula>"신규"</formula>
    </cfRule>
  </conditionalFormatting>
  <conditionalFormatting sqref="AE78">
    <cfRule type="cellIs" dxfId="486" priority="545" operator="equal">
      <formula>"수정-신규"</formula>
    </cfRule>
  </conditionalFormatting>
  <conditionalFormatting sqref="V122:V123">
    <cfRule type="cellIs" dxfId="485" priority="534" operator="equal">
      <formula>"수정-신규"</formula>
    </cfRule>
    <cfRule type="cellIs" dxfId="484" priority="535" operator="equal">
      <formula>"수정"</formula>
    </cfRule>
    <cfRule type="cellIs" dxfId="483" priority="536" operator="equal">
      <formula>"신규"</formula>
    </cfRule>
  </conditionalFormatting>
  <conditionalFormatting sqref="V122:V123">
    <cfRule type="cellIs" dxfId="482" priority="533" operator="equal">
      <formula>"수정-신규"</formula>
    </cfRule>
  </conditionalFormatting>
  <conditionalFormatting sqref="AA140">
    <cfRule type="cellIs" dxfId="481" priority="530" operator="equal">
      <formula>"수정-신규"</formula>
    </cfRule>
    <cfRule type="cellIs" dxfId="480" priority="531" operator="equal">
      <formula>"수정"</formula>
    </cfRule>
    <cfRule type="cellIs" dxfId="479" priority="532" operator="equal">
      <formula>"신규"</formula>
    </cfRule>
  </conditionalFormatting>
  <conditionalFormatting sqref="AA140">
    <cfRule type="cellIs" dxfId="478" priority="529" operator="equal">
      <formula>"수정-신규"</formula>
    </cfRule>
  </conditionalFormatting>
  <conditionalFormatting sqref="AE140">
    <cfRule type="cellIs" dxfId="477" priority="525" operator="equal">
      <formula>"수정-신규"</formula>
    </cfRule>
  </conditionalFormatting>
  <conditionalFormatting sqref="AE140">
    <cfRule type="cellIs" dxfId="476" priority="526" operator="equal">
      <formula>"수정-신규"</formula>
    </cfRule>
    <cfRule type="cellIs" dxfId="475" priority="527" operator="equal">
      <formula>"수정"</formula>
    </cfRule>
    <cfRule type="cellIs" dxfId="474" priority="528" operator="equal">
      <formula>"신규"</formula>
    </cfRule>
  </conditionalFormatting>
  <conditionalFormatting sqref="AD140">
    <cfRule type="cellIs" dxfId="473" priority="522" operator="equal">
      <formula>"수정-신규"</formula>
    </cfRule>
    <cfRule type="cellIs" dxfId="472" priority="523" operator="equal">
      <formula>"수정"</formula>
    </cfRule>
    <cfRule type="cellIs" dxfId="471" priority="524" operator="equal">
      <formula>"신규"</formula>
    </cfRule>
  </conditionalFormatting>
  <conditionalFormatting sqref="AD140">
    <cfRule type="cellIs" dxfId="470" priority="521" operator="equal">
      <formula>"수정-신규"</formula>
    </cfRule>
  </conditionalFormatting>
  <conditionalFormatting sqref="AE115">
    <cfRule type="cellIs" dxfId="469" priority="518" operator="equal">
      <formula>"수정-신규"</formula>
    </cfRule>
    <cfRule type="cellIs" dxfId="468" priority="519" operator="equal">
      <formula>"수정"</formula>
    </cfRule>
    <cfRule type="cellIs" dxfId="467" priority="520" operator="equal">
      <formula>"신규"</formula>
    </cfRule>
  </conditionalFormatting>
  <conditionalFormatting sqref="AD115">
    <cfRule type="cellIs" dxfId="466" priority="514" operator="equal">
      <formula>"수정-신규"</formula>
    </cfRule>
    <cfRule type="cellIs" dxfId="465" priority="515" operator="equal">
      <formula>"수정"</formula>
    </cfRule>
    <cfRule type="cellIs" dxfId="464" priority="516" operator="equal">
      <formula>"신규"</formula>
    </cfRule>
  </conditionalFormatting>
  <conditionalFormatting sqref="AE115">
    <cfRule type="cellIs" dxfId="463" priority="517" operator="equal">
      <formula>"수정-신규"</formula>
    </cfRule>
  </conditionalFormatting>
  <conditionalFormatting sqref="AD115">
    <cfRule type="cellIs" dxfId="462" priority="513" operator="equal">
      <formula>"수정-신규"</formula>
    </cfRule>
  </conditionalFormatting>
  <conditionalFormatting sqref="AE127">
    <cfRule type="cellIs" dxfId="461" priority="502" operator="equal">
      <formula>"수정-신규"</formula>
    </cfRule>
    <cfRule type="cellIs" dxfId="460" priority="503" operator="equal">
      <formula>"수정"</formula>
    </cfRule>
    <cfRule type="cellIs" dxfId="459" priority="504" operator="equal">
      <formula>"신규"</formula>
    </cfRule>
  </conditionalFormatting>
  <conditionalFormatting sqref="AE127">
    <cfRule type="cellIs" dxfId="458" priority="501" operator="equal">
      <formula>"수정-신규"</formula>
    </cfRule>
  </conditionalFormatting>
  <conditionalFormatting sqref="AE128">
    <cfRule type="cellIs" dxfId="457" priority="510" operator="equal">
      <formula>"수정-신규"</formula>
    </cfRule>
    <cfRule type="cellIs" dxfId="456" priority="511" operator="equal">
      <formula>"수정"</formula>
    </cfRule>
    <cfRule type="cellIs" dxfId="455" priority="512" operator="equal">
      <formula>"신규"</formula>
    </cfRule>
  </conditionalFormatting>
  <conditionalFormatting sqref="AD128">
    <cfRule type="cellIs" dxfId="454" priority="506" operator="equal">
      <formula>"수정-신규"</formula>
    </cfRule>
    <cfRule type="cellIs" dxfId="453" priority="507" operator="equal">
      <formula>"수정"</formula>
    </cfRule>
    <cfRule type="cellIs" dxfId="452" priority="508" operator="equal">
      <formula>"신규"</formula>
    </cfRule>
  </conditionalFormatting>
  <conditionalFormatting sqref="AE128">
    <cfRule type="cellIs" dxfId="451" priority="509" operator="equal">
      <formula>"수정-신규"</formula>
    </cfRule>
  </conditionalFormatting>
  <conditionalFormatting sqref="AD128">
    <cfRule type="cellIs" dxfId="450" priority="505" operator="equal">
      <formula>"수정-신규"</formula>
    </cfRule>
  </conditionalFormatting>
  <conditionalFormatting sqref="AD127">
    <cfRule type="cellIs" dxfId="449" priority="498" operator="equal">
      <formula>"수정-신규"</formula>
    </cfRule>
    <cfRule type="cellIs" dxfId="448" priority="499" operator="equal">
      <formula>"수정"</formula>
    </cfRule>
    <cfRule type="cellIs" dxfId="447" priority="500" operator="equal">
      <formula>"신규"</formula>
    </cfRule>
  </conditionalFormatting>
  <conditionalFormatting sqref="AD127">
    <cfRule type="cellIs" dxfId="446" priority="497" operator="equal">
      <formula>"수정-신규"</formula>
    </cfRule>
  </conditionalFormatting>
  <conditionalFormatting sqref="AD139">
    <cfRule type="cellIs" dxfId="445" priority="490" operator="equal">
      <formula>"수정-신규"</formula>
    </cfRule>
    <cfRule type="cellIs" dxfId="444" priority="491" operator="equal">
      <formula>"수정"</formula>
    </cfRule>
    <cfRule type="cellIs" dxfId="443" priority="492" operator="equal">
      <formula>"신규"</formula>
    </cfRule>
  </conditionalFormatting>
  <conditionalFormatting sqref="AE134">
    <cfRule type="cellIs" dxfId="442" priority="486" operator="equal">
      <formula>"수정-신규"</formula>
    </cfRule>
    <cfRule type="cellIs" dxfId="441" priority="487" operator="equal">
      <formula>"수정"</formula>
    </cfRule>
    <cfRule type="cellIs" dxfId="440" priority="488" operator="equal">
      <formula>"신규"</formula>
    </cfRule>
  </conditionalFormatting>
  <conditionalFormatting sqref="AD139">
    <cfRule type="cellIs" dxfId="439" priority="489" operator="equal">
      <formula>"수정-신규"</formula>
    </cfRule>
  </conditionalFormatting>
  <conditionalFormatting sqref="AE134">
    <cfRule type="cellIs" dxfId="438" priority="485" operator="equal">
      <formula>"수정-신규"</formula>
    </cfRule>
  </conditionalFormatting>
  <conditionalFormatting sqref="AE139">
    <cfRule type="cellIs" dxfId="437" priority="494" operator="equal">
      <formula>"수정-신규"</formula>
    </cfRule>
    <cfRule type="cellIs" dxfId="436" priority="495" operator="equal">
      <formula>"수정"</formula>
    </cfRule>
    <cfRule type="cellIs" dxfId="435" priority="496" operator="equal">
      <formula>"신규"</formula>
    </cfRule>
  </conditionalFormatting>
  <conditionalFormatting sqref="AE129">
    <cfRule type="cellIs" dxfId="434" priority="462" operator="equal">
      <formula>"수정-신규"</formula>
    </cfRule>
    <cfRule type="cellIs" dxfId="433" priority="463" operator="equal">
      <formula>"수정"</formula>
    </cfRule>
    <cfRule type="cellIs" dxfId="432" priority="464" operator="equal">
      <formula>"신규"</formula>
    </cfRule>
  </conditionalFormatting>
  <conditionalFormatting sqref="AE139">
    <cfRule type="cellIs" dxfId="431" priority="493" operator="equal">
      <formula>"수정-신규"</formula>
    </cfRule>
  </conditionalFormatting>
  <conditionalFormatting sqref="AE129">
    <cfRule type="cellIs" dxfId="430" priority="461" operator="equal">
      <formula>"수정-신규"</formula>
    </cfRule>
  </conditionalFormatting>
  <conditionalFormatting sqref="AD129">
    <cfRule type="cellIs" dxfId="429" priority="458" operator="equal">
      <formula>"수정-신규"</formula>
    </cfRule>
    <cfRule type="cellIs" dxfId="428" priority="459" operator="equal">
      <formula>"수정"</formula>
    </cfRule>
    <cfRule type="cellIs" dxfId="427" priority="460" operator="equal">
      <formula>"신규"</formula>
    </cfRule>
  </conditionalFormatting>
  <conditionalFormatting sqref="AD134">
    <cfRule type="cellIs" dxfId="426" priority="482" operator="equal">
      <formula>"수정-신규"</formula>
    </cfRule>
    <cfRule type="cellIs" dxfId="425" priority="483" operator="equal">
      <formula>"수정"</formula>
    </cfRule>
    <cfRule type="cellIs" dxfId="424" priority="484" operator="equal">
      <formula>"신규"</formula>
    </cfRule>
  </conditionalFormatting>
  <conditionalFormatting sqref="AD129">
    <cfRule type="cellIs" dxfId="423" priority="457" operator="equal">
      <formula>"수정-신규"</formula>
    </cfRule>
  </conditionalFormatting>
  <conditionalFormatting sqref="AD134">
    <cfRule type="cellIs" dxfId="422" priority="481" operator="equal">
      <formula>"수정-신규"</formula>
    </cfRule>
  </conditionalFormatting>
  <conditionalFormatting sqref="AD122">
    <cfRule type="cellIs" dxfId="421" priority="474" operator="equal">
      <formula>"수정-신규"</formula>
    </cfRule>
    <cfRule type="cellIs" dxfId="420" priority="475" operator="equal">
      <formula>"수정"</formula>
    </cfRule>
    <cfRule type="cellIs" dxfId="419" priority="476" operator="equal">
      <formula>"신규"</formula>
    </cfRule>
  </conditionalFormatting>
  <conditionalFormatting sqref="AE123">
    <cfRule type="cellIs" dxfId="418" priority="470" operator="equal">
      <formula>"수정-신규"</formula>
    </cfRule>
    <cfRule type="cellIs" dxfId="417" priority="471" operator="equal">
      <formula>"수정"</formula>
    </cfRule>
    <cfRule type="cellIs" dxfId="416" priority="472" operator="equal">
      <formula>"신규"</formula>
    </cfRule>
  </conditionalFormatting>
  <conditionalFormatting sqref="AD122">
    <cfRule type="cellIs" dxfId="415" priority="473" operator="equal">
      <formula>"수정-신규"</formula>
    </cfRule>
  </conditionalFormatting>
  <conditionalFormatting sqref="AE123">
    <cfRule type="cellIs" dxfId="414" priority="469" operator="equal">
      <formula>"수정-신규"</formula>
    </cfRule>
  </conditionalFormatting>
  <conditionalFormatting sqref="AE122">
    <cfRule type="cellIs" dxfId="413" priority="478" operator="equal">
      <formula>"수정-신규"</formula>
    </cfRule>
    <cfRule type="cellIs" dxfId="412" priority="479" operator="equal">
      <formula>"수정"</formula>
    </cfRule>
    <cfRule type="cellIs" dxfId="411" priority="480" operator="equal">
      <formula>"신규"</formula>
    </cfRule>
  </conditionalFormatting>
  <conditionalFormatting sqref="AC118:AE118">
    <cfRule type="cellIs" dxfId="410" priority="414" operator="equal">
      <formula>"수정-신규"</formula>
    </cfRule>
    <cfRule type="cellIs" dxfId="409" priority="415" operator="equal">
      <formula>"수정"</formula>
    </cfRule>
    <cfRule type="cellIs" dxfId="408" priority="416" operator="equal">
      <formula>"신규"</formula>
    </cfRule>
  </conditionalFormatting>
  <conditionalFormatting sqref="AE122">
    <cfRule type="cellIs" dxfId="407" priority="477" operator="equal">
      <formula>"수정-신규"</formula>
    </cfRule>
  </conditionalFormatting>
  <conditionalFormatting sqref="AC118:AE118">
    <cfRule type="cellIs" dxfId="406" priority="413" operator="equal">
      <formula>"수정-신규"</formula>
    </cfRule>
  </conditionalFormatting>
  <conditionalFormatting sqref="AB134:AE134">
    <cfRule type="cellIs" dxfId="405" priority="410" operator="equal">
      <formula>"수정-신규"</formula>
    </cfRule>
    <cfRule type="cellIs" dxfId="404" priority="411" operator="equal">
      <formula>"수정"</formula>
    </cfRule>
    <cfRule type="cellIs" dxfId="403" priority="412" operator="equal">
      <formula>"신규"</formula>
    </cfRule>
  </conditionalFormatting>
  <conditionalFormatting sqref="AD123">
    <cfRule type="cellIs" dxfId="402" priority="466" operator="equal">
      <formula>"수정-신규"</formula>
    </cfRule>
    <cfRule type="cellIs" dxfId="401" priority="467" operator="equal">
      <formula>"수정"</formula>
    </cfRule>
    <cfRule type="cellIs" dxfId="400" priority="468" operator="equal">
      <formula>"신규"</formula>
    </cfRule>
  </conditionalFormatting>
  <conditionalFormatting sqref="AB134:AE134">
    <cfRule type="cellIs" dxfId="399" priority="409" operator="equal">
      <formula>"수정-신규"</formula>
    </cfRule>
  </conditionalFormatting>
  <conditionalFormatting sqref="AD123">
    <cfRule type="cellIs" dxfId="398" priority="465" operator="equal">
      <formula>"수정-신규"</formula>
    </cfRule>
  </conditionalFormatting>
  <conditionalFormatting sqref="AB128:AE128">
    <cfRule type="cellIs" dxfId="397" priority="438" operator="equal">
      <formula>"수정-신규"</formula>
    </cfRule>
    <cfRule type="cellIs" dxfId="396" priority="439" operator="equal">
      <formula>"수정"</formula>
    </cfRule>
    <cfRule type="cellIs" dxfId="395" priority="440" operator="equal">
      <formula>"신규"</formula>
    </cfRule>
  </conditionalFormatting>
  <conditionalFormatting sqref="AB127:AE127">
    <cfRule type="cellIs" dxfId="394" priority="434" operator="equal">
      <formula>"수정-신규"</formula>
    </cfRule>
    <cfRule type="cellIs" dxfId="393" priority="435" operator="equal">
      <formula>"수정"</formula>
    </cfRule>
    <cfRule type="cellIs" dxfId="392" priority="436" operator="equal">
      <formula>"신규"</formula>
    </cfRule>
  </conditionalFormatting>
  <conditionalFormatting sqref="AB128:AE128">
    <cfRule type="cellIs" dxfId="391" priority="437" operator="equal">
      <formula>"수정-신규"</formula>
    </cfRule>
  </conditionalFormatting>
  <conditionalFormatting sqref="AB127:AE127">
    <cfRule type="cellIs" dxfId="390" priority="433" operator="equal">
      <formula>"수정-신규"</formula>
    </cfRule>
  </conditionalFormatting>
  <conditionalFormatting sqref="AE135">
    <cfRule type="cellIs" dxfId="389" priority="454" operator="equal">
      <formula>"수정-신규"</formula>
    </cfRule>
    <cfRule type="cellIs" dxfId="388" priority="455" operator="equal">
      <formula>"수정"</formula>
    </cfRule>
    <cfRule type="cellIs" dxfId="387" priority="456" operator="equal">
      <formula>"신규"</formula>
    </cfRule>
  </conditionalFormatting>
  <conditionalFormatting sqref="AD135">
    <cfRule type="cellIs" dxfId="386" priority="450" operator="equal">
      <formula>"수정-신규"</formula>
    </cfRule>
    <cfRule type="cellIs" dxfId="385" priority="451" operator="equal">
      <formula>"수정"</formula>
    </cfRule>
    <cfRule type="cellIs" dxfId="384" priority="452" operator="equal">
      <formula>"신규"</formula>
    </cfRule>
  </conditionalFormatting>
  <conditionalFormatting sqref="AE135">
    <cfRule type="cellIs" dxfId="383" priority="453" operator="equal">
      <formula>"수정-신규"</formula>
    </cfRule>
  </conditionalFormatting>
  <conditionalFormatting sqref="AD135">
    <cfRule type="cellIs" dxfId="382" priority="449" operator="equal">
      <formula>"수정-신규"</formula>
    </cfRule>
  </conditionalFormatting>
  <conditionalFormatting sqref="AB140:AE140">
    <cfRule type="cellIs" dxfId="381" priority="445" operator="equal">
      <formula>"수정-신규"</formula>
    </cfRule>
  </conditionalFormatting>
  <conditionalFormatting sqref="AB140:AE140">
    <cfRule type="cellIs" dxfId="380" priority="446" operator="equal">
      <formula>"수정-신규"</formula>
    </cfRule>
    <cfRule type="cellIs" dxfId="379" priority="447" operator="equal">
      <formula>"수정"</formula>
    </cfRule>
    <cfRule type="cellIs" dxfId="378" priority="448" operator="equal">
      <formula>"신규"</formula>
    </cfRule>
  </conditionalFormatting>
  <conditionalFormatting sqref="AB115:AE115">
    <cfRule type="cellIs" dxfId="377" priority="442" operator="equal">
      <formula>"수정-신규"</formula>
    </cfRule>
    <cfRule type="cellIs" dxfId="376" priority="443" operator="equal">
      <formula>"수정"</formula>
    </cfRule>
    <cfRule type="cellIs" dxfId="375" priority="444" operator="equal">
      <formula>"신규"</formula>
    </cfRule>
  </conditionalFormatting>
  <conditionalFormatting sqref="AB115:AE115">
    <cfRule type="cellIs" dxfId="374" priority="441" operator="equal">
      <formula>"수정-신규"</formula>
    </cfRule>
  </conditionalFormatting>
  <conditionalFormatting sqref="AB135:AE135">
    <cfRule type="cellIs" dxfId="373" priority="390" operator="equal">
      <formula>"수정-신규"</formula>
    </cfRule>
    <cfRule type="cellIs" dxfId="372" priority="391" operator="equal">
      <formula>"수정"</formula>
    </cfRule>
    <cfRule type="cellIs" dxfId="371" priority="392" operator="equal">
      <formula>"신규"</formula>
    </cfRule>
  </conditionalFormatting>
  <conditionalFormatting sqref="AB135:AE135">
    <cfRule type="cellIs" dxfId="370" priority="389" operator="equal">
      <formula>"수정-신규"</formula>
    </cfRule>
  </conditionalFormatting>
  <conditionalFormatting sqref="AC122:AE122">
    <cfRule type="cellIs" dxfId="369" priority="426" operator="equal">
      <formula>"수정-신규"</formula>
    </cfRule>
    <cfRule type="cellIs" dxfId="368" priority="427" operator="equal">
      <formula>"수정"</formula>
    </cfRule>
    <cfRule type="cellIs" dxfId="367" priority="428" operator="equal">
      <formula>"신규"</formula>
    </cfRule>
  </conditionalFormatting>
  <conditionalFormatting sqref="AC122:AE122">
    <cfRule type="cellIs" dxfId="366" priority="425" operator="equal">
      <formula>"수정-신규"</formula>
    </cfRule>
  </conditionalFormatting>
  <conditionalFormatting sqref="AB139:AE139">
    <cfRule type="cellIs" dxfId="365" priority="430" operator="equal">
      <formula>"수정-신규"</formula>
    </cfRule>
    <cfRule type="cellIs" dxfId="364" priority="431" operator="equal">
      <formula>"수정"</formula>
    </cfRule>
    <cfRule type="cellIs" dxfId="363" priority="432" operator="equal">
      <formula>"신규"</formula>
    </cfRule>
  </conditionalFormatting>
  <conditionalFormatting sqref="AB139:AE139">
    <cfRule type="cellIs" dxfId="362" priority="429" operator="equal">
      <formula>"수정-신규"</formula>
    </cfRule>
  </conditionalFormatting>
  <conditionalFormatting sqref="AC118:AE118">
    <cfRule type="cellIs" dxfId="361" priority="418" operator="equal">
      <formula>"수정-신규"</formula>
    </cfRule>
    <cfRule type="cellIs" dxfId="360" priority="419" operator="equal">
      <formula>"수정"</formula>
    </cfRule>
    <cfRule type="cellIs" dxfId="359" priority="420" operator="equal">
      <formula>"신규"</formula>
    </cfRule>
  </conditionalFormatting>
  <conditionalFormatting sqref="AC118:AE118">
    <cfRule type="cellIs" dxfId="358" priority="417" operator="equal">
      <formula>"수정-신규"</formula>
    </cfRule>
  </conditionalFormatting>
  <conditionalFormatting sqref="AC123:AE123">
    <cfRule type="cellIs" dxfId="357" priority="401" operator="equal">
      <formula>"수정-신규"</formula>
    </cfRule>
  </conditionalFormatting>
  <conditionalFormatting sqref="AC123:AE123">
    <cfRule type="cellIs" dxfId="356" priority="402" operator="equal">
      <formula>"수정-신규"</formula>
    </cfRule>
    <cfRule type="cellIs" dxfId="355" priority="403" operator="equal">
      <formula>"수정"</formula>
    </cfRule>
    <cfRule type="cellIs" dxfId="354" priority="404" operator="equal">
      <formula>"신규"</formula>
    </cfRule>
  </conditionalFormatting>
  <conditionalFormatting sqref="AC122:AE122">
    <cfRule type="cellIs" dxfId="353" priority="421" operator="equal">
      <formula>"수정-신규"</formula>
    </cfRule>
  </conditionalFormatting>
  <conditionalFormatting sqref="AC122:AE122">
    <cfRule type="cellIs" dxfId="352" priority="422" operator="equal">
      <formula>"수정-신규"</formula>
    </cfRule>
    <cfRule type="cellIs" dxfId="351" priority="423" operator="equal">
      <formula>"수정"</formula>
    </cfRule>
    <cfRule type="cellIs" dxfId="350" priority="424" operator="equal">
      <formula>"신규"</formula>
    </cfRule>
  </conditionalFormatting>
  <conditionalFormatting sqref="AB134:AE134">
    <cfRule type="cellIs" dxfId="349" priority="405" operator="equal">
      <formula>"수정-신규"</formula>
    </cfRule>
  </conditionalFormatting>
  <conditionalFormatting sqref="AB134:AE134">
    <cfRule type="cellIs" dxfId="348" priority="406" operator="equal">
      <formula>"수정-신규"</formula>
    </cfRule>
    <cfRule type="cellIs" dxfId="347" priority="407" operator="equal">
      <formula>"수정"</formula>
    </cfRule>
    <cfRule type="cellIs" dxfId="346" priority="408" operator="equal">
      <formula>"신규"</formula>
    </cfRule>
  </conditionalFormatting>
  <conditionalFormatting sqref="AE130">
    <cfRule type="cellIs" dxfId="345" priority="385" operator="equal">
      <formula>"수정-신규"</formula>
    </cfRule>
  </conditionalFormatting>
  <conditionalFormatting sqref="AE130">
    <cfRule type="cellIs" dxfId="344" priority="386" operator="equal">
      <formula>"수정-신규"</formula>
    </cfRule>
    <cfRule type="cellIs" dxfId="343" priority="387" operator="equal">
      <formula>"수정"</formula>
    </cfRule>
    <cfRule type="cellIs" dxfId="342" priority="388" operator="equal">
      <formula>"신규"</formula>
    </cfRule>
  </conditionalFormatting>
  <conditionalFormatting sqref="AC123:AE123">
    <cfRule type="cellIs" dxfId="341" priority="397" operator="equal">
      <formula>"수정-신규"</formula>
    </cfRule>
  </conditionalFormatting>
  <conditionalFormatting sqref="AC123:AE123">
    <cfRule type="cellIs" dxfId="340" priority="398" operator="equal">
      <formula>"수정-신규"</formula>
    </cfRule>
    <cfRule type="cellIs" dxfId="339" priority="399" operator="equal">
      <formula>"수정"</formula>
    </cfRule>
    <cfRule type="cellIs" dxfId="338" priority="400" operator="equal">
      <formula>"신규"</formula>
    </cfRule>
  </conditionalFormatting>
  <conditionalFormatting sqref="AB129:AE129">
    <cfRule type="cellIs" dxfId="337" priority="394" operator="equal">
      <formula>"수정-신규"</formula>
    </cfRule>
    <cfRule type="cellIs" dxfId="336" priority="395" operator="equal">
      <formula>"수정"</formula>
    </cfRule>
    <cfRule type="cellIs" dxfId="335" priority="396" operator="equal">
      <formula>"신규"</formula>
    </cfRule>
  </conditionalFormatting>
  <conditionalFormatting sqref="AB129:AE129">
    <cfRule type="cellIs" dxfId="334" priority="393" operator="equal">
      <formula>"수정-신규"</formula>
    </cfRule>
  </conditionalFormatting>
  <conditionalFormatting sqref="V130">
    <cfRule type="cellIs" dxfId="333" priority="346" operator="equal">
      <formula>"수정-신규"</formula>
    </cfRule>
    <cfRule type="cellIs" dxfId="332" priority="347" operator="equal">
      <formula>"수정"</formula>
    </cfRule>
    <cfRule type="cellIs" dxfId="331" priority="348" operator="equal">
      <formula>"신규"</formula>
    </cfRule>
  </conditionalFormatting>
  <conditionalFormatting sqref="V130">
    <cfRule type="cellIs" dxfId="330" priority="345" operator="equal">
      <formula>"수정-신규"</formula>
    </cfRule>
  </conditionalFormatting>
  <conditionalFormatting sqref="AD130">
    <cfRule type="cellIs" dxfId="329" priority="382" operator="equal">
      <formula>"수정-신규"</formula>
    </cfRule>
    <cfRule type="cellIs" dxfId="328" priority="383" operator="equal">
      <formula>"수정"</formula>
    </cfRule>
    <cfRule type="cellIs" dxfId="327" priority="384" operator="equal">
      <formula>"신규"</formula>
    </cfRule>
  </conditionalFormatting>
  <conditionalFormatting sqref="V115">
    <cfRule type="cellIs" dxfId="326" priority="338" operator="equal">
      <formula>"수정-신규"</formula>
    </cfRule>
    <cfRule type="cellIs" dxfId="325" priority="339" operator="equal">
      <formula>"수정"</formula>
    </cfRule>
    <cfRule type="cellIs" dxfId="324" priority="340" operator="equal">
      <formula>"신규"</formula>
    </cfRule>
  </conditionalFormatting>
  <conditionalFormatting sqref="AD130">
    <cfRule type="cellIs" dxfId="323" priority="381" operator="equal">
      <formula>"수정-신규"</formula>
    </cfRule>
  </conditionalFormatting>
  <conditionalFormatting sqref="V115">
    <cfRule type="cellIs" dxfId="322" priority="337" operator="equal">
      <formula>"수정-신규"</formula>
    </cfRule>
  </conditionalFormatting>
  <conditionalFormatting sqref="AB130:AE130">
    <cfRule type="cellIs" dxfId="321" priority="378" operator="equal">
      <formula>"수정-신규"</formula>
    </cfRule>
    <cfRule type="cellIs" dxfId="320" priority="379" operator="equal">
      <formula>"수정"</formula>
    </cfRule>
    <cfRule type="cellIs" dxfId="319" priority="380" operator="equal">
      <formula>"신규"</formula>
    </cfRule>
  </conditionalFormatting>
  <conditionalFormatting sqref="AB130:AE130">
    <cfRule type="cellIs" dxfId="318" priority="377" operator="equal">
      <formula>"수정-신규"</formula>
    </cfRule>
  </conditionalFormatting>
  <conditionalFormatting sqref="AE136">
    <cfRule type="cellIs" dxfId="317" priority="374" operator="equal">
      <formula>"수정-신규"</formula>
    </cfRule>
    <cfRule type="cellIs" dxfId="316" priority="375" operator="equal">
      <formula>"수정"</formula>
    </cfRule>
    <cfRule type="cellIs" dxfId="315" priority="376" operator="equal">
      <formula>"신규"</formula>
    </cfRule>
  </conditionalFormatting>
  <conditionalFormatting sqref="AD136">
    <cfRule type="cellIs" dxfId="314" priority="370" operator="equal">
      <formula>"수정-신규"</formula>
    </cfRule>
    <cfRule type="cellIs" dxfId="313" priority="371" operator="equal">
      <formula>"수정"</formula>
    </cfRule>
    <cfRule type="cellIs" dxfId="312" priority="372" operator="equal">
      <formula>"신규"</formula>
    </cfRule>
  </conditionalFormatting>
  <conditionalFormatting sqref="AE136">
    <cfRule type="cellIs" dxfId="311" priority="373" operator="equal">
      <formula>"수정-신규"</formula>
    </cfRule>
  </conditionalFormatting>
  <conditionalFormatting sqref="AD136">
    <cfRule type="cellIs" dxfId="310" priority="369" operator="equal">
      <formula>"수정-신규"</formula>
    </cfRule>
  </conditionalFormatting>
  <conditionalFormatting sqref="AB136:AE136">
    <cfRule type="cellIs" dxfId="309" priority="366" operator="equal">
      <formula>"수정-신규"</formula>
    </cfRule>
    <cfRule type="cellIs" dxfId="308" priority="367" operator="equal">
      <formula>"수정"</formula>
    </cfRule>
    <cfRule type="cellIs" dxfId="307" priority="368" operator="equal">
      <formula>"신규"</formula>
    </cfRule>
  </conditionalFormatting>
  <conditionalFormatting sqref="AB136:AE136">
    <cfRule type="cellIs" dxfId="306" priority="365" operator="equal">
      <formula>"수정-신규"</formula>
    </cfRule>
  </conditionalFormatting>
  <conditionalFormatting sqref="V140">
    <cfRule type="cellIs" dxfId="305" priority="362" operator="equal">
      <formula>"수정-신규"</formula>
    </cfRule>
    <cfRule type="cellIs" dxfId="304" priority="363" operator="equal">
      <formula>"수정"</formula>
    </cfRule>
    <cfRule type="cellIs" dxfId="303" priority="364" operator="equal">
      <formula>"신규"</formula>
    </cfRule>
  </conditionalFormatting>
  <conditionalFormatting sqref="V140">
    <cfRule type="cellIs" dxfId="302" priority="361" operator="equal">
      <formula>"수정-신규"</formula>
    </cfRule>
  </conditionalFormatting>
  <conditionalFormatting sqref="V139">
    <cfRule type="cellIs" dxfId="301" priority="358" operator="equal">
      <formula>"수정-신규"</formula>
    </cfRule>
    <cfRule type="cellIs" dxfId="300" priority="359" operator="equal">
      <formula>"수정"</formula>
    </cfRule>
    <cfRule type="cellIs" dxfId="299" priority="360" operator="equal">
      <formula>"신규"</formula>
    </cfRule>
  </conditionalFormatting>
  <conditionalFormatting sqref="V139">
    <cfRule type="cellIs" dxfId="298" priority="357" operator="equal">
      <formula>"수정-신규"</formula>
    </cfRule>
  </conditionalFormatting>
  <conditionalFormatting sqref="V135">
    <cfRule type="cellIs" dxfId="297" priority="350" operator="equal">
      <formula>"수정-신규"</formula>
    </cfRule>
    <cfRule type="cellIs" dxfId="296" priority="351" operator="equal">
      <formula>"수정"</formula>
    </cfRule>
    <cfRule type="cellIs" dxfId="295" priority="352" operator="equal">
      <formula>"신규"</formula>
    </cfRule>
  </conditionalFormatting>
  <conditionalFormatting sqref="V135">
    <cfRule type="cellIs" dxfId="294" priority="349" operator="equal">
      <formula>"수정-신규"</formula>
    </cfRule>
  </conditionalFormatting>
  <conditionalFormatting sqref="V129">
    <cfRule type="cellIs" dxfId="293" priority="353" operator="equal">
      <formula>"수정-신규"</formula>
    </cfRule>
  </conditionalFormatting>
  <conditionalFormatting sqref="V129">
    <cfRule type="cellIs" dxfId="292" priority="354" operator="equal">
      <formula>"수정-신규"</formula>
    </cfRule>
    <cfRule type="cellIs" dxfId="291" priority="355" operator="equal">
      <formula>"수정"</formula>
    </cfRule>
    <cfRule type="cellIs" dxfId="290" priority="356" operator="equal">
      <formula>"신규"</formula>
    </cfRule>
  </conditionalFormatting>
  <conditionalFormatting sqref="V136">
    <cfRule type="cellIs" dxfId="289" priority="342" operator="equal">
      <formula>"수정-신규"</formula>
    </cfRule>
    <cfRule type="cellIs" dxfId="288" priority="343" operator="equal">
      <formula>"수정"</formula>
    </cfRule>
    <cfRule type="cellIs" dxfId="287" priority="344" operator="equal">
      <formula>"신규"</formula>
    </cfRule>
  </conditionalFormatting>
  <conditionalFormatting sqref="V136">
    <cfRule type="cellIs" dxfId="286" priority="341" operator="equal">
      <formula>"수정-신규"</formula>
    </cfRule>
  </conditionalFormatting>
  <conditionalFormatting sqref="V127:V128">
    <cfRule type="cellIs" dxfId="285" priority="334" operator="equal">
      <formula>"수정-신규"</formula>
    </cfRule>
    <cfRule type="cellIs" dxfId="284" priority="335" operator="equal">
      <formula>"수정"</formula>
    </cfRule>
    <cfRule type="cellIs" dxfId="283" priority="336" operator="equal">
      <formula>"신규"</formula>
    </cfRule>
  </conditionalFormatting>
  <conditionalFormatting sqref="V127:V128">
    <cfRule type="cellIs" dxfId="282" priority="333" operator="equal">
      <formula>"수정-신규"</formula>
    </cfRule>
  </conditionalFormatting>
  <conditionalFormatting sqref="V134">
    <cfRule type="cellIs" dxfId="281" priority="329" operator="equal">
      <formula>"수정-신규"</formula>
    </cfRule>
  </conditionalFormatting>
  <conditionalFormatting sqref="V134">
    <cfRule type="cellIs" dxfId="280" priority="330" operator="equal">
      <formula>"수정-신규"</formula>
    </cfRule>
    <cfRule type="cellIs" dxfId="279" priority="331" operator="equal">
      <formula>"수정"</formula>
    </cfRule>
    <cfRule type="cellIs" dxfId="278" priority="332" operator="equal">
      <formula>"신규"</formula>
    </cfRule>
  </conditionalFormatting>
  <conditionalFormatting sqref="AD133">
    <cfRule type="cellIs" dxfId="277" priority="242" operator="equal">
      <formula>"수정-신규"</formula>
    </cfRule>
    <cfRule type="cellIs" dxfId="276" priority="243" operator="equal">
      <formula>"수정"</formula>
    </cfRule>
    <cfRule type="cellIs" dxfId="275" priority="244" operator="equal">
      <formula>"신규"</formula>
    </cfRule>
  </conditionalFormatting>
  <conditionalFormatting sqref="AD133">
    <cfRule type="cellIs" dxfId="274" priority="241" operator="equal">
      <formula>"수정-신규"</formula>
    </cfRule>
  </conditionalFormatting>
  <conditionalFormatting sqref="V118">
    <cfRule type="cellIs" dxfId="273" priority="306" operator="equal">
      <formula>"수정-신규"</formula>
    </cfRule>
    <cfRule type="cellIs" dxfId="272" priority="307" operator="equal">
      <formula>"수정"</formula>
    </cfRule>
    <cfRule type="cellIs" dxfId="271" priority="308" operator="equal">
      <formula>"신규"</formula>
    </cfRule>
  </conditionalFormatting>
  <conditionalFormatting sqref="V118">
    <cfRule type="cellIs" dxfId="270" priority="305" operator="equal">
      <formula>"수정-신규"</formula>
    </cfRule>
  </conditionalFormatting>
  <conditionalFormatting sqref="AE133">
    <cfRule type="cellIs" dxfId="269" priority="246" operator="equal">
      <formula>"수정-신규"</formula>
    </cfRule>
    <cfRule type="cellIs" dxfId="268" priority="247" operator="equal">
      <formula>"수정"</formula>
    </cfRule>
    <cfRule type="cellIs" dxfId="267" priority="248" operator="equal">
      <formula>"신규"</formula>
    </cfRule>
  </conditionalFormatting>
  <conditionalFormatting sqref="AE133">
    <cfRule type="cellIs" dxfId="266" priority="245" operator="equal">
      <formula>"수정-신규"</formula>
    </cfRule>
  </conditionalFormatting>
  <conditionalFormatting sqref="AB116:AE116">
    <cfRule type="cellIs" dxfId="265" priority="310" operator="equal">
      <formula>"수정-신규"</formula>
    </cfRule>
    <cfRule type="cellIs" dxfId="264" priority="311" operator="equal">
      <formula>"수정"</formula>
    </cfRule>
    <cfRule type="cellIs" dxfId="263" priority="312" operator="equal">
      <formula>"신규"</formula>
    </cfRule>
  </conditionalFormatting>
  <conditionalFormatting sqref="AB116:AE116">
    <cfRule type="cellIs" dxfId="262" priority="309" operator="equal">
      <formula>"수정-신규"</formula>
    </cfRule>
  </conditionalFormatting>
  <conditionalFormatting sqref="AB116:AE116">
    <cfRule type="cellIs" dxfId="261" priority="314" operator="equal">
      <formula>"수정-신규"</formula>
    </cfRule>
    <cfRule type="cellIs" dxfId="260" priority="315" operator="equal">
      <formula>"수정"</formula>
    </cfRule>
    <cfRule type="cellIs" dxfId="259" priority="316" operator="equal">
      <formula>"신규"</formula>
    </cfRule>
  </conditionalFormatting>
  <conditionalFormatting sqref="AB116:AE116">
    <cfRule type="cellIs" dxfId="258" priority="313" operator="equal">
      <formula>"수정-신규"</formula>
    </cfRule>
  </conditionalFormatting>
  <conditionalFormatting sqref="AC117:AE117">
    <cfRule type="cellIs" dxfId="257" priority="282" operator="equal">
      <formula>"수정-신규"</formula>
    </cfRule>
    <cfRule type="cellIs" dxfId="256" priority="283" operator="equal">
      <formula>"수정"</formula>
    </cfRule>
    <cfRule type="cellIs" dxfId="255" priority="284" operator="equal">
      <formula>"신규"</formula>
    </cfRule>
  </conditionalFormatting>
  <conditionalFormatting sqref="AC117:AE117">
    <cfRule type="cellIs" dxfId="254" priority="281" operator="equal">
      <formula>"수정-신규"</formula>
    </cfRule>
  </conditionalFormatting>
  <conditionalFormatting sqref="AB133:AE133">
    <cfRule type="cellIs" dxfId="253" priority="238" operator="equal">
      <formula>"수정-신규"</formula>
    </cfRule>
    <cfRule type="cellIs" dxfId="252" priority="239" operator="equal">
      <formula>"수정"</formula>
    </cfRule>
    <cfRule type="cellIs" dxfId="251" priority="240" operator="equal">
      <formula>"신규"</formula>
    </cfRule>
  </conditionalFormatting>
  <conditionalFormatting sqref="AB133:AE133">
    <cfRule type="cellIs" dxfId="250" priority="237" operator="equal">
      <formula>"수정-신규"</formula>
    </cfRule>
  </conditionalFormatting>
  <conditionalFormatting sqref="V116">
    <cfRule type="cellIs" dxfId="249" priority="302" operator="equal">
      <formula>"수정-신규"</formula>
    </cfRule>
    <cfRule type="cellIs" dxfId="248" priority="303" operator="equal">
      <formula>"수정"</formula>
    </cfRule>
    <cfRule type="cellIs" dxfId="247" priority="304" operator="equal">
      <formula>"신규"</formula>
    </cfRule>
  </conditionalFormatting>
  <conditionalFormatting sqref="V116">
    <cfRule type="cellIs" dxfId="246" priority="301" operator="equal">
      <formula>"수정-신규"</formula>
    </cfRule>
  </conditionalFormatting>
  <conditionalFormatting sqref="V121">
    <cfRule type="cellIs" dxfId="245" priority="229" operator="equal">
      <formula>"수정-신규"</formula>
    </cfRule>
  </conditionalFormatting>
  <conditionalFormatting sqref="V121">
    <cfRule type="cellIs" dxfId="244" priority="230" operator="equal">
      <formula>"수정-신규"</formula>
    </cfRule>
    <cfRule type="cellIs" dxfId="243" priority="231" operator="equal">
      <formula>"수정"</formula>
    </cfRule>
    <cfRule type="cellIs" dxfId="242" priority="232" operator="equal">
      <formula>"신규"</formula>
    </cfRule>
  </conditionalFormatting>
  <conditionalFormatting sqref="V133">
    <cfRule type="cellIs" dxfId="241" priority="233" operator="equal">
      <formula>"수정-신규"</formula>
    </cfRule>
  </conditionalFormatting>
  <conditionalFormatting sqref="V133">
    <cfRule type="cellIs" dxfId="240" priority="234" operator="equal">
      <formula>"수정-신규"</formula>
    </cfRule>
    <cfRule type="cellIs" dxfId="239" priority="235" operator="equal">
      <formula>"수정"</formula>
    </cfRule>
    <cfRule type="cellIs" dxfId="238" priority="236" operator="equal">
      <formula>"신규"</formula>
    </cfRule>
  </conditionalFormatting>
  <conditionalFormatting sqref="V117">
    <cfRule type="cellIs" dxfId="237" priority="278" operator="equal">
      <formula>"수정-신규"</formula>
    </cfRule>
    <cfRule type="cellIs" dxfId="236" priority="279" operator="equal">
      <formula>"수정"</formula>
    </cfRule>
    <cfRule type="cellIs" dxfId="235" priority="280" operator="equal">
      <formula>"신규"</formula>
    </cfRule>
  </conditionalFormatting>
  <conditionalFormatting sqref="V117">
    <cfRule type="cellIs" dxfId="234" priority="277" operator="equal">
      <formula>"수정-신규"</formula>
    </cfRule>
  </conditionalFormatting>
  <conditionalFormatting sqref="AE121">
    <cfRule type="cellIs" dxfId="233" priority="225" operator="equal">
      <formula>"수정-신규"</formula>
    </cfRule>
  </conditionalFormatting>
  <conditionalFormatting sqref="AE121">
    <cfRule type="cellIs" dxfId="232" priority="226" operator="equal">
      <formula>"수정-신규"</formula>
    </cfRule>
    <cfRule type="cellIs" dxfId="231" priority="227" operator="equal">
      <formula>"수정"</formula>
    </cfRule>
    <cfRule type="cellIs" dxfId="230" priority="228" operator="equal">
      <formula>"신규"</formula>
    </cfRule>
  </conditionalFormatting>
  <conditionalFormatting sqref="AC121:AE121">
    <cfRule type="cellIs" dxfId="229" priority="218" operator="equal">
      <formula>"수정-신규"</formula>
    </cfRule>
    <cfRule type="cellIs" dxfId="228" priority="219" operator="equal">
      <formula>"수정"</formula>
    </cfRule>
    <cfRule type="cellIs" dxfId="227" priority="220" operator="equal">
      <formula>"신규"</formula>
    </cfRule>
  </conditionalFormatting>
  <conditionalFormatting sqref="AC121:AE121">
    <cfRule type="cellIs" dxfId="226" priority="217" operator="equal">
      <formula>"수정-신규"</formula>
    </cfRule>
  </conditionalFormatting>
  <conditionalFormatting sqref="AC117:AE117">
    <cfRule type="cellIs" dxfId="225" priority="285" operator="equal">
      <formula>"수정-신규"</formula>
    </cfRule>
  </conditionalFormatting>
  <conditionalFormatting sqref="AC117:AE117">
    <cfRule type="cellIs" dxfId="224" priority="286" operator="equal">
      <formula>"수정-신규"</formula>
    </cfRule>
    <cfRule type="cellIs" dxfId="223" priority="287" operator="equal">
      <formula>"수정"</formula>
    </cfRule>
    <cfRule type="cellIs" dxfId="222" priority="288" operator="equal">
      <formula>"신규"</formula>
    </cfRule>
  </conditionalFormatting>
  <conditionalFormatting sqref="AC121:AE121">
    <cfRule type="cellIs" dxfId="221" priority="214" operator="equal">
      <formula>"수정-신규"</formula>
    </cfRule>
    <cfRule type="cellIs" dxfId="220" priority="215" operator="equal">
      <formula>"수정"</formula>
    </cfRule>
    <cfRule type="cellIs" dxfId="219" priority="216" operator="equal">
      <formula>"신규"</formula>
    </cfRule>
  </conditionalFormatting>
  <conditionalFormatting sqref="AC121:AE121">
    <cfRule type="cellIs" dxfId="218" priority="213" operator="equal">
      <formula>"수정-신규"</formula>
    </cfRule>
  </conditionalFormatting>
  <conditionalFormatting sqref="AC119:AE119">
    <cfRule type="cellIs" dxfId="217" priority="197" operator="equal">
      <formula>"수정-신규"</formula>
    </cfRule>
  </conditionalFormatting>
  <conditionalFormatting sqref="AC119:AE119">
    <cfRule type="cellIs" dxfId="216" priority="198" operator="equal">
      <formula>"수정-신규"</formula>
    </cfRule>
    <cfRule type="cellIs" dxfId="215" priority="199" operator="equal">
      <formula>"수정"</formula>
    </cfRule>
    <cfRule type="cellIs" dxfId="214" priority="200" operator="equal">
      <formula>"신규"</formula>
    </cfRule>
  </conditionalFormatting>
  <conditionalFormatting sqref="V119">
    <cfRule type="cellIs" dxfId="213" priority="209" operator="equal">
      <formula>"수정-신규"</formula>
    </cfRule>
  </conditionalFormatting>
  <conditionalFormatting sqref="V119">
    <cfRule type="cellIs" dxfId="212" priority="210" operator="equal">
      <formula>"수정-신규"</formula>
    </cfRule>
    <cfRule type="cellIs" dxfId="211" priority="211" operator="equal">
      <formula>"수정"</formula>
    </cfRule>
    <cfRule type="cellIs" dxfId="210" priority="212" operator="equal">
      <formula>"신규"</formula>
    </cfRule>
  </conditionalFormatting>
  <conditionalFormatting sqref="V120">
    <cfRule type="cellIs" dxfId="209" priority="190" operator="equal">
      <formula>"수정-신규"</formula>
    </cfRule>
    <cfRule type="cellIs" dxfId="208" priority="191" operator="equal">
      <formula>"수정"</formula>
    </cfRule>
    <cfRule type="cellIs" dxfId="207" priority="192" operator="equal">
      <formula>"신규"</formula>
    </cfRule>
  </conditionalFormatting>
  <conditionalFormatting sqref="V120">
    <cfRule type="cellIs" dxfId="206" priority="189" operator="equal">
      <formula>"수정-신규"</formula>
    </cfRule>
  </conditionalFormatting>
  <conditionalFormatting sqref="AE120">
    <cfRule type="cellIs" dxfId="205" priority="186" operator="equal">
      <formula>"수정-신규"</formula>
    </cfRule>
    <cfRule type="cellIs" dxfId="204" priority="187" operator="equal">
      <formula>"수정"</formula>
    </cfRule>
    <cfRule type="cellIs" dxfId="203" priority="188" operator="equal">
      <formula>"신규"</formula>
    </cfRule>
  </conditionalFormatting>
  <conditionalFormatting sqref="AE120">
    <cfRule type="cellIs" dxfId="202" priority="185" operator="equal">
      <formula>"수정-신규"</formula>
    </cfRule>
  </conditionalFormatting>
  <conditionalFormatting sqref="AC119:AE119">
    <cfRule type="cellIs" dxfId="201" priority="194" operator="equal">
      <formula>"수정-신규"</formula>
    </cfRule>
    <cfRule type="cellIs" dxfId="200" priority="195" operator="equal">
      <formula>"수정"</formula>
    </cfRule>
    <cfRule type="cellIs" dxfId="199" priority="196" operator="equal">
      <formula>"신규"</formula>
    </cfRule>
  </conditionalFormatting>
  <conditionalFormatting sqref="AD119">
    <cfRule type="cellIs" dxfId="198" priority="202" operator="equal">
      <formula>"수정-신규"</formula>
    </cfRule>
    <cfRule type="cellIs" dxfId="197" priority="203" operator="equal">
      <formula>"수정"</formula>
    </cfRule>
    <cfRule type="cellIs" dxfId="196" priority="204" operator="equal">
      <formula>"신규"</formula>
    </cfRule>
  </conditionalFormatting>
  <conditionalFormatting sqref="AC119:AE119">
    <cfRule type="cellIs" dxfId="195" priority="193" operator="equal">
      <formula>"수정-신규"</formula>
    </cfRule>
  </conditionalFormatting>
  <conditionalFormatting sqref="AD119">
    <cfRule type="cellIs" dxfId="194" priority="201" operator="equal">
      <formula>"수정-신규"</formula>
    </cfRule>
  </conditionalFormatting>
  <conditionalFormatting sqref="AC120:AE120">
    <cfRule type="cellIs" dxfId="193" priority="174" operator="equal">
      <formula>"수정-신규"</formula>
    </cfRule>
    <cfRule type="cellIs" dxfId="192" priority="175" operator="equal">
      <formula>"수정"</formula>
    </cfRule>
    <cfRule type="cellIs" dxfId="191" priority="176" operator="equal">
      <formula>"신규"</formula>
    </cfRule>
  </conditionalFormatting>
  <conditionalFormatting sqref="AC120:AE120">
    <cfRule type="cellIs" dxfId="190" priority="173" operator="equal">
      <formula>"수정-신규"</formula>
    </cfRule>
  </conditionalFormatting>
  <conditionalFormatting sqref="AD121">
    <cfRule type="cellIs" dxfId="189" priority="222" operator="equal">
      <formula>"수정-신규"</formula>
    </cfRule>
    <cfRule type="cellIs" dxfId="188" priority="223" operator="equal">
      <formula>"수정"</formula>
    </cfRule>
    <cfRule type="cellIs" dxfId="187" priority="224" operator="equal">
      <formula>"신규"</formula>
    </cfRule>
  </conditionalFormatting>
  <conditionalFormatting sqref="AD121">
    <cfRule type="cellIs" dxfId="186" priority="221" operator="equal">
      <formula>"수정-신규"</formula>
    </cfRule>
  </conditionalFormatting>
  <conditionalFormatting sqref="AE124">
    <cfRule type="cellIs" dxfId="185" priority="170" operator="equal">
      <formula>"수정-신규"</formula>
    </cfRule>
    <cfRule type="cellIs" dxfId="184" priority="171" operator="equal">
      <formula>"수정"</formula>
    </cfRule>
    <cfRule type="cellIs" dxfId="183" priority="172" operator="equal">
      <formula>"신규"</formula>
    </cfRule>
  </conditionalFormatting>
  <conditionalFormatting sqref="AE124">
    <cfRule type="cellIs" dxfId="182" priority="169" operator="equal">
      <formula>"수정-신규"</formula>
    </cfRule>
  </conditionalFormatting>
  <conditionalFormatting sqref="AD124">
    <cfRule type="cellIs" dxfId="181" priority="166" operator="equal">
      <formula>"수정-신규"</formula>
    </cfRule>
    <cfRule type="cellIs" dxfId="180" priority="167" operator="equal">
      <formula>"수정"</formula>
    </cfRule>
    <cfRule type="cellIs" dxfId="179" priority="168" operator="equal">
      <formula>"신규"</formula>
    </cfRule>
  </conditionalFormatting>
  <conditionalFormatting sqref="AD124">
    <cfRule type="cellIs" dxfId="178" priority="165" operator="equal">
      <formula>"수정-신규"</formula>
    </cfRule>
  </conditionalFormatting>
  <conditionalFormatting sqref="AE119">
    <cfRule type="cellIs" dxfId="177" priority="206" operator="equal">
      <formula>"수정-신규"</formula>
    </cfRule>
    <cfRule type="cellIs" dxfId="176" priority="207" operator="equal">
      <formula>"수정"</formula>
    </cfRule>
    <cfRule type="cellIs" dxfId="175" priority="208" operator="equal">
      <formula>"신규"</formula>
    </cfRule>
  </conditionalFormatting>
  <conditionalFormatting sqref="AE119">
    <cfRule type="cellIs" dxfId="174" priority="205" operator="equal">
      <formula>"수정-신규"</formula>
    </cfRule>
  </conditionalFormatting>
  <conditionalFormatting sqref="AB124:AE124">
    <cfRule type="cellIs" dxfId="173" priority="162" operator="equal">
      <formula>"수정-신규"</formula>
    </cfRule>
    <cfRule type="cellIs" dxfId="172" priority="163" operator="equal">
      <formula>"수정"</formula>
    </cfRule>
    <cfRule type="cellIs" dxfId="171" priority="164" operator="equal">
      <formula>"신규"</formula>
    </cfRule>
  </conditionalFormatting>
  <conditionalFormatting sqref="AB124:AE124">
    <cfRule type="cellIs" dxfId="170" priority="161" operator="equal">
      <formula>"수정-신규"</formula>
    </cfRule>
  </conditionalFormatting>
  <conditionalFormatting sqref="AC120:AE120">
    <cfRule type="cellIs" dxfId="169" priority="178" operator="equal">
      <formula>"수정-신규"</formula>
    </cfRule>
    <cfRule type="cellIs" dxfId="168" priority="179" operator="equal">
      <formula>"수정"</formula>
    </cfRule>
    <cfRule type="cellIs" dxfId="167" priority="180" operator="equal">
      <formula>"신규"</formula>
    </cfRule>
  </conditionalFormatting>
  <conditionalFormatting sqref="AC120:AE120">
    <cfRule type="cellIs" dxfId="166" priority="177" operator="equal">
      <formula>"수정-신규"</formula>
    </cfRule>
  </conditionalFormatting>
  <conditionalFormatting sqref="AB125:AE125">
    <cfRule type="cellIs" dxfId="165" priority="150" operator="equal">
      <formula>"수정-신규"</formula>
    </cfRule>
    <cfRule type="cellIs" dxfId="164" priority="151" operator="equal">
      <formula>"수정"</formula>
    </cfRule>
    <cfRule type="cellIs" dxfId="163" priority="152" operator="equal">
      <formula>"신규"</formula>
    </cfRule>
  </conditionalFormatting>
  <conditionalFormatting sqref="AB125:AE125">
    <cfRule type="cellIs" dxfId="162" priority="149" operator="equal">
      <formula>"수정-신규"</formula>
    </cfRule>
  </conditionalFormatting>
  <conditionalFormatting sqref="AD120">
    <cfRule type="cellIs" dxfId="161" priority="182" operator="equal">
      <formula>"수정-신규"</formula>
    </cfRule>
    <cfRule type="cellIs" dxfId="160" priority="183" operator="equal">
      <formula>"수정"</formula>
    </cfRule>
    <cfRule type="cellIs" dxfId="159" priority="184" operator="equal">
      <formula>"신규"</formula>
    </cfRule>
  </conditionalFormatting>
  <conditionalFormatting sqref="AD120">
    <cfRule type="cellIs" dxfId="158" priority="181" operator="equal">
      <formula>"수정-신규"</formula>
    </cfRule>
  </conditionalFormatting>
  <conditionalFormatting sqref="AE126">
    <cfRule type="cellIs" dxfId="157" priority="146" operator="equal">
      <formula>"수정-신규"</formula>
    </cfRule>
    <cfRule type="cellIs" dxfId="156" priority="147" operator="equal">
      <formula>"수정"</formula>
    </cfRule>
    <cfRule type="cellIs" dxfId="155" priority="148" operator="equal">
      <formula>"신규"</formula>
    </cfRule>
  </conditionalFormatting>
  <conditionalFormatting sqref="AE126">
    <cfRule type="cellIs" dxfId="154" priority="145" operator="equal">
      <formula>"수정-신규"</formula>
    </cfRule>
  </conditionalFormatting>
  <conditionalFormatting sqref="AD125">
    <cfRule type="cellIs" dxfId="153" priority="154" operator="equal">
      <formula>"수정-신규"</formula>
    </cfRule>
    <cfRule type="cellIs" dxfId="152" priority="155" operator="equal">
      <formula>"수정"</formula>
    </cfRule>
    <cfRule type="cellIs" dxfId="151" priority="156" operator="equal">
      <formula>"신규"</formula>
    </cfRule>
  </conditionalFormatting>
  <conditionalFormatting sqref="AD125">
    <cfRule type="cellIs" dxfId="150" priority="153" operator="equal">
      <formula>"수정-신규"</formula>
    </cfRule>
  </conditionalFormatting>
  <conditionalFormatting sqref="AE125">
    <cfRule type="cellIs" dxfId="149" priority="157" operator="equal">
      <formula>"수정-신규"</formula>
    </cfRule>
  </conditionalFormatting>
  <conditionalFormatting sqref="AE125">
    <cfRule type="cellIs" dxfId="148" priority="158" operator="equal">
      <formula>"수정-신규"</formula>
    </cfRule>
    <cfRule type="cellIs" dxfId="147" priority="159" operator="equal">
      <formula>"수정"</formula>
    </cfRule>
    <cfRule type="cellIs" dxfId="146" priority="160" operator="equal">
      <formula>"신규"</formula>
    </cfRule>
  </conditionalFormatting>
  <conditionalFormatting sqref="AB126:AE126">
    <cfRule type="cellIs" dxfId="145" priority="138" operator="equal">
      <formula>"수정-신규"</formula>
    </cfRule>
    <cfRule type="cellIs" dxfId="144" priority="139" operator="equal">
      <formula>"수정"</formula>
    </cfRule>
    <cfRule type="cellIs" dxfId="143" priority="140" operator="equal">
      <formula>"신규"</formula>
    </cfRule>
  </conditionalFormatting>
  <conditionalFormatting sqref="AB126:AE126">
    <cfRule type="cellIs" dxfId="142" priority="137" operator="equal">
      <formula>"수정-신규"</formula>
    </cfRule>
  </conditionalFormatting>
  <conditionalFormatting sqref="AB100:AB101">
    <cfRule type="cellIs" dxfId="141" priority="113" operator="equal">
      <formula>"수정-신규"</formula>
    </cfRule>
  </conditionalFormatting>
  <conditionalFormatting sqref="AB100:AB101">
    <cfRule type="cellIs" dxfId="140" priority="114" operator="equal">
      <formula>"수정-신규"</formula>
    </cfRule>
    <cfRule type="cellIs" dxfId="139" priority="115" operator="equal">
      <formula>"수정"</formula>
    </cfRule>
    <cfRule type="cellIs" dxfId="138" priority="116" operator="equal">
      <formula>"신규"</formula>
    </cfRule>
  </conditionalFormatting>
  <conditionalFormatting sqref="AB100:AB101">
    <cfRule type="cellIs" dxfId="137" priority="117" operator="equal">
      <formula>"수정-신규"</formula>
    </cfRule>
  </conditionalFormatting>
  <conditionalFormatting sqref="AB100:AB101">
    <cfRule type="cellIs" dxfId="136" priority="118" operator="equal">
      <formula>"수정-신규"</formula>
    </cfRule>
    <cfRule type="cellIs" dxfId="135" priority="119" operator="equal">
      <formula>"수정"</formula>
    </cfRule>
    <cfRule type="cellIs" dxfId="134" priority="120" operator="equal">
      <formula>"신규"</formula>
    </cfRule>
  </conditionalFormatting>
  <conditionalFormatting sqref="AB99">
    <cfRule type="cellIs" dxfId="133" priority="125" operator="equal">
      <formula>"수정-신규"</formula>
    </cfRule>
  </conditionalFormatting>
  <conditionalFormatting sqref="AB99">
    <cfRule type="cellIs" dxfId="132" priority="126" operator="equal">
      <formula>"수정-신규"</formula>
    </cfRule>
    <cfRule type="cellIs" dxfId="131" priority="127" operator="equal">
      <formula>"수정"</formula>
    </cfRule>
    <cfRule type="cellIs" dxfId="130" priority="128" operator="equal">
      <formula>"신규"</formula>
    </cfRule>
  </conditionalFormatting>
  <conditionalFormatting sqref="AD126">
    <cfRule type="cellIs" dxfId="129" priority="142" operator="equal">
      <formula>"수정-신규"</formula>
    </cfRule>
    <cfRule type="cellIs" dxfId="128" priority="143" operator="equal">
      <formula>"수정"</formula>
    </cfRule>
    <cfRule type="cellIs" dxfId="127" priority="144" operator="equal">
      <formula>"신규"</formula>
    </cfRule>
  </conditionalFormatting>
  <conditionalFormatting sqref="AD126">
    <cfRule type="cellIs" dxfId="126" priority="141" operator="equal">
      <formula>"수정-신규"</formula>
    </cfRule>
  </conditionalFormatting>
  <conditionalFormatting sqref="AB99">
    <cfRule type="cellIs" dxfId="125" priority="122" operator="equal">
      <formula>"수정-신규"</formula>
    </cfRule>
    <cfRule type="cellIs" dxfId="124" priority="123" operator="equal">
      <formula>"수정"</formula>
    </cfRule>
    <cfRule type="cellIs" dxfId="123" priority="124" operator="equal">
      <formula>"신규"</formula>
    </cfRule>
  </conditionalFormatting>
  <conditionalFormatting sqref="AB99">
    <cfRule type="cellIs" dxfId="122" priority="121" operator="equal">
      <formula>"수정-신규"</formula>
    </cfRule>
  </conditionalFormatting>
  <conditionalFormatting sqref="AB32">
    <cfRule type="cellIs" dxfId="121" priority="86" operator="equal">
      <formula>"수정-신규"</formula>
    </cfRule>
    <cfRule type="cellIs" dxfId="120" priority="87" operator="equal">
      <formula>"수정"</formula>
    </cfRule>
    <cfRule type="cellIs" dxfId="119" priority="88" operator="equal">
      <formula>"신규"</formula>
    </cfRule>
  </conditionalFormatting>
  <conditionalFormatting sqref="AB32">
    <cfRule type="cellIs" dxfId="118" priority="85" operator="equal">
      <formula>"수정-신규"</formula>
    </cfRule>
  </conditionalFormatting>
  <conditionalFormatting sqref="AB32">
    <cfRule type="cellIs" dxfId="117" priority="81" operator="equal">
      <formula>"수정-신규"</formula>
    </cfRule>
  </conditionalFormatting>
  <conditionalFormatting sqref="AB32">
    <cfRule type="cellIs" dxfId="116" priority="82" operator="equal">
      <formula>"수정-신규"</formula>
    </cfRule>
    <cfRule type="cellIs" dxfId="115" priority="83" operator="equal">
      <formula>"수정"</formula>
    </cfRule>
    <cfRule type="cellIs" dxfId="114" priority="84" operator="equal">
      <formula>"신규"</formula>
    </cfRule>
  </conditionalFormatting>
  <conditionalFormatting sqref="AB119:AB123">
    <cfRule type="cellIs" dxfId="113" priority="110" operator="equal">
      <formula>"수정-신규"</formula>
    </cfRule>
    <cfRule type="cellIs" dxfId="112" priority="111" operator="equal">
      <formula>"수정"</formula>
    </cfRule>
    <cfRule type="cellIs" dxfId="111" priority="112" operator="equal">
      <formula>"신규"</formula>
    </cfRule>
  </conditionalFormatting>
  <conditionalFormatting sqref="AB119:AB123">
    <cfRule type="cellIs" dxfId="110" priority="109" operator="equal">
      <formula>"수정-신규"</formula>
    </cfRule>
  </conditionalFormatting>
  <conditionalFormatting sqref="AB119:AB123">
    <cfRule type="cellIs" dxfId="109" priority="105" operator="equal">
      <formula>"수정-신규"</formula>
    </cfRule>
  </conditionalFormatting>
  <conditionalFormatting sqref="AB119:AB123">
    <cfRule type="cellIs" dxfId="108" priority="106" operator="equal">
      <formula>"수정-신규"</formula>
    </cfRule>
    <cfRule type="cellIs" dxfId="107" priority="107" operator="equal">
      <formula>"수정"</formula>
    </cfRule>
    <cfRule type="cellIs" dxfId="106" priority="108" operator="equal">
      <formula>"신규"</formula>
    </cfRule>
  </conditionalFormatting>
  <conditionalFormatting sqref="AB64:AB71">
    <cfRule type="cellIs" dxfId="105" priority="102" operator="equal">
      <formula>"수정-신규"</formula>
    </cfRule>
    <cfRule type="cellIs" dxfId="104" priority="103" operator="equal">
      <formula>"수정"</formula>
    </cfRule>
    <cfRule type="cellIs" dxfId="103" priority="104" operator="equal">
      <formula>"신규"</formula>
    </cfRule>
  </conditionalFormatting>
  <conditionalFormatting sqref="AB64:AB71">
    <cfRule type="cellIs" dxfId="102" priority="101" operator="equal">
      <formula>"수정-신규"</formula>
    </cfRule>
  </conditionalFormatting>
  <conditionalFormatting sqref="AB64:AB71">
    <cfRule type="cellIs" dxfId="101" priority="97" operator="equal">
      <formula>"수정-신규"</formula>
    </cfRule>
  </conditionalFormatting>
  <conditionalFormatting sqref="AB64:AB71">
    <cfRule type="cellIs" dxfId="100" priority="98" operator="equal">
      <formula>"수정-신규"</formula>
    </cfRule>
    <cfRule type="cellIs" dxfId="99" priority="99" operator="equal">
      <formula>"수정"</formula>
    </cfRule>
    <cfRule type="cellIs" dxfId="98" priority="100" operator="equal">
      <formula>"신규"</formula>
    </cfRule>
  </conditionalFormatting>
  <conditionalFormatting sqref="AB45:AB46">
    <cfRule type="cellIs" dxfId="97" priority="94" operator="equal">
      <formula>"수정-신규"</formula>
    </cfRule>
    <cfRule type="cellIs" dxfId="96" priority="95" operator="equal">
      <formula>"수정"</formula>
    </cfRule>
    <cfRule type="cellIs" dxfId="95" priority="96" operator="equal">
      <formula>"신규"</formula>
    </cfRule>
  </conditionalFormatting>
  <conditionalFormatting sqref="AB45:AB46">
    <cfRule type="cellIs" dxfId="94" priority="93" operator="equal">
      <formula>"수정-신규"</formula>
    </cfRule>
  </conditionalFormatting>
  <conditionalFormatting sqref="AB45:AB46">
    <cfRule type="cellIs" dxfId="93" priority="89" operator="equal">
      <formula>"수정-신규"</formula>
    </cfRule>
  </conditionalFormatting>
  <conditionalFormatting sqref="AB45:AB46">
    <cfRule type="cellIs" dxfId="92" priority="90" operator="equal">
      <formula>"수정-신규"</formula>
    </cfRule>
    <cfRule type="cellIs" dxfId="91" priority="91" operator="equal">
      <formula>"수정"</formula>
    </cfRule>
    <cfRule type="cellIs" dxfId="90" priority="92" operator="equal">
      <formula>"신규"</formula>
    </cfRule>
  </conditionalFormatting>
  <conditionalFormatting sqref="AE131">
    <cfRule type="cellIs" dxfId="89" priority="70" operator="equal">
      <formula>"수정-신규"</formula>
    </cfRule>
    <cfRule type="cellIs" dxfId="88" priority="71" operator="equal">
      <formula>"수정"</formula>
    </cfRule>
    <cfRule type="cellIs" dxfId="87" priority="72" operator="equal">
      <formula>"신규"</formula>
    </cfRule>
  </conditionalFormatting>
  <conditionalFormatting sqref="AE131">
    <cfRule type="cellIs" dxfId="86" priority="69" operator="equal">
      <formula>"수정-신규"</formula>
    </cfRule>
  </conditionalFormatting>
  <conditionalFormatting sqref="AD131">
    <cfRule type="cellIs" dxfId="85" priority="65" operator="equal">
      <formula>"수정-신규"</formula>
    </cfRule>
  </conditionalFormatting>
  <conditionalFormatting sqref="AD131">
    <cfRule type="cellIs" dxfId="84" priority="66" operator="equal">
      <formula>"수정-신규"</formula>
    </cfRule>
    <cfRule type="cellIs" dxfId="83" priority="67" operator="equal">
      <formula>"수정"</formula>
    </cfRule>
    <cfRule type="cellIs" dxfId="82" priority="68" operator="equal">
      <formula>"신규"</formula>
    </cfRule>
  </conditionalFormatting>
  <conditionalFormatting sqref="AB7:AB10">
    <cfRule type="cellIs" dxfId="81" priority="78" operator="equal">
      <formula>"수정-신규"</formula>
    </cfRule>
    <cfRule type="cellIs" dxfId="80" priority="79" operator="equal">
      <formula>"수정"</formula>
    </cfRule>
    <cfRule type="cellIs" dxfId="79" priority="80" operator="equal">
      <formula>"신규"</formula>
    </cfRule>
  </conditionalFormatting>
  <conditionalFormatting sqref="AB7:AB10">
    <cfRule type="cellIs" dxfId="78" priority="77" operator="equal">
      <formula>"수정-신규"</formula>
    </cfRule>
  </conditionalFormatting>
  <conditionalFormatting sqref="AB7:AB10">
    <cfRule type="cellIs" dxfId="77" priority="73" operator="equal">
      <formula>"수정-신규"</formula>
    </cfRule>
  </conditionalFormatting>
  <conditionalFormatting sqref="AB7:AB10">
    <cfRule type="cellIs" dxfId="76" priority="74" operator="equal">
      <formula>"수정-신규"</formula>
    </cfRule>
    <cfRule type="cellIs" dxfId="75" priority="75" operator="equal">
      <formula>"수정"</formula>
    </cfRule>
    <cfRule type="cellIs" dxfId="74" priority="76" operator="equal">
      <formula>"신규"</formula>
    </cfRule>
  </conditionalFormatting>
  <conditionalFormatting sqref="V131">
    <cfRule type="cellIs" dxfId="73" priority="57" operator="equal">
      <formula>"수정-신규"</formula>
    </cfRule>
  </conditionalFormatting>
  <conditionalFormatting sqref="V131">
    <cfRule type="cellIs" dxfId="72" priority="58" operator="equal">
      <formula>"수정-신규"</formula>
    </cfRule>
    <cfRule type="cellIs" dxfId="71" priority="59" operator="equal">
      <formula>"수정"</formula>
    </cfRule>
    <cfRule type="cellIs" dxfId="70" priority="60" operator="equal">
      <formula>"신규"</formula>
    </cfRule>
  </conditionalFormatting>
  <conditionalFormatting sqref="AB131:AE131">
    <cfRule type="cellIs" dxfId="69" priority="62" operator="equal">
      <formula>"수정-신규"</formula>
    </cfRule>
    <cfRule type="cellIs" dxfId="68" priority="63" operator="equal">
      <formula>"수정"</formula>
    </cfRule>
    <cfRule type="cellIs" dxfId="67" priority="64" operator="equal">
      <formula>"신규"</formula>
    </cfRule>
  </conditionalFormatting>
  <conditionalFormatting sqref="AB131:AE131">
    <cfRule type="cellIs" dxfId="66" priority="61" operator="equal">
      <formula>"수정-신규"</formula>
    </cfRule>
  </conditionalFormatting>
  <conditionalFormatting sqref="V137">
    <cfRule type="cellIs" dxfId="65" priority="42" operator="equal">
      <formula>"수정-신규"</formula>
    </cfRule>
    <cfRule type="cellIs" dxfId="64" priority="43" operator="equal">
      <formula>"수정"</formula>
    </cfRule>
    <cfRule type="cellIs" dxfId="63" priority="44" operator="equal">
      <formula>"신규"</formula>
    </cfRule>
  </conditionalFormatting>
  <conditionalFormatting sqref="V137">
    <cfRule type="cellIs" dxfId="62" priority="41" operator="equal">
      <formula>"수정-신규"</formula>
    </cfRule>
  </conditionalFormatting>
  <conditionalFormatting sqref="AB137:AE137">
    <cfRule type="cellIs" dxfId="61" priority="46" operator="equal">
      <formula>"수정-신규"</formula>
    </cfRule>
    <cfRule type="cellIs" dxfId="60" priority="47" operator="equal">
      <formula>"수정"</formula>
    </cfRule>
    <cfRule type="cellIs" dxfId="59" priority="48" operator="equal">
      <formula>"신규"</formula>
    </cfRule>
  </conditionalFormatting>
  <conditionalFormatting sqref="AB137:AE137">
    <cfRule type="cellIs" dxfId="58" priority="45" operator="equal">
      <formula>"수정-신규"</formula>
    </cfRule>
  </conditionalFormatting>
  <conditionalFormatting sqref="AD137">
    <cfRule type="cellIs" dxfId="57" priority="50" operator="equal">
      <formula>"수정-신규"</formula>
    </cfRule>
    <cfRule type="cellIs" dxfId="56" priority="51" operator="equal">
      <formula>"수정"</formula>
    </cfRule>
    <cfRule type="cellIs" dxfId="55" priority="52" operator="equal">
      <formula>"신규"</formula>
    </cfRule>
  </conditionalFormatting>
  <conditionalFormatting sqref="AD137">
    <cfRule type="cellIs" dxfId="54" priority="49" operator="equal">
      <formula>"수정-신규"</formula>
    </cfRule>
  </conditionalFormatting>
  <conditionalFormatting sqref="AE137">
    <cfRule type="cellIs" dxfId="53" priority="54" operator="equal">
      <formula>"수정-신규"</formula>
    </cfRule>
    <cfRule type="cellIs" dxfId="52" priority="55" operator="equal">
      <formula>"수정"</formula>
    </cfRule>
    <cfRule type="cellIs" dxfId="51" priority="56" operator="equal">
      <formula>"신규"</formula>
    </cfRule>
  </conditionalFormatting>
  <conditionalFormatting sqref="AE137">
    <cfRule type="cellIs" dxfId="50" priority="53" operator="equal">
      <formula>"수정-신규"</formula>
    </cfRule>
  </conditionalFormatting>
  <conditionalFormatting sqref="AE132">
    <cfRule type="cellIs" dxfId="49" priority="30" operator="equal">
      <formula>"수정-신규"</formula>
    </cfRule>
    <cfRule type="cellIs" dxfId="48" priority="31" operator="equal">
      <formula>"수정"</formula>
    </cfRule>
    <cfRule type="cellIs" dxfId="47" priority="32" operator="equal">
      <formula>"신규"</formula>
    </cfRule>
  </conditionalFormatting>
  <conditionalFormatting sqref="AE132">
    <cfRule type="cellIs" dxfId="46" priority="29" operator="equal">
      <formula>"수정-신규"</formula>
    </cfRule>
  </conditionalFormatting>
  <conditionalFormatting sqref="AD132">
    <cfRule type="cellIs" dxfId="45" priority="26" operator="equal">
      <formula>"수정-신규"</formula>
    </cfRule>
    <cfRule type="cellIs" dxfId="44" priority="27" operator="equal">
      <formula>"수정"</formula>
    </cfRule>
    <cfRule type="cellIs" dxfId="43" priority="28" operator="equal">
      <formula>"신규"</formula>
    </cfRule>
  </conditionalFormatting>
  <conditionalFormatting sqref="AD132">
    <cfRule type="cellIs" dxfId="42" priority="25" operator="equal">
      <formula>"수정-신규"</formula>
    </cfRule>
  </conditionalFormatting>
  <conditionalFormatting sqref="AB117:AB118">
    <cfRule type="cellIs" dxfId="41" priority="34" operator="equal">
      <formula>"수정-신규"</formula>
    </cfRule>
    <cfRule type="cellIs" dxfId="40" priority="35" operator="equal">
      <formula>"수정"</formula>
    </cfRule>
    <cfRule type="cellIs" dxfId="39" priority="36" operator="equal">
      <formula>"신규"</formula>
    </cfRule>
  </conditionalFormatting>
  <conditionalFormatting sqref="AB117:AB118">
    <cfRule type="cellIs" dxfId="38" priority="33" operator="equal">
      <formula>"수정-신규"</formula>
    </cfRule>
  </conditionalFormatting>
  <conditionalFormatting sqref="AB117:AB118">
    <cfRule type="cellIs" dxfId="37" priority="38" operator="equal">
      <formula>"수정-신규"</formula>
    </cfRule>
    <cfRule type="cellIs" dxfId="36" priority="39" operator="equal">
      <formula>"수정"</formula>
    </cfRule>
    <cfRule type="cellIs" dxfId="35" priority="40" operator="equal">
      <formula>"신규"</formula>
    </cfRule>
  </conditionalFormatting>
  <conditionalFormatting sqref="AB117:AB118">
    <cfRule type="cellIs" dxfId="34" priority="37" operator="equal">
      <formula>"수정-신규"</formula>
    </cfRule>
  </conditionalFormatting>
  <conditionalFormatting sqref="AB132:AE132">
    <cfRule type="cellIs" dxfId="33" priority="22" operator="equal">
      <formula>"수정-신규"</formula>
    </cfRule>
    <cfRule type="cellIs" dxfId="32" priority="23" operator="equal">
      <formula>"수정"</formula>
    </cfRule>
    <cfRule type="cellIs" dxfId="31" priority="24" operator="equal">
      <formula>"신규"</formula>
    </cfRule>
  </conditionalFormatting>
  <conditionalFormatting sqref="AB132:AE132">
    <cfRule type="cellIs" dxfId="30" priority="21" operator="equal">
      <formula>"수정-신규"</formula>
    </cfRule>
  </conditionalFormatting>
  <conditionalFormatting sqref="V132">
    <cfRule type="cellIs" dxfId="29" priority="17" operator="equal">
      <formula>"수정-신규"</formula>
    </cfRule>
  </conditionalFormatting>
  <conditionalFormatting sqref="V132">
    <cfRule type="cellIs" dxfId="28" priority="18" operator="equal">
      <formula>"수정-신규"</formula>
    </cfRule>
    <cfRule type="cellIs" dxfId="27" priority="19" operator="equal">
      <formula>"수정"</formula>
    </cfRule>
    <cfRule type="cellIs" dxfId="26" priority="20" operator="equal">
      <formula>"신규"</formula>
    </cfRule>
  </conditionalFormatting>
  <conditionalFormatting sqref="AD138">
    <cfRule type="cellIs" dxfId="25" priority="10" operator="equal">
      <formula>"수정-신규"</formula>
    </cfRule>
    <cfRule type="cellIs" dxfId="24" priority="11" operator="equal">
      <formula>"수정"</formula>
    </cfRule>
    <cfRule type="cellIs" dxfId="23" priority="12" operator="equal">
      <formula>"신규"</formula>
    </cfRule>
  </conditionalFormatting>
  <conditionalFormatting sqref="AD138">
    <cfRule type="cellIs" dxfId="22" priority="9" operator="equal">
      <formula>"수정-신규"</formula>
    </cfRule>
  </conditionalFormatting>
  <conditionalFormatting sqref="AE138">
    <cfRule type="cellIs" dxfId="21" priority="14" operator="equal">
      <formula>"수정-신규"</formula>
    </cfRule>
    <cfRule type="cellIs" dxfId="20" priority="15" operator="equal">
      <formula>"수정"</formula>
    </cfRule>
    <cfRule type="cellIs" dxfId="19" priority="16" operator="equal">
      <formula>"신규"</formula>
    </cfRule>
  </conditionalFormatting>
  <conditionalFormatting sqref="AE138">
    <cfRule type="cellIs" dxfId="18" priority="13" operator="equal">
      <formula>"수정-신규"</formula>
    </cfRule>
  </conditionalFormatting>
  <conditionalFormatting sqref="AB138:AE138">
    <cfRule type="cellIs" dxfId="17" priority="6" operator="equal">
      <formula>"수정-신규"</formula>
    </cfRule>
    <cfRule type="cellIs" dxfId="16" priority="7" operator="equal">
      <formula>"수정"</formula>
    </cfRule>
    <cfRule type="cellIs" dxfId="15" priority="8" operator="equal">
      <formula>"신규"</formula>
    </cfRule>
  </conditionalFormatting>
  <conditionalFormatting sqref="AB138:AE138">
    <cfRule type="cellIs" dxfId="14" priority="5" operator="equal">
      <formula>"수정-신규"</formula>
    </cfRule>
  </conditionalFormatting>
  <conditionalFormatting sqref="V138">
    <cfRule type="cellIs" dxfId="13" priority="2" operator="equal">
      <formula>"수정-신규"</formula>
    </cfRule>
    <cfRule type="cellIs" dxfId="12" priority="3" operator="equal">
      <formula>"수정"</formula>
    </cfRule>
    <cfRule type="cellIs" dxfId="11" priority="4" operator="equal">
      <formula>"신규"</formula>
    </cfRule>
  </conditionalFormatting>
  <conditionalFormatting sqref="V138">
    <cfRule type="cellIs" dxfId="10" priority="1" operator="equal">
      <formula>"수정-신규"</formula>
    </cfRule>
  </conditionalFormatting>
  <pageMargins left="0.7" right="0.7" top="0.75" bottom="0.75" header="0.3" footer="0.3"/>
  <pageSetup paperSize="9" orientation="portrait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M100"/>
  <sheetViews>
    <sheetView zoomScale="70" zoomScaleNormal="70" workbookViewId="0">
      <pane ySplit="9" topLeftCell="A10" activePane="bottomLeft" state="frozen"/>
      <selection activeCell="A69" sqref="A69:XFD76"/>
      <selection pane="bottomLeft" activeCell="E11" sqref="E11:E29"/>
    </sheetView>
  </sheetViews>
  <sheetFormatPr defaultColWidth="9" defaultRowHeight="13.8"/>
  <cols>
    <col min="1" max="1" width="8.59765625" style="28" customWidth="1"/>
    <col min="2" max="2" width="13.8984375" style="28" bestFit="1" customWidth="1"/>
    <col min="3" max="3" width="15.09765625" style="28" customWidth="1"/>
    <col min="4" max="4" width="33.3984375" style="28" customWidth="1"/>
    <col min="5" max="5" width="27.69921875" style="28" customWidth="1"/>
    <col min="6" max="6" width="10.09765625" style="28" bestFit="1" customWidth="1"/>
    <col min="7" max="7" width="17.59765625" style="28" customWidth="1"/>
    <col min="8" max="8" width="19.09765625" style="28" customWidth="1"/>
    <col min="9" max="13" width="8.59765625" style="28" customWidth="1"/>
    <col min="14" max="16" width="9.69921875" style="28" bestFit="1" customWidth="1"/>
    <col min="17" max="17" width="7.59765625" style="28" customWidth="1"/>
    <col min="18" max="19" width="9.8984375" style="28" customWidth="1"/>
    <col min="20" max="20" width="8.59765625" style="28" customWidth="1"/>
    <col min="21" max="22" width="10.09765625" style="28" bestFit="1" customWidth="1"/>
    <col min="23" max="23" width="6.09765625" style="28" bestFit="1" customWidth="1"/>
    <col min="24" max="24" width="7.59765625" style="28" customWidth="1"/>
    <col min="25" max="25" width="11.19921875" style="28" customWidth="1"/>
    <col min="26" max="26" width="9.8984375" style="28" customWidth="1"/>
    <col min="27" max="27" width="6.09765625" style="28" bestFit="1" customWidth="1"/>
    <col min="28" max="28" width="6" style="28" bestFit="1" customWidth="1"/>
    <col min="29" max="30" width="10.09765625" style="28" bestFit="1" customWidth="1"/>
    <col min="31" max="31" width="6.09765625" style="28" bestFit="1" customWidth="1"/>
    <col min="32" max="32" width="5.5" style="28" bestFit="1" customWidth="1"/>
    <col min="33" max="34" width="9" style="28"/>
    <col min="35" max="35" width="6.09765625" style="28" bestFit="1" customWidth="1"/>
    <col min="36" max="36" width="11" style="28" customWidth="1"/>
    <col min="37" max="37" width="7" style="28" customWidth="1"/>
    <col min="38" max="38" width="7" style="28" bestFit="1" customWidth="1"/>
    <col min="39" max="39" width="12.3984375" style="28" customWidth="1"/>
    <col min="40" max="16384" width="9" style="28"/>
  </cols>
  <sheetData>
    <row r="1" spans="1:39" s="69" customFormat="1" ht="18.75" customHeight="1">
      <c r="A1" s="56" t="str">
        <f ca="1">"["&amp;MID(CELL("filename",A1),FIND("]",CELL("filename",A1))+1,100) &amp; "] 프로그램 개발 진척 관리"</f>
        <v>[포털및모바일-임신출산모바일앱] 프로그램 개발 진척 관리</v>
      </c>
      <c r="B1" s="56"/>
      <c r="C1" s="56"/>
      <c r="D1" s="57"/>
      <c r="E1" s="56"/>
      <c r="F1" s="56"/>
      <c r="G1" s="57"/>
      <c r="H1" s="57"/>
      <c r="I1" s="58" t="s">
        <v>4815</v>
      </c>
      <c r="J1" s="59" t="s">
        <v>4816</v>
      </c>
      <c r="K1" s="59" t="s">
        <v>4817</v>
      </c>
      <c r="L1" s="60" t="s">
        <v>4818</v>
      </c>
      <c r="M1" s="61" t="s">
        <v>4819</v>
      </c>
      <c r="N1" s="58" t="s">
        <v>4820</v>
      </c>
      <c r="O1" s="62" t="s">
        <v>4480</v>
      </c>
      <c r="P1" s="62" t="s">
        <v>4821</v>
      </c>
      <c r="Q1" s="62" t="s">
        <v>4822</v>
      </c>
      <c r="R1" s="63" t="s">
        <v>4823</v>
      </c>
      <c r="S1" s="64" t="s">
        <v>4819</v>
      </c>
      <c r="T1" s="65" t="s">
        <v>4824</v>
      </c>
      <c r="U1" s="66">
        <v>44466</v>
      </c>
      <c r="V1" s="67">
        <v>44361</v>
      </c>
      <c r="W1" s="67">
        <v>44466</v>
      </c>
      <c r="X1" s="67">
        <v>44361</v>
      </c>
      <c r="Y1" s="67">
        <v>44473</v>
      </c>
      <c r="Z1" s="68">
        <v>44361</v>
      </c>
      <c r="AA1" s="66">
        <v>44466</v>
      </c>
      <c r="AB1" s="67">
        <v>44361</v>
      </c>
      <c r="AC1" s="67">
        <v>44466</v>
      </c>
      <c r="AD1" s="67">
        <v>44361</v>
      </c>
      <c r="AE1" s="67">
        <v>44473</v>
      </c>
      <c r="AF1" s="68">
        <v>44361</v>
      </c>
      <c r="AG1" s="66">
        <v>44466</v>
      </c>
      <c r="AH1" s="67">
        <v>44361</v>
      </c>
      <c r="AI1" s="67">
        <v>44466</v>
      </c>
      <c r="AJ1" s="67">
        <v>44361</v>
      </c>
      <c r="AK1" s="67">
        <v>44473</v>
      </c>
      <c r="AL1" s="68">
        <v>44361</v>
      </c>
    </row>
    <row r="2" spans="1:39" s="69" customFormat="1" ht="13.5" customHeight="1">
      <c r="A2" s="56"/>
      <c r="B2" s="56"/>
      <c r="C2" s="56"/>
      <c r="D2" s="57"/>
      <c r="E2" s="56"/>
      <c r="G2" s="70" t="s">
        <v>4825</v>
      </c>
      <c r="H2" s="71">
        <v>44470</v>
      </c>
      <c r="I2" s="72" t="s">
        <v>4480</v>
      </c>
      <c r="J2" s="73">
        <f>COUNTIFS($F:$F,$I$2,$M:$M,$J1,$AL:$AL,"&lt;&gt;삭제")</f>
        <v>0</v>
      </c>
      <c r="K2" s="73">
        <f>COUNTIFS($F:$F,$I$2,$M:$M,$K1,$AL:$AL,"&lt;&gt;삭제")</f>
        <v>48</v>
      </c>
      <c r="L2" s="73">
        <f>COUNTIFS($F:$F,$I$2,$M:$M,$L1,$AL:$AL,"&lt;&gt;삭제")</f>
        <v>39</v>
      </c>
      <c r="M2" s="74">
        <f>SUM(J2:L2)</f>
        <v>87</v>
      </c>
      <c r="N2" s="75" t="s">
        <v>4826</v>
      </c>
      <c r="O2" s="73">
        <f t="shared" ref="O2:R4" si="0">COUNTIFS($F:$F,O$1,$I:$I,$N2,$AL:$AL,"&lt;&gt;삭제")</f>
        <v>28</v>
      </c>
      <c r="P2" s="73">
        <f t="shared" si="0"/>
        <v>0</v>
      </c>
      <c r="Q2" s="73">
        <f t="shared" si="0"/>
        <v>0</v>
      </c>
      <c r="R2" s="76">
        <f t="shared" si="0"/>
        <v>3</v>
      </c>
      <c r="S2" s="77">
        <f>SUM(O2:R2)</f>
        <v>31</v>
      </c>
      <c r="T2" s="65" t="s">
        <v>4827</v>
      </c>
      <c r="U2" s="78">
        <v>44470</v>
      </c>
      <c r="V2" s="79">
        <v>44470</v>
      </c>
      <c r="W2" s="79">
        <v>44470</v>
      </c>
      <c r="X2" s="79">
        <v>44470</v>
      </c>
      <c r="Y2" s="79">
        <v>44477</v>
      </c>
      <c r="Z2" s="80">
        <v>44477</v>
      </c>
      <c r="AA2" s="78">
        <v>44470</v>
      </c>
      <c r="AB2" s="79">
        <v>44470</v>
      </c>
      <c r="AC2" s="79">
        <v>44470</v>
      </c>
      <c r="AD2" s="79">
        <v>44470</v>
      </c>
      <c r="AE2" s="79">
        <v>44477</v>
      </c>
      <c r="AF2" s="80">
        <v>44477</v>
      </c>
      <c r="AG2" s="78">
        <v>44470</v>
      </c>
      <c r="AH2" s="79">
        <v>44470</v>
      </c>
      <c r="AI2" s="79">
        <v>44470</v>
      </c>
      <c r="AJ2" s="79">
        <v>44470</v>
      </c>
      <c r="AK2" s="79">
        <v>44477</v>
      </c>
      <c r="AL2" s="80">
        <v>44477</v>
      </c>
    </row>
    <row r="3" spans="1:39" s="69" customFormat="1" ht="13.5" customHeight="1">
      <c r="A3" s="56"/>
      <c r="B3" s="56"/>
      <c r="C3" s="56"/>
      <c r="D3" s="57"/>
      <c r="E3" s="56"/>
      <c r="G3" s="81"/>
      <c r="H3" s="82"/>
      <c r="I3" s="72" t="s">
        <v>4821</v>
      </c>
      <c r="J3" s="73">
        <f>COUNTIFS($F:$F,$I3,$M:$M,$J$1,$AL:$AL,"&lt;&gt;삭제")</f>
        <v>0</v>
      </c>
      <c r="K3" s="73">
        <f>COUNTIFS($F:$F,$I3,$M:$M,$K$1,$AL:$AL,"&lt;&gt;삭제")</f>
        <v>0</v>
      </c>
      <c r="L3" s="73">
        <f>COUNTIFS($F:$F,$I3,$M:$M,L$1,$AL:$AL,"&lt;&gt;삭제")</f>
        <v>0</v>
      </c>
      <c r="M3" s="74">
        <f t="shared" ref="M3:M5" si="1">SUM(J3:L3)</f>
        <v>0</v>
      </c>
      <c r="N3" s="75" t="s">
        <v>4828</v>
      </c>
      <c r="O3" s="73">
        <f t="shared" si="0"/>
        <v>58</v>
      </c>
      <c r="P3" s="73">
        <f t="shared" si="0"/>
        <v>0</v>
      </c>
      <c r="Q3" s="73">
        <f t="shared" si="0"/>
        <v>0</v>
      </c>
      <c r="R3" s="76">
        <f t="shared" si="0"/>
        <v>0</v>
      </c>
      <c r="S3" s="77">
        <f>SUM(O3:R3)</f>
        <v>58</v>
      </c>
      <c r="U3" s="429" t="s">
        <v>4829</v>
      </c>
      <c r="V3" s="410"/>
      <c r="W3" s="410"/>
      <c r="X3" s="410"/>
      <c r="Y3" s="410"/>
      <c r="Z3" s="430"/>
      <c r="AA3" s="83" t="s">
        <v>4830</v>
      </c>
      <c r="AB3" s="84"/>
      <c r="AC3" s="84"/>
      <c r="AD3" s="84"/>
      <c r="AE3" s="84"/>
      <c r="AF3" s="85"/>
      <c r="AG3" s="86" t="s">
        <v>4831</v>
      </c>
      <c r="AH3" s="87"/>
      <c r="AI3" s="87"/>
      <c r="AJ3" s="87"/>
      <c r="AK3" s="87"/>
      <c r="AL3" s="88"/>
    </row>
    <row r="4" spans="1:39" s="69" customFormat="1" ht="13.5" customHeight="1" thickBot="1">
      <c r="A4" s="89"/>
      <c r="D4" s="89"/>
      <c r="G4" s="90" t="s">
        <v>4832</v>
      </c>
      <c r="H4" s="91">
        <v>0</v>
      </c>
      <c r="I4" s="72" t="s">
        <v>4822</v>
      </c>
      <c r="J4" s="73">
        <f>COUNTIFS($F:$F,$I4,$M:$M,$J$1,$AL:$AL,"&lt;&gt;삭제")</f>
        <v>0</v>
      </c>
      <c r="K4" s="73">
        <f>COUNTIFS($F:$F,$I4,$M:$M,$K$1,$AL:$AL,"&lt;&gt;삭제")</f>
        <v>0</v>
      </c>
      <c r="L4" s="73">
        <f>COUNTIFS($F:$F,$I4,$M:$M,L$1,$AL:$AL,"&lt;&gt;삭제")</f>
        <v>0</v>
      </c>
      <c r="M4" s="74">
        <f t="shared" si="1"/>
        <v>0</v>
      </c>
      <c r="N4" s="92" t="s">
        <v>4833</v>
      </c>
      <c r="O4" s="93">
        <f t="shared" si="0"/>
        <v>1</v>
      </c>
      <c r="P4" s="93">
        <f t="shared" si="0"/>
        <v>0</v>
      </c>
      <c r="Q4" s="93">
        <f t="shared" si="0"/>
        <v>0</v>
      </c>
      <c r="R4" s="94">
        <f t="shared" si="0"/>
        <v>0</v>
      </c>
      <c r="S4" s="95">
        <f>SUM(O4:R4)</f>
        <v>1</v>
      </c>
      <c r="U4" s="96" t="s">
        <v>4834</v>
      </c>
      <c r="V4" s="97"/>
      <c r="W4" s="97" t="s">
        <v>4835</v>
      </c>
      <c r="X4" s="97"/>
      <c r="Y4" s="98" t="s">
        <v>4836</v>
      </c>
      <c r="Z4" s="99"/>
      <c r="AA4" s="100" t="s">
        <v>4837</v>
      </c>
      <c r="AB4" s="101"/>
      <c r="AC4" s="101" t="s">
        <v>4838</v>
      </c>
      <c r="AD4" s="101"/>
      <c r="AE4" s="102" t="s">
        <v>4839</v>
      </c>
      <c r="AF4" s="103"/>
      <c r="AG4" s="104" t="s">
        <v>4837</v>
      </c>
      <c r="AH4" s="105"/>
      <c r="AI4" s="105" t="s">
        <v>4838</v>
      </c>
      <c r="AJ4" s="105"/>
      <c r="AK4" s="106" t="s">
        <v>4839</v>
      </c>
      <c r="AL4" s="107"/>
    </row>
    <row r="5" spans="1:39" s="69" customFormat="1" ht="13.5" customHeight="1" thickTop="1" thickBot="1">
      <c r="A5" s="89"/>
      <c r="D5" s="89"/>
      <c r="G5" s="90" t="s">
        <v>4840</v>
      </c>
      <c r="H5" s="108">
        <v>0</v>
      </c>
      <c r="I5" s="109" t="s">
        <v>4823</v>
      </c>
      <c r="J5" s="93">
        <f>COUNTIFS($F:$F,$I5,$M:$M,$J$1,$AL:$AL,"&lt;&gt;삭제")</f>
        <v>0</v>
      </c>
      <c r="K5" s="93">
        <f>COUNTIFS($F:$F,$I5,$M:$M,$K$1,$AL:$AL,"&lt;&gt;삭제")</f>
        <v>3</v>
      </c>
      <c r="L5" s="110">
        <f>COUNTIFS($F:$F,$I5,$M:$M,L$1,$AL:$AL,"&lt;&gt;삭제")</f>
        <v>0</v>
      </c>
      <c r="M5" s="111">
        <f t="shared" si="1"/>
        <v>3</v>
      </c>
      <c r="N5" s="112" t="s">
        <v>4819</v>
      </c>
      <c r="O5" s="113">
        <f>SUM(O2:O4)</f>
        <v>87</v>
      </c>
      <c r="P5" s="113">
        <f>SUM(P2:P4)</f>
        <v>0</v>
      </c>
      <c r="Q5" s="113">
        <f>SUM(Q2:Q4)</f>
        <v>0</v>
      </c>
      <c r="R5" s="114">
        <f>SUM(R2:R4)</f>
        <v>3</v>
      </c>
      <c r="S5" s="115">
        <f>SUM(S2:S4)</f>
        <v>90</v>
      </c>
      <c r="U5" s="116" t="s">
        <v>4841</v>
      </c>
      <c r="V5" s="117" t="s">
        <v>4842</v>
      </c>
      <c r="W5" s="117" t="s">
        <v>4841</v>
      </c>
      <c r="X5" s="117" t="s">
        <v>4842</v>
      </c>
      <c r="Y5" s="118" t="s">
        <v>4843</v>
      </c>
      <c r="Z5" s="119" t="s">
        <v>4842</v>
      </c>
      <c r="AA5" s="120" t="s">
        <v>1089</v>
      </c>
      <c r="AB5" s="121" t="s">
        <v>658</v>
      </c>
      <c r="AC5" s="121" t="s">
        <v>1089</v>
      </c>
      <c r="AD5" s="121" t="s">
        <v>658</v>
      </c>
      <c r="AE5" s="122" t="s">
        <v>1826</v>
      </c>
      <c r="AF5" s="123" t="s">
        <v>658</v>
      </c>
      <c r="AG5" s="124" t="s">
        <v>1089</v>
      </c>
      <c r="AH5" s="125" t="s">
        <v>658</v>
      </c>
      <c r="AI5" s="125" t="s">
        <v>1089</v>
      </c>
      <c r="AJ5" s="125" t="s">
        <v>658</v>
      </c>
      <c r="AK5" s="126" t="s">
        <v>1826</v>
      </c>
      <c r="AL5" s="127" t="s">
        <v>658</v>
      </c>
    </row>
    <row r="6" spans="1:39" s="69" customFormat="1" ht="16.8" thickTop="1" thickBot="1">
      <c r="A6" s="89"/>
      <c r="D6" s="89"/>
      <c r="G6" s="89"/>
      <c r="H6" s="89"/>
      <c r="I6" s="128" t="s">
        <v>4819</v>
      </c>
      <c r="J6" s="129">
        <f>SUM(J2:J5)</f>
        <v>0</v>
      </c>
      <c r="K6" s="129">
        <f>SUM(K2:K5)</f>
        <v>51</v>
      </c>
      <c r="L6" s="130">
        <f>SUM(L2:L5)</f>
        <v>39</v>
      </c>
      <c r="M6" s="131">
        <f>SUM(M2:M5)</f>
        <v>90</v>
      </c>
      <c r="N6" s="132"/>
      <c r="O6" s="132"/>
      <c r="P6" s="132"/>
      <c r="Q6" s="132"/>
      <c r="R6" s="133"/>
      <c r="S6" s="133"/>
      <c r="T6" s="132"/>
      <c r="U6" s="134">
        <f>COUNTIFS($E:$E,"&lt;&gt;",$O:$O,"&gt;="&amp;U$1,$O:$O,"&lt;="&amp;U$2,$P:$P,1,$AL:$AL,"&lt;&gt;삭제")</f>
        <v>0</v>
      </c>
      <c r="V6" s="135">
        <f>COUNTIFS($E:$E,"&lt;&gt;",$O:$O,"&gt;="&amp;V$1,$O:$O,"&lt;="&amp;V$2,$P:$P,1,$AL:$AL,"&lt;&gt;삭제")</f>
        <v>0</v>
      </c>
      <c r="W6" s="135">
        <f>COUNTIFS($E:$E,"&lt;&gt;",$S:$S,"&gt;="&amp;W$1,$S:$S,"&lt;="&amp;W$2,$T:$T,1,$AL:$AL,"&lt;&gt;삭제")</f>
        <v>0</v>
      </c>
      <c r="X6" s="135">
        <f>COUNTIFS($E:$E,"&lt;&gt;",$S:$S,"&gt;="&amp;X$1,$S:$S,"&lt;="&amp;X$2,$T:$T,1,$AL:$AL,"&lt;&gt;삭제")</f>
        <v>0</v>
      </c>
      <c r="Y6" s="136">
        <f>COUNTIFS($E:$E,"&lt;&gt;",$O:$O,"&gt;="&amp;Y$1,$O:$O,"&lt;="&amp;Y$2,$AL:$AL,"&lt;&gt;삭제")</f>
        <v>0</v>
      </c>
      <c r="Z6" s="137">
        <f>COUNTIFS($E:$E,"&lt;&gt;",$O:$O,"&gt;="&amp;Z$1,$O:$O,"&lt;="&amp;Z$2,$AL:$AL,"&lt;&gt;삭제")</f>
        <v>0</v>
      </c>
      <c r="AA6" s="134">
        <f>COUNTIFS($E:$E,"&lt;&gt;",$V:$V,"&gt;="&amp;AA$1,$V:$V,"&lt;="&amp;AA$2,$W:$W,1,$AL:$AL,"&lt;&gt;삭제")</f>
        <v>0</v>
      </c>
      <c r="AB6" s="135">
        <f>COUNTIFS($E:$E,"&lt;&gt;",$V:$V,"&gt;="&amp;AB$1,$V:$V,"&lt;="&amp;AB$2,$W:$W,1,$AL:$AL,"&lt;&gt;삭제")</f>
        <v>0</v>
      </c>
      <c r="AC6" s="135">
        <f>COUNTIFS($E:$E,"&lt;&gt;",$Z:$Z,"&gt;="&amp;AC$1,$Z:$Z,"&lt;="&amp;AC$2,$AA:$AA,1,$AL:$AL,"&lt;&gt;삭제")</f>
        <v>0</v>
      </c>
      <c r="AD6" s="135">
        <f>COUNTIFS($E:$E,"&lt;&gt;",$Z:$Z,"&gt;="&amp;AD$1,$Z:$Z,"&lt;="&amp;AD$2,$AA:$AA,1,$AL:$AL,"&lt;&gt;삭제")</f>
        <v>0</v>
      </c>
      <c r="AE6" s="136">
        <f>COUNTIFS($E:$E,"&lt;&gt;",$V:$V,"&gt;="&amp;AE$1,$V:$V,"&lt;="&amp;AE$2,$AL:$AL,"&lt;&gt;삭제")</f>
        <v>0</v>
      </c>
      <c r="AF6" s="137">
        <f>COUNTIFS($E:$E,"&lt;&gt;",$V:$V,"&gt;="&amp;AF$1,$V:$V,"&lt;="&amp;AF$2,$AL:$AL,"&lt;&gt;삭제")</f>
        <v>0</v>
      </c>
      <c r="AG6" s="134">
        <f>COUNTIFS($E:$E,"&lt;&gt;",$AD:$AD,"&gt;="&amp;AG$1,$AD:$AD,"&lt;="&amp;AG$2,$AE:$AE,1,$AL:$AL,"&lt;&gt;삭제")</f>
        <v>0</v>
      </c>
      <c r="AH6" s="135">
        <f>COUNTIFS($E:$E,"&lt;&gt;",$AD:$AD,"&gt;="&amp;AH$1,$AD:$AD,"&lt;="&amp;AH$2,$AE:$AE,1,$AL:$AL,"&lt;&gt;삭제")</f>
        <v>0</v>
      </c>
      <c r="AI6" s="135">
        <f>COUNTIFS($E:$E,"&lt;&gt;",$AH:$AH,"&gt;="&amp;AI$1,$AH:$AH,"&lt;="&amp;AI$2,$AI:$AI,1,$AL:$AL,"&lt;&gt;삭제")</f>
        <v>0</v>
      </c>
      <c r="AJ6" s="135">
        <f>COUNTIFS($E:$E,"&lt;&gt;",$AH:$AH,"&gt;="&amp;AJ$1,$AH:$AH,"&lt;="&amp;AJ$2,$AI:$AI,1,$AL:$AL,"&lt;&gt;삭제")</f>
        <v>0</v>
      </c>
      <c r="AK6" s="136">
        <f>COUNTIFS($E:$E,"&lt;&gt;",$AD:$AD,"&gt;="&amp;AK$1,$AD:$AD,"&lt;="&amp;AK$2,$AL:$AL,"&lt;&gt;삭제")</f>
        <v>0</v>
      </c>
      <c r="AL6" s="137">
        <f>COUNTIFS($E:$E,"&lt;&gt;",$AD:$AD,"&gt;="&amp;AL$1,$AD:$AD,"&lt;="&amp;AL$2,$AL:$AL,"&lt;&gt;삭제")</f>
        <v>0</v>
      </c>
    </row>
    <row r="7" spans="1:39" s="139" customFormat="1" ht="15" customHeight="1">
      <c r="A7" s="138"/>
      <c r="D7" s="138"/>
      <c r="G7" s="138"/>
      <c r="H7" s="138"/>
      <c r="I7" s="138"/>
      <c r="J7" s="138"/>
      <c r="L7" s="138"/>
      <c r="M7" s="138"/>
      <c r="N7" s="409" t="s">
        <v>4844</v>
      </c>
      <c r="O7" s="410"/>
      <c r="P7" s="410"/>
      <c r="Q7" s="410"/>
      <c r="R7" s="410"/>
      <c r="S7" s="410"/>
      <c r="T7" s="411"/>
      <c r="U7" s="412" t="s">
        <v>4845</v>
      </c>
      <c r="V7" s="413"/>
      <c r="W7" s="413"/>
      <c r="X7" s="413"/>
      <c r="Y7" s="413"/>
      <c r="Z7" s="413"/>
      <c r="AA7" s="414"/>
      <c r="AB7" s="415" t="s">
        <v>4846</v>
      </c>
      <c r="AC7" s="413"/>
      <c r="AD7" s="413"/>
      <c r="AE7" s="413"/>
      <c r="AF7" s="413"/>
      <c r="AG7" s="413"/>
      <c r="AH7" s="413"/>
      <c r="AI7" s="414"/>
      <c r="AJ7" s="420" t="s">
        <v>4847</v>
      </c>
      <c r="AK7" s="421"/>
      <c r="AL7" s="424" t="s">
        <v>4848</v>
      </c>
      <c r="AM7" s="425"/>
    </row>
    <row r="8" spans="1:39" s="139" customFormat="1" ht="15" customHeight="1">
      <c r="A8" s="138"/>
      <c r="D8" s="138"/>
      <c r="G8" s="416" t="s">
        <v>4849</v>
      </c>
      <c r="H8" s="417"/>
      <c r="I8" s="138"/>
      <c r="J8" s="138"/>
      <c r="L8" s="138"/>
      <c r="M8" s="138"/>
      <c r="N8" s="409" t="s">
        <v>4850</v>
      </c>
      <c r="O8" s="410"/>
      <c r="P8" s="410"/>
      <c r="Q8" s="411"/>
      <c r="R8" s="409" t="s">
        <v>4851</v>
      </c>
      <c r="S8" s="418"/>
      <c r="T8" s="417"/>
      <c r="U8" s="419" t="s">
        <v>4850</v>
      </c>
      <c r="V8" s="418"/>
      <c r="W8" s="418"/>
      <c r="X8" s="417"/>
      <c r="Y8" s="419" t="s">
        <v>4851</v>
      </c>
      <c r="Z8" s="418"/>
      <c r="AA8" s="417"/>
      <c r="AB8" s="428" t="s">
        <v>4850</v>
      </c>
      <c r="AC8" s="418"/>
      <c r="AD8" s="418"/>
      <c r="AE8" s="418"/>
      <c r="AF8" s="417"/>
      <c r="AG8" s="428" t="s">
        <v>4851</v>
      </c>
      <c r="AH8" s="418"/>
      <c r="AI8" s="417"/>
      <c r="AJ8" s="422"/>
      <c r="AK8" s="423"/>
      <c r="AL8" s="426"/>
      <c r="AM8" s="427"/>
    </row>
    <row r="9" spans="1:39" s="138" customFormat="1" ht="26.25" customHeight="1">
      <c r="A9" s="140" t="s">
        <v>4852</v>
      </c>
      <c r="B9" s="140" t="s">
        <v>4853</v>
      </c>
      <c r="C9" s="140" t="s">
        <v>4854</v>
      </c>
      <c r="D9" s="141" t="s">
        <v>4855</v>
      </c>
      <c r="E9" s="141" t="s">
        <v>4856</v>
      </c>
      <c r="F9" s="141" t="s">
        <v>4857</v>
      </c>
      <c r="G9" s="141" t="s">
        <v>4858</v>
      </c>
      <c r="H9" s="141" t="s">
        <v>4859</v>
      </c>
      <c r="I9" s="140" t="s">
        <v>4820</v>
      </c>
      <c r="J9" s="140" t="s">
        <v>4860</v>
      </c>
      <c r="K9" s="140" t="s">
        <v>4861</v>
      </c>
      <c r="L9" s="140" t="s">
        <v>4862</v>
      </c>
      <c r="M9" s="140" t="s">
        <v>4815</v>
      </c>
      <c r="N9" s="142" t="s">
        <v>4863</v>
      </c>
      <c r="O9" s="142" t="s">
        <v>4864</v>
      </c>
      <c r="P9" s="143" t="s">
        <v>4832</v>
      </c>
      <c r="Q9" s="142" t="s">
        <v>4865</v>
      </c>
      <c r="R9" s="142" t="s">
        <v>4866</v>
      </c>
      <c r="S9" s="142" t="s">
        <v>4867</v>
      </c>
      <c r="T9" s="142" t="s">
        <v>4868</v>
      </c>
      <c r="U9" s="144" t="s">
        <v>4869</v>
      </c>
      <c r="V9" s="144" t="s">
        <v>4870</v>
      </c>
      <c r="W9" s="144" t="s">
        <v>4868</v>
      </c>
      <c r="X9" s="144" t="s">
        <v>1091</v>
      </c>
      <c r="Y9" s="144" t="s">
        <v>4866</v>
      </c>
      <c r="Z9" s="144" t="s">
        <v>4867</v>
      </c>
      <c r="AA9" s="145" t="s">
        <v>4868</v>
      </c>
      <c r="AB9" s="146" t="s">
        <v>4871</v>
      </c>
      <c r="AC9" s="146" t="s">
        <v>4869</v>
      </c>
      <c r="AD9" s="146" t="s">
        <v>4870</v>
      </c>
      <c r="AE9" s="146" t="s">
        <v>1305</v>
      </c>
      <c r="AF9" s="146" t="s">
        <v>1091</v>
      </c>
      <c r="AG9" s="146" t="s">
        <v>4872</v>
      </c>
      <c r="AH9" s="146" t="s">
        <v>4873</v>
      </c>
      <c r="AI9" s="146" t="s">
        <v>4868</v>
      </c>
      <c r="AJ9" s="147" t="s">
        <v>4874</v>
      </c>
      <c r="AK9" s="147" t="s">
        <v>4875</v>
      </c>
      <c r="AL9" s="140" t="s">
        <v>4876</v>
      </c>
      <c r="AM9" s="140" t="s">
        <v>4877</v>
      </c>
    </row>
    <row r="10" spans="1:39" s="170" customFormat="1" ht="14.1" customHeight="1">
      <c r="A10" s="148" t="s">
        <v>4878</v>
      </c>
      <c r="B10" s="70" t="s">
        <v>4879</v>
      </c>
      <c r="C10" s="149" t="s">
        <v>4880</v>
      </c>
      <c r="D10" s="150" t="s">
        <v>4881</v>
      </c>
      <c r="E10" s="151" t="s">
        <v>4882</v>
      </c>
      <c r="F10" s="152" t="s">
        <v>799</v>
      </c>
      <c r="G10" s="152"/>
      <c r="H10" s="152"/>
      <c r="I10" s="152" t="s">
        <v>2281</v>
      </c>
      <c r="J10" s="152" t="s">
        <v>2281</v>
      </c>
      <c r="K10" s="153" t="s">
        <v>4883</v>
      </c>
      <c r="L10" s="152" t="s">
        <v>4884</v>
      </c>
      <c r="M10" s="152" t="s">
        <v>4885</v>
      </c>
      <c r="N10" s="154">
        <f>WORKDAY("2021-10-15",1)</f>
        <v>44487</v>
      </c>
      <c r="O10" s="154">
        <f>WORKDAY(N10,Q10+IF(Q10=0,0,-1))</f>
        <v>44491</v>
      </c>
      <c r="P10" s="155">
        <v>0</v>
      </c>
      <c r="Q10" s="156">
        <v>5</v>
      </c>
      <c r="R10" s="154"/>
      <c r="S10" s="154"/>
      <c r="T10" s="157"/>
      <c r="U10" s="158">
        <v>44487</v>
      </c>
      <c r="V10" s="158">
        <v>44491</v>
      </c>
      <c r="W10" s="159">
        <v>0</v>
      </c>
      <c r="X10" s="160">
        <v>5</v>
      </c>
      <c r="Y10" s="161"/>
      <c r="Z10" s="162"/>
      <c r="AA10" s="157"/>
      <c r="AB10" s="163"/>
      <c r="AC10" s="164"/>
      <c r="AD10" s="164"/>
      <c r="AE10" s="165"/>
      <c r="AF10" s="166"/>
      <c r="AG10" s="162"/>
      <c r="AH10" s="162"/>
      <c r="AI10" s="167"/>
      <c r="AJ10" s="162"/>
      <c r="AK10" s="168"/>
      <c r="AL10" s="169"/>
      <c r="AM10" s="148"/>
    </row>
    <row r="11" spans="1:39" s="170" customFormat="1" ht="14.1" customHeight="1">
      <c r="A11" s="148" t="s">
        <v>4878</v>
      </c>
      <c r="B11" s="70" t="s">
        <v>4879</v>
      </c>
      <c r="C11" s="149" t="s">
        <v>4880</v>
      </c>
      <c r="D11" s="150" t="s">
        <v>4886</v>
      </c>
      <c r="E11" s="151" t="s">
        <v>4882</v>
      </c>
      <c r="F11" s="152" t="s">
        <v>799</v>
      </c>
      <c r="G11" s="152"/>
      <c r="H11" s="152"/>
      <c r="I11" s="152" t="s">
        <v>2281</v>
      </c>
      <c r="J11" s="152" t="s">
        <v>2281</v>
      </c>
      <c r="K11" s="153" t="s">
        <v>4883</v>
      </c>
      <c r="L11" s="152" t="s">
        <v>4884</v>
      </c>
      <c r="M11" s="152" t="s">
        <v>4885</v>
      </c>
      <c r="N11" s="154">
        <f>WORKDAY(O10,IF(Q10=0,0,1))</f>
        <v>44494</v>
      </c>
      <c r="O11" s="154">
        <f t="shared" ref="O11:O62" si="2">WORKDAY(N11,Q11+IF(Q11=0,0,-1))</f>
        <v>44498</v>
      </c>
      <c r="P11" s="155">
        <v>0</v>
      </c>
      <c r="Q11" s="156">
        <v>5</v>
      </c>
      <c r="R11" s="154"/>
      <c r="S11" s="154"/>
      <c r="T11" s="157"/>
      <c r="U11" s="158">
        <v>44494</v>
      </c>
      <c r="V11" s="158">
        <v>44498</v>
      </c>
      <c r="W11" s="159">
        <v>0</v>
      </c>
      <c r="X11" s="160">
        <v>5</v>
      </c>
      <c r="Y11" s="161"/>
      <c r="Z11" s="162"/>
      <c r="AA11" s="157"/>
      <c r="AB11" s="163"/>
      <c r="AC11" s="164"/>
      <c r="AD11" s="164"/>
      <c r="AE11" s="165"/>
      <c r="AF11" s="166"/>
      <c r="AG11" s="162"/>
      <c r="AH11" s="162"/>
      <c r="AI11" s="167"/>
      <c r="AJ11" s="162"/>
      <c r="AK11" s="168"/>
      <c r="AL11" s="169"/>
      <c r="AM11" s="148"/>
    </row>
    <row r="12" spans="1:39" s="170" customFormat="1" ht="14.1" customHeight="1">
      <c r="A12" s="148" t="s">
        <v>4878</v>
      </c>
      <c r="B12" s="70" t="s">
        <v>4879</v>
      </c>
      <c r="C12" s="149" t="s">
        <v>4880</v>
      </c>
      <c r="D12" s="150" t="s">
        <v>4887</v>
      </c>
      <c r="E12" s="151" t="s">
        <v>4882</v>
      </c>
      <c r="F12" s="152" t="s">
        <v>799</v>
      </c>
      <c r="G12" s="152"/>
      <c r="H12" s="152"/>
      <c r="I12" s="152" t="s">
        <v>2281</v>
      </c>
      <c r="J12" s="152" t="s">
        <v>2281</v>
      </c>
      <c r="K12" s="153" t="s">
        <v>4883</v>
      </c>
      <c r="L12" s="152" t="s">
        <v>4884</v>
      </c>
      <c r="M12" s="152" t="s">
        <v>4885</v>
      </c>
      <c r="N12" s="154">
        <f t="shared" ref="N12:N62" si="3">WORKDAY(O11,IF(Q11=0,0,1))</f>
        <v>44501</v>
      </c>
      <c r="O12" s="154">
        <f t="shared" si="2"/>
        <v>44505</v>
      </c>
      <c r="P12" s="155">
        <v>0</v>
      </c>
      <c r="Q12" s="156">
        <v>5</v>
      </c>
      <c r="R12" s="154"/>
      <c r="S12" s="154"/>
      <c r="T12" s="157"/>
      <c r="U12" s="158">
        <v>44501</v>
      </c>
      <c r="V12" s="158">
        <v>44505</v>
      </c>
      <c r="W12" s="159">
        <v>0</v>
      </c>
      <c r="X12" s="160">
        <v>5</v>
      </c>
      <c r="Y12" s="161"/>
      <c r="Z12" s="162"/>
      <c r="AA12" s="157"/>
      <c r="AB12" s="163"/>
      <c r="AC12" s="164"/>
      <c r="AD12" s="164"/>
      <c r="AE12" s="165"/>
      <c r="AF12" s="166"/>
      <c r="AG12" s="162"/>
      <c r="AH12" s="162"/>
      <c r="AI12" s="167"/>
      <c r="AJ12" s="162"/>
      <c r="AK12" s="168"/>
      <c r="AL12" s="169"/>
      <c r="AM12" s="148"/>
    </row>
    <row r="13" spans="1:39" s="170" customFormat="1" ht="14.1" customHeight="1">
      <c r="A13" s="148" t="s">
        <v>4878</v>
      </c>
      <c r="B13" s="70" t="s">
        <v>4879</v>
      </c>
      <c r="C13" s="149" t="s">
        <v>4880</v>
      </c>
      <c r="D13" s="150" t="s">
        <v>4888</v>
      </c>
      <c r="E13" s="151" t="s">
        <v>4889</v>
      </c>
      <c r="F13" s="152" t="s">
        <v>1907</v>
      </c>
      <c r="G13" s="152"/>
      <c r="H13" s="152"/>
      <c r="I13" s="152" t="s">
        <v>2281</v>
      </c>
      <c r="J13" s="152" t="s">
        <v>2567</v>
      </c>
      <c r="K13" s="153" t="s">
        <v>4883</v>
      </c>
      <c r="L13" s="152" t="s">
        <v>4884</v>
      </c>
      <c r="M13" s="152" t="s">
        <v>4885</v>
      </c>
      <c r="N13" s="154">
        <f t="shared" si="3"/>
        <v>44508</v>
      </c>
      <c r="O13" s="154">
        <f t="shared" si="2"/>
        <v>44510</v>
      </c>
      <c r="P13" s="155">
        <v>0</v>
      </c>
      <c r="Q13" s="156">
        <v>3</v>
      </c>
      <c r="R13" s="154"/>
      <c r="S13" s="154"/>
      <c r="T13" s="157"/>
      <c r="U13" s="158">
        <v>44508</v>
      </c>
      <c r="V13" s="158">
        <v>44510</v>
      </c>
      <c r="W13" s="159">
        <v>0</v>
      </c>
      <c r="X13" s="160">
        <v>3</v>
      </c>
      <c r="Y13" s="161"/>
      <c r="Z13" s="162"/>
      <c r="AA13" s="157"/>
      <c r="AB13" s="163"/>
      <c r="AC13" s="164"/>
      <c r="AD13" s="164"/>
      <c r="AE13" s="165"/>
      <c r="AF13" s="166"/>
      <c r="AG13" s="162"/>
      <c r="AH13" s="162"/>
      <c r="AI13" s="167"/>
      <c r="AJ13" s="162"/>
      <c r="AK13" s="168"/>
      <c r="AL13" s="169"/>
      <c r="AM13" s="148"/>
    </row>
    <row r="14" spans="1:39" s="170" customFormat="1" ht="14.1" customHeight="1">
      <c r="A14" s="148" t="s">
        <v>4878</v>
      </c>
      <c r="B14" s="70" t="s">
        <v>4879</v>
      </c>
      <c r="C14" s="171" t="s">
        <v>4890</v>
      </c>
      <c r="D14" s="172" t="s">
        <v>4891</v>
      </c>
      <c r="E14" s="151" t="s">
        <v>4482</v>
      </c>
      <c r="F14" s="152" t="s">
        <v>1907</v>
      </c>
      <c r="G14" s="152"/>
      <c r="H14" s="152"/>
      <c r="I14" s="152" t="s">
        <v>2281</v>
      </c>
      <c r="J14" s="152" t="s">
        <v>2281</v>
      </c>
      <c r="K14" s="153" t="s">
        <v>4883</v>
      </c>
      <c r="L14" s="152" t="s">
        <v>4884</v>
      </c>
      <c r="M14" s="152" t="s">
        <v>4885</v>
      </c>
      <c r="N14" s="154">
        <f t="shared" si="3"/>
        <v>44511</v>
      </c>
      <c r="O14" s="154">
        <f t="shared" si="2"/>
        <v>44515</v>
      </c>
      <c r="P14" s="155">
        <v>0</v>
      </c>
      <c r="Q14" s="156">
        <v>3</v>
      </c>
      <c r="R14" s="154"/>
      <c r="S14" s="154"/>
      <c r="T14" s="157"/>
      <c r="U14" s="158">
        <v>44511</v>
      </c>
      <c r="V14" s="158">
        <v>44515</v>
      </c>
      <c r="W14" s="159">
        <v>0</v>
      </c>
      <c r="X14" s="160">
        <v>3</v>
      </c>
      <c r="Y14" s="161"/>
      <c r="Z14" s="162"/>
      <c r="AA14" s="157"/>
      <c r="AB14" s="163"/>
      <c r="AC14" s="164"/>
      <c r="AD14" s="164"/>
      <c r="AE14" s="165"/>
      <c r="AF14" s="166"/>
      <c r="AG14" s="162"/>
      <c r="AH14" s="162"/>
      <c r="AI14" s="167"/>
      <c r="AJ14" s="162"/>
      <c r="AK14" s="168"/>
      <c r="AL14" s="169"/>
      <c r="AM14" s="148"/>
    </row>
    <row r="15" spans="1:39" s="170" customFormat="1" ht="14.1" customHeight="1">
      <c r="A15" s="148" t="s">
        <v>4878</v>
      </c>
      <c r="B15" s="70" t="s">
        <v>4879</v>
      </c>
      <c r="C15" s="149" t="s">
        <v>4880</v>
      </c>
      <c r="D15" s="172" t="s">
        <v>4892</v>
      </c>
      <c r="E15" s="151" t="s">
        <v>4893</v>
      </c>
      <c r="F15" s="152" t="s">
        <v>1907</v>
      </c>
      <c r="G15" s="152"/>
      <c r="H15" s="152"/>
      <c r="I15" s="152" t="s">
        <v>2281</v>
      </c>
      <c r="J15" s="152" t="s">
        <v>2567</v>
      </c>
      <c r="K15" s="153"/>
      <c r="L15" s="152" t="s">
        <v>4884</v>
      </c>
      <c r="M15" s="152" t="s">
        <v>4885</v>
      </c>
      <c r="N15" s="154">
        <f t="shared" si="3"/>
        <v>44516</v>
      </c>
      <c r="O15" s="154">
        <f t="shared" si="2"/>
        <v>44518</v>
      </c>
      <c r="P15" s="155">
        <v>0</v>
      </c>
      <c r="Q15" s="156">
        <v>3</v>
      </c>
      <c r="R15" s="154"/>
      <c r="S15" s="154"/>
      <c r="T15" s="157"/>
      <c r="U15" s="158">
        <v>44516</v>
      </c>
      <c r="V15" s="158">
        <v>44518</v>
      </c>
      <c r="W15" s="159">
        <v>0</v>
      </c>
      <c r="X15" s="160">
        <v>3</v>
      </c>
      <c r="Y15" s="161"/>
      <c r="Z15" s="162"/>
      <c r="AA15" s="157"/>
      <c r="AB15" s="163"/>
      <c r="AC15" s="164"/>
      <c r="AD15" s="164"/>
      <c r="AE15" s="165"/>
      <c r="AF15" s="166"/>
      <c r="AG15" s="162"/>
      <c r="AH15" s="162"/>
      <c r="AI15" s="167"/>
      <c r="AJ15" s="162"/>
      <c r="AK15" s="168"/>
      <c r="AL15" s="169"/>
      <c r="AM15" s="148"/>
    </row>
    <row r="16" spans="1:39" s="170" customFormat="1" ht="14.1" customHeight="1">
      <c r="A16" s="148" t="s">
        <v>4878</v>
      </c>
      <c r="B16" s="70" t="s">
        <v>4879</v>
      </c>
      <c r="C16" s="149" t="s">
        <v>4880</v>
      </c>
      <c r="D16" s="172" t="s">
        <v>4894</v>
      </c>
      <c r="E16" s="151" t="s">
        <v>4491</v>
      </c>
      <c r="F16" s="152" t="s">
        <v>1907</v>
      </c>
      <c r="G16" s="152"/>
      <c r="H16" s="152"/>
      <c r="I16" s="152" t="s">
        <v>2666</v>
      </c>
      <c r="J16" s="152" t="s">
        <v>2666</v>
      </c>
      <c r="K16" s="153" t="s">
        <v>4883</v>
      </c>
      <c r="L16" s="152" t="s">
        <v>4884</v>
      </c>
      <c r="M16" s="152" t="s">
        <v>4885</v>
      </c>
      <c r="N16" s="154">
        <f t="shared" si="3"/>
        <v>44519</v>
      </c>
      <c r="O16" s="154">
        <f t="shared" si="2"/>
        <v>44519</v>
      </c>
      <c r="P16" s="155"/>
      <c r="Q16" s="156">
        <v>1</v>
      </c>
      <c r="R16" s="154"/>
      <c r="S16" s="154"/>
      <c r="T16" s="157"/>
      <c r="U16" s="158">
        <v>44519</v>
      </c>
      <c r="V16" s="158">
        <v>44519</v>
      </c>
      <c r="W16" s="159"/>
      <c r="X16" s="160">
        <v>1</v>
      </c>
      <c r="Y16" s="161"/>
      <c r="Z16" s="162"/>
      <c r="AA16" s="157"/>
      <c r="AB16" s="163"/>
      <c r="AC16" s="164"/>
      <c r="AD16" s="164"/>
      <c r="AE16" s="165"/>
      <c r="AF16" s="166"/>
      <c r="AG16" s="162"/>
      <c r="AH16" s="162"/>
      <c r="AI16" s="167"/>
      <c r="AJ16" s="162"/>
      <c r="AK16" s="168"/>
      <c r="AL16" s="169"/>
      <c r="AM16" s="148"/>
    </row>
    <row r="17" spans="1:39" s="170" customFormat="1" ht="14.1" customHeight="1">
      <c r="A17" s="148" t="s">
        <v>4878</v>
      </c>
      <c r="B17" s="70" t="s">
        <v>4879</v>
      </c>
      <c r="C17" s="149" t="s">
        <v>4880</v>
      </c>
      <c r="D17" s="172" t="s">
        <v>4895</v>
      </c>
      <c r="E17" s="151" t="s">
        <v>4896</v>
      </c>
      <c r="F17" s="152" t="s">
        <v>1907</v>
      </c>
      <c r="G17" s="152"/>
      <c r="H17" s="152"/>
      <c r="I17" s="152" t="s">
        <v>2567</v>
      </c>
      <c r="J17" s="152" t="s">
        <v>2567</v>
      </c>
      <c r="K17" s="153" t="s">
        <v>4883</v>
      </c>
      <c r="L17" s="152" t="s">
        <v>4884</v>
      </c>
      <c r="M17" s="152" t="s">
        <v>4885</v>
      </c>
      <c r="N17" s="154">
        <f t="shared" si="3"/>
        <v>44522</v>
      </c>
      <c r="O17" s="154">
        <f t="shared" si="2"/>
        <v>44522</v>
      </c>
      <c r="P17" s="155"/>
      <c r="Q17" s="156">
        <v>1</v>
      </c>
      <c r="R17" s="154"/>
      <c r="S17" s="154"/>
      <c r="T17" s="157"/>
      <c r="U17" s="158">
        <v>44522</v>
      </c>
      <c r="V17" s="158">
        <v>44522</v>
      </c>
      <c r="W17" s="159"/>
      <c r="X17" s="160">
        <v>1</v>
      </c>
      <c r="Y17" s="161"/>
      <c r="Z17" s="162"/>
      <c r="AA17" s="157"/>
      <c r="AB17" s="163"/>
      <c r="AC17" s="164"/>
      <c r="AD17" s="164"/>
      <c r="AE17" s="165"/>
      <c r="AF17" s="166"/>
      <c r="AG17" s="162"/>
      <c r="AH17" s="162"/>
      <c r="AI17" s="167"/>
      <c r="AJ17" s="162"/>
      <c r="AK17" s="168"/>
      <c r="AL17" s="169"/>
      <c r="AM17" s="148"/>
    </row>
    <row r="18" spans="1:39" s="170" customFormat="1" ht="14.1" customHeight="1">
      <c r="A18" s="148" t="s">
        <v>4878</v>
      </c>
      <c r="B18" s="70" t="s">
        <v>4879</v>
      </c>
      <c r="C18" s="149" t="s">
        <v>4880</v>
      </c>
      <c r="D18" s="172" t="s">
        <v>4897</v>
      </c>
      <c r="E18" s="151" t="s">
        <v>4898</v>
      </c>
      <c r="F18" s="152" t="s">
        <v>1907</v>
      </c>
      <c r="G18" s="152"/>
      <c r="H18" s="152"/>
      <c r="I18" s="152" t="s">
        <v>2567</v>
      </c>
      <c r="J18" s="152" t="s">
        <v>2567</v>
      </c>
      <c r="K18" s="153" t="s">
        <v>4883</v>
      </c>
      <c r="L18" s="152" t="s">
        <v>4884</v>
      </c>
      <c r="M18" s="152" t="s">
        <v>4885</v>
      </c>
      <c r="N18" s="154">
        <f t="shared" si="3"/>
        <v>44523</v>
      </c>
      <c r="O18" s="154">
        <f t="shared" si="2"/>
        <v>44524</v>
      </c>
      <c r="P18" s="155"/>
      <c r="Q18" s="156">
        <v>2</v>
      </c>
      <c r="R18" s="154"/>
      <c r="S18" s="154"/>
      <c r="T18" s="157"/>
      <c r="U18" s="158">
        <v>44523</v>
      </c>
      <c r="V18" s="158">
        <v>44524</v>
      </c>
      <c r="W18" s="159"/>
      <c r="X18" s="160">
        <v>2</v>
      </c>
      <c r="Y18" s="161"/>
      <c r="Z18" s="162"/>
      <c r="AA18" s="157"/>
      <c r="AB18" s="163"/>
      <c r="AC18" s="164"/>
      <c r="AD18" s="164"/>
      <c r="AE18" s="165"/>
      <c r="AF18" s="166"/>
      <c r="AG18" s="162"/>
      <c r="AH18" s="162"/>
      <c r="AI18" s="167"/>
      <c r="AJ18" s="162"/>
      <c r="AK18" s="168"/>
      <c r="AL18" s="169"/>
      <c r="AM18" s="148"/>
    </row>
    <row r="19" spans="1:39" s="170" customFormat="1" ht="14.1" customHeight="1">
      <c r="A19" s="148" t="s">
        <v>4878</v>
      </c>
      <c r="B19" s="70" t="s">
        <v>4879</v>
      </c>
      <c r="C19" s="149" t="s">
        <v>4880</v>
      </c>
      <c r="D19" s="172" t="s">
        <v>4899</v>
      </c>
      <c r="E19" s="151" t="s">
        <v>4900</v>
      </c>
      <c r="F19" s="152" t="s">
        <v>1907</v>
      </c>
      <c r="G19" s="152"/>
      <c r="H19" s="152"/>
      <c r="I19" s="152" t="s">
        <v>2567</v>
      </c>
      <c r="J19" s="152" t="s">
        <v>2567</v>
      </c>
      <c r="K19" s="153" t="s">
        <v>4883</v>
      </c>
      <c r="L19" s="152" t="s">
        <v>4884</v>
      </c>
      <c r="M19" s="152" t="s">
        <v>4885</v>
      </c>
      <c r="N19" s="154">
        <f t="shared" si="3"/>
        <v>44525</v>
      </c>
      <c r="O19" s="154">
        <f t="shared" si="2"/>
        <v>44529</v>
      </c>
      <c r="P19" s="155"/>
      <c r="Q19" s="156">
        <v>3</v>
      </c>
      <c r="R19" s="154"/>
      <c r="S19" s="154"/>
      <c r="T19" s="157"/>
      <c r="U19" s="158">
        <v>44525</v>
      </c>
      <c r="V19" s="158">
        <v>44529</v>
      </c>
      <c r="W19" s="159"/>
      <c r="X19" s="160">
        <v>3</v>
      </c>
      <c r="Y19" s="161"/>
      <c r="Z19" s="162"/>
      <c r="AA19" s="157"/>
      <c r="AB19" s="163"/>
      <c r="AC19" s="164"/>
      <c r="AD19" s="164"/>
      <c r="AE19" s="165"/>
      <c r="AF19" s="166"/>
      <c r="AG19" s="162"/>
      <c r="AH19" s="162"/>
      <c r="AI19" s="167"/>
      <c r="AJ19" s="162"/>
      <c r="AK19" s="168"/>
      <c r="AL19" s="169"/>
      <c r="AM19" s="148"/>
    </row>
    <row r="20" spans="1:39" s="170" customFormat="1" ht="14.1" customHeight="1">
      <c r="A20" s="148" t="s">
        <v>4878</v>
      </c>
      <c r="B20" s="70" t="s">
        <v>4879</v>
      </c>
      <c r="C20" s="149" t="s">
        <v>4880</v>
      </c>
      <c r="D20" s="172" t="s">
        <v>4901</v>
      </c>
      <c r="E20" s="151" t="s">
        <v>4506</v>
      </c>
      <c r="F20" s="152" t="s">
        <v>1907</v>
      </c>
      <c r="G20" s="152"/>
      <c r="H20" s="152"/>
      <c r="I20" s="152" t="s">
        <v>2567</v>
      </c>
      <c r="J20" s="152" t="s">
        <v>2567</v>
      </c>
      <c r="K20" s="153" t="s">
        <v>4883</v>
      </c>
      <c r="L20" s="152" t="s">
        <v>4884</v>
      </c>
      <c r="M20" s="152" t="s">
        <v>4885</v>
      </c>
      <c r="N20" s="154">
        <f t="shared" si="3"/>
        <v>44530</v>
      </c>
      <c r="O20" s="154">
        <f t="shared" si="2"/>
        <v>44531</v>
      </c>
      <c r="P20" s="155"/>
      <c r="Q20" s="156">
        <v>2</v>
      </c>
      <c r="R20" s="154"/>
      <c r="S20" s="154"/>
      <c r="T20" s="157"/>
      <c r="U20" s="158">
        <v>44530</v>
      </c>
      <c r="V20" s="158">
        <v>44531</v>
      </c>
      <c r="W20" s="159"/>
      <c r="X20" s="160">
        <v>2</v>
      </c>
      <c r="Y20" s="161"/>
      <c r="Z20" s="162"/>
      <c r="AA20" s="157"/>
      <c r="AB20" s="163"/>
      <c r="AC20" s="164"/>
      <c r="AD20" s="164"/>
      <c r="AE20" s="165"/>
      <c r="AF20" s="166"/>
      <c r="AG20" s="162"/>
      <c r="AH20" s="162"/>
      <c r="AI20" s="167"/>
      <c r="AJ20" s="162"/>
      <c r="AK20" s="168"/>
      <c r="AL20" s="168"/>
      <c r="AM20" s="148"/>
    </row>
    <row r="21" spans="1:39" s="170" customFormat="1" ht="14.1" customHeight="1">
      <c r="A21" s="148" t="s">
        <v>4878</v>
      </c>
      <c r="B21" s="70" t="s">
        <v>4879</v>
      </c>
      <c r="C21" s="149" t="s">
        <v>4880</v>
      </c>
      <c r="D21" s="172" t="s">
        <v>4902</v>
      </c>
      <c r="E21" s="173" t="s">
        <v>4509</v>
      </c>
      <c r="F21" s="152" t="s">
        <v>1907</v>
      </c>
      <c r="G21" s="152"/>
      <c r="H21" s="152"/>
      <c r="I21" s="152" t="s">
        <v>2567</v>
      </c>
      <c r="J21" s="152" t="s">
        <v>2567</v>
      </c>
      <c r="K21" s="153" t="s">
        <v>4883</v>
      </c>
      <c r="L21" s="152" t="s">
        <v>4884</v>
      </c>
      <c r="M21" s="152" t="s">
        <v>4885</v>
      </c>
      <c r="N21" s="154">
        <f t="shared" si="3"/>
        <v>44532</v>
      </c>
      <c r="O21" s="154">
        <f t="shared" si="2"/>
        <v>44533</v>
      </c>
      <c r="P21" s="155"/>
      <c r="Q21" s="156">
        <v>2</v>
      </c>
      <c r="R21" s="154"/>
      <c r="S21" s="154"/>
      <c r="T21" s="157"/>
      <c r="U21" s="158">
        <v>44532</v>
      </c>
      <c r="V21" s="158">
        <v>44533</v>
      </c>
      <c r="W21" s="159"/>
      <c r="X21" s="160">
        <v>2</v>
      </c>
      <c r="Y21" s="161"/>
      <c r="Z21" s="162"/>
      <c r="AA21" s="157"/>
      <c r="AB21" s="163"/>
      <c r="AC21" s="164"/>
      <c r="AD21" s="164"/>
      <c r="AE21" s="165"/>
      <c r="AF21" s="166"/>
      <c r="AG21" s="162"/>
      <c r="AH21" s="162"/>
      <c r="AI21" s="167"/>
      <c r="AJ21" s="162"/>
      <c r="AK21" s="168"/>
      <c r="AL21" s="168"/>
      <c r="AM21" s="148"/>
    </row>
    <row r="22" spans="1:39">
      <c r="A22" s="148" t="s">
        <v>4878</v>
      </c>
      <c r="B22" s="70" t="s">
        <v>4879</v>
      </c>
      <c r="C22" s="149" t="s">
        <v>4880</v>
      </c>
      <c r="D22" s="172" t="s">
        <v>4903</v>
      </c>
      <c r="E22" s="173" t="s">
        <v>4512</v>
      </c>
      <c r="F22" s="152" t="s">
        <v>1907</v>
      </c>
      <c r="G22" s="152"/>
      <c r="H22" s="152"/>
      <c r="I22" s="152" t="s">
        <v>2567</v>
      </c>
      <c r="J22" s="152" t="s">
        <v>2666</v>
      </c>
      <c r="K22" s="153" t="s">
        <v>4883</v>
      </c>
      <c r="L22" s="152" t="s">
        <v>4884</v>
      </c>
      <c r="M22" s="152" t="s">
        <v>4885</v>
      </c>
      <c r="N22" s="154">
        <f t="shared" si="3"/>
        <v>44536</v>
      </c>
      <c r="O22" s="154">
        <f t="shared" si="2"/>
        <v>44536</v>
      </c>
      <c r="P22" s="155"/>
      <c r="Q22" s="156">
        <v>1</v>
      </c>
      <c r="R22" s="154"/>
      <c r="S22" s="154"/>
      <c r="T22" s="157"/>
      <c r="U22" s="158">
        <v>44536</v>
      </c>
      <c r="V22" s="158">
        <v>44536</v>
      </c>
      <c r="W22" s="159"/>
      <c r="X22" s="160">
        <v>1</v>
      </c>
      <c r="Y22" s="161"/>
      <c r="Z22" s="162"/>
      <c r="AA22" s="157"/>
      <c r="AB22" s="163"/>
      <c r="AC22" s="164"/>
      <c r="AD22" s="164"/>
      <c r="AE22" s="165"/>
      <c r="AF22" s="166"/>
      <c r="AG22" s="162"/>
      <c r="AH22" s="162"/>
      <c r="AI22" s="167"/>
      <c r="AJ22" s="162"/>
      <c r="AK22" s="168"/>
      <c r="AL22" s="168"/>
      <c r="AM22" s="148"/>
    </row>
    <row r="23" spans="1:39">
      <c r="A23" s="148" t="s">
        <v>4878</v>
      </c>
      <c r="B23" s="70" t="s">
        <v>4879</v>
      </c>
      <c r="C23" s="149" t="s">
        <v>4880</v>
      </c>
      <c r="D23" s="172" t="s">
        <v>4904</v>
      </c>
      <c r="E23" s="173" t="s">
        <v>4519</v>
      </c>
      <c r="F23" s="152" t="s">
        <v>1907</v>
      </c>
      <c r="G23" s="152"/>
      <c r="H23" s="152"/>
      <c r="I23" s="152" t="s">
        <v>2281</v>
      </c>
      <c r="J23" s="152" t="s">
        <v>2281</v>
      </c>
      <c r="K23" s="153" t="s">
        <v>4883</v>
      </c>
      <c r="L23" s="152" t="s">
        <v>4884</v>
      </c>
      <c r="M23" s="152" t="s">
        <v>4885</v>
      </c>
      <c r="N23" s="154">
        <f t="shared" si="3"/>
        <v>44537</v>
      </c>
      <c r="O23" s="154">
        <f t="shared" si="2"/>
        <v>44538</v>
      </c>
      <c r="P23" s="155"/>
      <c r="Q23" s="156">
        <v>2</v>
      </c>
      <c r="R23" s="154"/>
      <c r="S23" s="154"/>
      <c r="T23" s="157"/>
      <c r="U23" s="158">
        <v>44537</v>
      </c>
      <c r="V23" s="158">
        <v>44538</v>
      </c>
      <c r="W23" s="159"/>
      <c r="X23" s="160">
        <v>2</v>
      </c>
      <c r="Y23" s="161"/>
      <c r="Z23" s="162"/>
      <c r="AA23" s="157"/>
      <c r="AB23" s="163"/>
      <c r="AC23" s="164"/>
      <c r="AD23" s="164"/>
      <c r="AE23" s="165"/>
      <c r="AF23" s="166"/>
      <c r="AG23" s="162"/>
      <c r="AH23" s="162"/>
      <c r="AI23" s="167"/>
      <c r="AJ23" s="162"/>
      <c r="AK23" s="168"/>
      <c r="AL23" s="168"/>
      <c r="AM23" s="148"/>
    </row>
    <row r="24" spans="1:39">
      <c r="A24" s="148" t="s">
        <v>4878</v>
      </c>
      <c r="B24" s="70" t="s">
        <v>4879</v>
      </c>
      <c r="C24" s="149" t="s">
        <v>4880</v>
      </c>
      <c r="D24" s="172" t="s">
        <v>4905</v>
      </c>
      <c r="E24" s="173" t="s">
        <v>4522</v>
      </c>
      <c r="F24" s="152" t="s">
        <v>1907</v>
      </c>
      <c r="G24" s="152"/>
      <c r="H24" s="152"/>
      <c r="I24" s="152" t="s">
        <v>2567</v>
      </c>
      <c r="J24" s="152" t="s">
        <v>2567</v>
      </c>
      <c r="K24" s="153" t="s">
        <v>4883</v>
      </c>
      <c r="L24" s="152" t="s">
        <v>4884</v>
      </c>
      <c r="M24" s="152" t="s">
        <v>4885</v>
      </c>
      <c r="N24" s="154">
        <f t="shared" si="3"/>
        <v>44539</v>
      </c>
      <c r="O24" s="154">
        <f t="shared" si="2"/>
        <v>44543</v>
      </c>
      <c r="P24" s="155"/>
      <c r="Q24" s="156">
        <v>3</v>
      </c>
      <c r="R24" s="154"/>
      <c r="S24" s="154"/>
      <c r="T24" s="157"/>
      <c r="U24" s="158">
        <v>44539</v>
      </c>
      <c r="V24" s="158">
        <v>44543</v>
      </c>
      <c r="W24" s="159"/>
      <c r="X24" s="160">
        <v>3</v>
      </c>
      <c r="Y24" s="161"/>
      <c r="Z24" s="162"/>
      <c r="AA24" s="157"/>
      <c r="AB24" s="163"/>
      <c r="AC24" s="164"/>
      <c r="AD24" s="164"/>
      <c r="AE24" s="165"/>
      <c r="AF24" s="166"/>
      <c r="AG24" s="162"/>
      <c r="AH24" s="162"/>
      <c r="AI24" s="167"/>
      <c r="AJ24" s="162"/>
      <c r="AK24" s="168"/>
      <c r="AL24" s="168"/>
      <c r="AM24" s="148"/>
    </row>
    <row r="25" spans="1:39">
      <c r="A25" s="148" t="s">
        <v>4878</v>
      </c>
      <c r="B25" s="70" t="s">
        <v>4879</v>
      </c>
      <c r="C25" s="149" t="s">
        <v>4880</v>
      </c>
      <c r="D25" s="172" t="s">
        <v>4906</v>
      </c>
      <c r="E25" s="173" t="s">
        <v>4527</v>
      </c>
      <c r="F25" s="152" t="s">
        <v>1907</v>
      </c>
      <c r="G25" s="152"/>
      <c r="H25" s="152"/>
      <c r="I25" s="152" t="s">
        <v>2567</v>
      </c>
      <c r="J25" s="152" t="s">
        <v>2567</v>
      </c>
      <c r="K25" s="153" t="s">
        <v>4883</v>
      </c>
      <c r="L25" s="152" t="s">
        <v>4884</v>
      </c>
      <c r="M25" s="152" t="s">
        <v>4885</v>
      </c>
      <c r="N25" s="154">
        <f t="shared" si="3"/>
        <v>44544</v>
      </c>
      <c r="O25" s="154">
        <f t="shared" si="2"/>
        <v>44546</v>
      </c>
      <c r="P25" s="155"/>
      <c r="Q25" s="156">
        <v>3</v>
      </c>
      <c r="R25" s="154"/>
      <c r="S25" s="154"/>
      <c r="T25" s="157"/>
      <c r="U25" s="158">
        <v>44544</v>
      </c>
      <c r="V25" s="158">
        <v>44546</v>
      </c>
      <c r="W25" s="159"/>
      <c r="X25" s="160">
        <v>3</v>
      </c>
      <c r="Y25" s="161"/>
      <c r="Z25" s="162"/>
      <c r="AA25" s="157"/>
      <c r="AB25" s="163"/>
      <c r="AC25" s="164"/>
      <c r="AD25" s="164"/>
      <c r="AE25" s="165"/>
      <c r="AF25" s="166"/>
      <c r="AG25" s="162"/>
      <c r="AH25" s="162"/>
      <c r="AI25" s="167"/>
      <c r="AJ25" s="162"/>
      <c r="AK25" s="168"/>
      <c r="AL25" s="168"/>
      <c r="AM25" s="148"/>
    </row>
    <row r="26" spans="1:39">
      <c r="A26" s="148" t="s">
        <v>4878</v>
      </c>
      <c r="B26" s="70" t="s">
        <v>4879</v>
      </c>
      <c r="C26" s="149" t="s">
        <v>4880</v>
      </c>
      <c r="D26" s="172" t="s">
        <v>4907</v>
      </c>
      <c r="E26" s="173" t="s">
        <v>4530</v>
      </c>
      <c r="F26" s="152" t="s">
        <v>1907</v>
      </c>
      <c r="G26" s="152"/>
      <c r="H26" s="152"/>
      <c r="I26" s="152" t="s">
        <v>2567</v>
      </c>
      <c r="J26" s="152" t="s">
        <v>2567</v>
      </c>
      <c r="K26" s="153" t="s">
        <v>4883</v>
      </c>
      <c r="L26" s="152" t="s">
        <v>4884</v>
      </c>
      <c r="M26" s="152" t="s">
        <v>4885</v>
      </c>
      <c r="N26" s="154">
        <f t="shared" si="3"/>
        <v>44547</v>
      </c>
      <c r="O26" s="154">
        <f t="shared" si="2"/>
        <v>44551</v>
      </c>
      <c r="P26" s="155"/>
      <c r="Q26" s="156">
        <v>3</v>
      </c>
      <c r="R26" s="154"/>
      <c r="S26" s="154"/>
      <c r="T26" s="157"/>
      <c r="U26" s="158">
        <v>44547</v>
      </c>
      <c r="V26" s="158">
        <v>44551</v>
      </c>
      <c r="W26" s="159"/>
      <c r="X26" s="160">
        <v>3</v>
      </c>
      <c r="Y26" s="161"/>
      <c r="Z26" s="162"/>
      <c r="AA26" s="157"/>
      <c r="AB26" s="163"/>
      <c r="AC26" s="164"/>
      <c r="AD26" s="164"/>
      <c r="AE26" s="165"/>
      <c r="AF26" s="166"/>
      <c r="AG26" s="162"/>
      <c r="AH26" s="162"/>
      <c r="AI26" s="167"/>
      <c r="AJ26" s="162"/>
      <c r="AK26" s="168"/>
      <c r="AL26" s="168"/>
      <c r="AM26" s="148"/>
    </row>
    <row r="27" spans="1:39">
      <c r="A27" s="148" t="s">
        <v>4878</v>
      </c>
      <c r="B27" s="70" t="s">
        <v>4879</v>
      </c>
      <c r="C27" s="149" t="s">
        <v>4908</v>
      </c>
      <c r="D27" s="172" t="s">
        <v>4909</v>
      </c>
      <c r="E27" s="173" t="s">
        <v>4910</v>
      </c>
      <c r="F27" s="152" t="s">
        <v>1907</v>
      </c>
      <c r="G27" s="152"/>
      <c r="H27" s="152"/>
      <c r="I27" s="152" t="s">
        <v>2281</v>
      </c>
      <c r="J27" s="152" t="s">
        <v>2281</v>
      </c>
      <c r="K27" s="153" t="s">
        <v>4883</v>
      </c>
      <c r="L27" s="152" t="s">
        <v>4884</v>
      </c>
      <c r="M27" s="152" t="s">
        <v>4885</v>
      </c>
      <c r="N27" s="154">
        <f t="shared" si="3"/>
        <v>44552</v>
      </c>
      <c r="O27" s="154">
        <f t="shared" si="2"/>
        <v>44554</v>
      </c>
      <c r="P27" s="155"/>
      <c r="Q27" s="156">
        <v>3</v>
      </c>
      <c r="R27" s="154"/>
      <c r="S27" s="154"/>
      <c r="T27" s="157"/>
      <c r="U27" s="158">
        <v>44552</v>
      </c>
      <c r="V27" s="158">
        <v>44554</v>
      </c>
      <c r="W27" s="159"/>
      <c r="X27" s="160">
        <v>3</v>
      </c>
      <c r="Y27" s="161"/>
      <c r="Z27" s="162"/>
      <c r="AA27" s="157"/>
      <c r="AB27" s="163"/>
      <c r="AC27" s="164"/>
      <c r="AD27" s="164"/>
      <c r="AE27" s="165"/>
      <c r="AF27" s="166"/>
      <c r="AG27" s="162"/>
      <c r="AH27" s="162"/>
      <c r="AI27" s="167"/>
      <c r="AJ27" s="162"/>
      <c r="AK27" s="168"/>
      <c r="AL27" s="168"/>
      <c r="AM27" s="148"/>
    </row>
    <row r="28" spans="1:39">
      <c r="A28" s="148" t="s">
        <v>4878</v>
      </c>
      <c r="B28" s="70" t="s">
        <v>4879</v>
      </c>
      <c r="C28" s="149" t="s">
        <v>4908</v>
      </c>
      <c r="D28" s="172" t="s">
        <v>4911</v>
      </c>
      <c r="E28" s="174" t="s">
        <v>4912</v>
      </c>
      <c r="F28" s="152" t="s">
        <v>1907</v>
      </c>
      <c r="G28" s="152"/>
      <c r="H28" s="152"/>
      <c r="I28" s="152" t="s">
        <v>2567</v>
      </c>
      <c r="J28" s="152" t="s">
        <v>2567</v>
      </c>
      <c r="K28" s="153" t="s">
        <v>4883</v>
      </c>
      <c r="L28" s="152" t="s">
        <v>4884</v>
      </c>
      <c r="M28" s="152" t="s">
        <v>4885</v>
      </c>
      <c r="N28" s="154">
        <f t="shared" si="3"/>
        <v>44557</v>
      </c>
      <c r="O28" s="154">
        <f t="shared" si="2"/>
        <v>44558</v>
      </c>
      <c r="P28" s="155"/>
      <c r="Q28" s="156">
        <v>2</v>
      </c>
      <c r="R28" s="154"/>
      <c r="S28" s="154"/>
      <c r="T28" s="157"/>
      <c r="U28" s="158">
        <v>44557</v>
      </c>
      <c r="V28" s="158">
        <v>44558</v>
      </c>
      <c r="W28" s="159"/>
      <c r="X28" s="160">
        <v>2</v>
      </c>
      <c r="Y28" s="161"/>
      <c r="Z28" s="162"/>
      <c r="AA28" s="157"/>
      <c r="AB28" s="163"/>
      <c r="AC28" s="164"/>
      <c r="AD28" s="164"/>
      <c r="AE28" s="165"/>
      <c r="AF28" s="166"/>
      <c r="AG28" s="162"/>
      <c r="AH28" s="162"/>
      <c r="AI28" s="167"/>
      <c r="AJ28" s="162"/>
      <c r="AK28" s="168"/>
      <c r="AL28" s="168"/>
      <c r="AM28" s="148"/>
    </row>
    <row r="29" spans="1:39">
      <c r="A29" s="148" t="s">
        <v>4878</v>
      </c>
      <c r="B29" s="70" t="s">
        <v>4879</v>
      </c>
      <c r="C29" s="149" t="s">
        <v>4908</v>
      </c>
      <c r="D29" s="172" t="s">
        <v>4913</v>
      </c>
      <c r="E29" s="174" t="s">
        <v>4544</v>
      </c>
      <c r="F29" s="152" t="s">
        <v>1907</v>
      </c>
      <c r="G29" s="152"/>
      <c r="H29" s="152"/>
      <c r="I29" s="152" t="s">
        <v>2567</v>
      </c>
      <c r="J29" s="152" t="s">
        <v>2567</v>
      </c>
      <c r="K29" s="153" t="s">
        <v>4883</v>
      </c>
      <c r="L29" s="152" t="s">
        <v>4884</v>
      </c>
      <c r="M29" s="152" t="s">
        <v>4885</v>
      </c>
      <c r="N29" s="154">
        <f t="shared" si="3"/>
        <v>44559</v>
      </c>
      <c r="O29" s="154">
        <f t="shared" si="2"/>
        <v>44560</v>
      </c>
      <c r="P29" s="155"/>
      <c r="Q29" s="156">
        <v>2</v>
      </c>
      <c r="R29" s="154"/>
      <c r="S29" s="154"/>
      <c r="T29" s="157"/>
      <c r="U29" s="158">
        <v>44559</v>
      </c>
      <c r="V29" s="158">
        <v>44560</v>
      </c>
      <c r="W29" s="159"/>
      <c r="X29" s="160">
        <v>2</v>
      </c>
      <c r="Y29" s="161"/>
      <c r="Z29" s="162"/>
      <c r="AA29" s="157"/>
      <c r="AB29" s="163"/>
      <c r="AC29" s="164"/>
      <c r="AD29" s="164"/>
      <c r="AE29" s="165"/>
      <c r="AF29" s="166"/>
      <c r="AG29" s="162"/>
      <c r="AH29" s="162"/>
      <c r="AI29" s="167"/>
      <c r="AJ29" s="162"/>
      <c r="AK29" s="168"/>
      <c r="AL29" s="168"/>
      <c r="AM29" s="148"/>
    </row>
    <row r="30" spans="1:39">
      <c r="A30" s="148" t="s">
        <v>4878</v>
      </c>
      <c r="B30" s="70" t="s">
        <v>4879</v>
      </c>
      <c r="C30" s="149" t="s">
        <v>4908</v>
      </c>
      <c r="D30" s="172" t="s">
        <v>4914</v>
      </c>
      <c r="E30" s="175" t="s">
        <v>4549</v>
      </c>
      <c r="F30" s="152" t="s">
        <v>1907</v>
      </c>
      <c r="G30" s="152"/>
      <c r="H30" s="152"/>
      <c r="I30" s="152" t="s">
        <v>2567</v>
      </c>
      <c r="J30" s="152" t="s">
        <v>2567</v>
      </c>
      <c r="K30" s="153" t="s">
        <v>4883</v>
      </c>
      <c r="L30" s="152" t="s">
        <v>4884</v>
      </c>
      <c r="M30" s="152" t="s">
        <v>4885</v>
      </c>
      <c r="N30" s="154">
        <f t="shared" si="3"/>
        <v>44561</v>
      </c>
      <c r="O30" s="154">
        <f t="shared" si="2"/>
        <v>44561</v>
      </c>
      <c r="P30" s="155"/>
      <c r="Q30" s="156">
        <v>1</v>
      </c>
      <c r="R30" s="154"/>
      <c r="S30" s="154"/>
      <c r="T30" s="157"/>
      <c r="U30" s="158">
        <v>44561</v>
      </c>
      <c r="V30" s="158">
        <v>44561</v>
      </c>
      <c r="W30" s="159"/>
      <c r="X30" s="160">
        <v>1</v>
      </c>
      <c r="Y30" s="161"/>
      <c r="Z30" s="162"/>
      <c r="AA30" s="157"/>
      <c r="AB30" s="163"/>
      <c r="AC30" s="164"/>
      <c r="AD30" s="164"/>
      <c r="AE30" s="165"/>
      <c r="AF30" s="166"/>
      <c r="AG30" s="162"/>
      <c r="AH30" s="162"/>
      <c r="AI30" s="167"/>
      <c r="AJ30" s="162"/>
      <c r="AK30" s="168"/>
      <c r="AL30" s="168"/>
      <c r="AM30" s="148"/>
    </row>
    <row r="31" spans="1:39">
      <c r="A31" s="148" t="s">
        <v>4878</v>
      </c>
      <c r="B31" s="70" t="s">
        <v>4879</v>
      </c>
      <c r="C31" s="149" t="s">
        <v>4908</v>
      </c>
      <c r="D31" s="172" t="s">
        <v>4915</v>
      </c>
      <c r="E31" s="174" t="s">
        <v>4916</v>
      </c>
      <c r="F31" s="152" t="s">
        <v>1907</v>
      </c>
      <c r="G31" s="152"/>
      <c r="H31" s="152"/>
      <c r="I31" s="152" t="s">
        <v>2567</v>
      </c>
      <c r="J31" s="152" t="s">
        <v>2567</v>
      </c>
      <c r="K31" s="153" t="s">
        <v>4883</v>
      </c>
      <c r="L31" s="152" t="s">
        <v>4884</v>
      </c>
      <c r="M31" s="152" t="s">
        <v>4885</v>
      </c>
      <c r="N31" s="154">
        <f t="shared" si="3"/>
        <v>44564</v>
      </c>
      <c r="O31" s="154">
        <f t="shared" si="2"/>
        <v>44565</v>
      </c>
      <c r="P31" s="155"/>
      <c r="Q31" s="156">
        <v>2</v>
      </c>
      <c r="R31" s="154"/>
      <c r="S31" s="154"/>
      <c r="T31" s="157"/>
      <c r="U31" s="158">
        <v>44564</v>
      </c>
      <c r="V31" s="158">
        <v>44565</v>
      </c>
      <c r="W31" s="159"/>
      <c r="X31" s="160">
        <v>2</v>
      </c>
      <c r="Y31" s="161"/>
      <c r="Z31" s="162"/>
      <c r="AA31" s="157"/>
      <c r="AB31" s="163"/>
      <c r="AC31" s="164"/>
      <c r="AD31" s="164"/>
      <c r="AE31" s="165"/>
      <c r="AF31" s="166"/>
      <c r="AG31" s="162"/>
      <c r="AH31" s="162"/>
      <c r="AI31" s="167"/>
      <c r="AJ31" s="162"/>
      <c r="AK31" s="168"/>
      <c r="AL31" s="168"/>
      <c r="AM31" s="148"/>
    </row>
    <row r="32" spans="1:39">
      <c r="A32" s="148" t="s">
        <v>4878</v>
      </c>
      <c r="B32" s="70" t="s">
        <v>4879</v>
      </c>
      <c r="C32" s="149" t="s">
        <v>4908</v>
      </c>
      <c r="D32" s="172" t="s">
        <v>4917</v>
      </c>
      <c r="E32" s="174" t="s">
        <v>4918</v>
      </c>
      <c r="F32" s="152" t="s">
        <v>1907</v>
      </c>
      <c r="G32" s="152"/>
      <c r="H32" s="152"/>
      <c r="I32" s="152" t="s">
        <v>2567</v>
      </c>
      <c r="J32" s="152" t="s">
        <v>2567</v>
      </c>
      <c r="K32" s="153" t="s">
        <v>4883</v>
      </c>
      <c r="L32" s="152" t="s">
        <v>4884</v>
      </c>
      <c r="M32" s="152" t="s">
        <v>4885</v>
      </c>
      <c r="N32" s="154">
        <f t="shared" si="3"/>
        <v>44566</v>
      </c>
      <c r="O32" s="154">
        <f t="shared" si="2"/>
        <v>44566</v>
      </c>
      <c r="P32" s="155"/>
      <c r="Q32" s="156">
        <v>1</v>
      </c>
      <c r="R32" s="154"/>
      <c r="S32" s="154"/>
      <c r="T32" s="157"/>
      <c r="U32" s="158">
        <v>44566</v>
      </c>
      <c r="V32" s="158">
        <v>44566</v>
      </c>
      <c r="W32" s="159"/>
      <c r="X32" s="160">
        <v>1</v>
      </c>
      <c r="Y32" s="161"/>
      <c r="Z32" s="162"/>
      <c r="AA32" s="157"/>
      <c r="AB32" s="163"/>
      <c r="AC32" s="164"/>
      <c r="AD32" s="164"/>
      <c r="AE32" s="165"/>
      <c r="AF32" s="166"/>
      <c r="AG32" s="162"/>
      <c r="AH32" s="162"/>
      <c r="AI32" s="167"/>
      <c r="AJ32" s="162"/>
      <c r="AK32" s="168"/>
      <c r="AL32" s="168"/>
      <c r="AM32" s="148"/>
    </row>
    <row r="33" spans="1:39">
      <c r="A33" s="148" t="s">
        <v>4878</v>
      </c>
      <c r="B33" s="70" t="s">
        <v>4879</v>
      </c>
      <c r="C33" s="149" t="s">
        <v>4908</v>
      </c>
      <c r="D33" s="172" t="s">
        <v>4919</v>
      </c>
      <c r="E33" s="174" t="s">
        <v>4920</v>
      </c>
      <c r="F33" s="152" t="s">
        <v>1907</v>
      </c>
      <c r="G33" s="152"/>
      <c r="H33" s="152"/>
      <c r="I33" s="152" t="s">
        <v>2567</v>
      </c>
      <c r="J33" s="152" t="s">
        <v>2567</v>
      </c>
      <c r="K33" s="153" t="s">
        <v>4883</v>
      </c>
      <c r="L33" s="152" t="s">
        <v>4884</v>
      </c>
      <c r="M33" s="152" t="s">
        <v>4885</v>
      </c>
      <c r="N33" s="154">
        <f t="shared" si="3"/>
        <v>44567</v>
      </c>
      <c r="O33" s="154">
        <f t="shared" si="2"/>
        <v>44567</v>
      </c>
      <c r="P33" s="155"/>
      <c r="Q33" s="156">
        <v>1</v>
      </c>
      <c r="R33" s="154"/>
      <c r="S33" s="154"/>
      <c r="T33" s="157"/>
      <c r="U33" s="158">
        <v>44567</v>
      </c>
      <c r="V33" s="158">
        <v>44567</v>
      </c>
      <c r="W33" s="159"/>
      <c r="X33" s="160">
        <v>1</v>
      </c>
      <c r="Y33" s="161"/>
      <c r="Z33" s="162"/>
      <c r="AA33" s="157"/>
      <c r="AB33" s="163"/>
      <c r="AC33" s="164"/>
      <c r="AD33" s="164"/>
      <c r="AE33" s="165"/>
      <c r="AF33" s="166"/>
      <c r="AG33" s="162"/>
      <c r="AH33" s="162"/>
      <c r="AI33" s="167"/>
      <c r="AJ33" s="162"/>
      <c r="AK33" s="168"/>
      <c r="AL33" s="168"/>
      <c r="AM33" s="148"/>
    </row>
    <row r="34" spans="1:39">
      <c r="A34" s="148" t="s">
        <v>4878</v>
      </c>
      <c r="B34" s="70" t="s">
        <v>4879</v>
      </c>
      <c r="C34" s="149" t="s">
        <v>4908</v>
      </c>
      <c r="D34" s="172" t="s">
        <v>4921</v>
      </c>
      <c r="E34" s="174" t="s">
        <v>4922</v>
      </c>
      <c r="F34" s="152" t="s">
        <v>1907</v>
      </c>
      <c r="G34" s="152"/>
      <c r="H34" s="152"/>
      <c r="I34" s="152" t="s">
        <v>2567</v>
      </c>
      <c r="J34" s="152" t="s">
        <v>2567</v>
      </c>
      <c r="K34" s="153" t="s">
        <v>4883</v>
      </c>
      <c r="L34" s="152" t="s">
        <v>4884</v>
      </c>
      <c r="M34" s="152" t="s">
        <v>4885</v>
      </c>
      <c r="N34" s="154">
        <f t="shared" si="3"/>
        <v>44568</v>
      </c>
      <c r="O34" s="154">
        <f t="shared" si="2"/>
        <v>44568</v>
      </c>
      <c r="P34" s="155"/>
      <c r="Q34" s="156">
        <v>1</v>
      </c>
      <c r="R34" s="154"/>
      <c r="S34" s="154"/>
      <c r="T34" s="157"/>
      <c r="U34" s="158">
        <v>44568</v>
      </c>
      <c r="V34" s="158">
        <v>44568</v>
      </c>
      <c r="W34" s="159"/>
      <c r="X34" s="160">
        <v>1</v>
      </c>
      <c r="Y34" s="161"/>
      <c r="Z34" s="162"/>
      <c r="AA34" s="157"/>
      <c r="AB34" s="163"/>
      <c r="AC34" s="164"/>
      <c r="AD34" s="164"/>
      <c r="AE34" s="165"/>
      <c r="AF34" s="166"/>
      <c r="AG34" s="162"/>
      <c r="AH34" s="162"/>
      <c r="AI34" s="167"/>
      <c r="AJ34" s="162"/>
      <c r="AK34" s="168"/>
      <c r="AL34" s="168"/>
      <c r="AM34" s="148"/>
    </row>
    <row r="35" spans="1:39">
      <c r="A35" s="148" t="s">
        <v>4878</v>
      </c>
      <c r="B35" s="70" t="s">
        <v>4879</v>
      </c>
      <c r="C35" s="149" t="s">
        <v>4908</v>
      </c>
      <c r="D35" s="176" t="s">
        <v>4923</v>
      </c>
      <c r="E35" s="177" t="s">
        <v>4570</v>
      </c>
      <c r="F35" s="152" t="s">
        <v>1907</v>
      </c>
      <c r="G35" s="152"/>
      <c r="H35" s="152"/>
      <c r="I35" s="152" t="s">
        <v>2281</v>
      </c>
      <c r="J35" s="152" t="s">
        <v>2281</v>
      </c>
      <c r="K35" s="153" t="s">
        <v>4883</v>
      </c>
      <c r="L35" s="152" t="s">
        <v>4884</v>
      </c>
      <c r="M35" s="152" t="s">
        <v>4885</v>
      </c>
      <c r="N35" s="154">
        <f t="shared" si="3"/>
        <v>44571</v>
      </c>
      <c r="O35" s="154">
        <f t="shared" si="2"/>
        <v>44571</v>
      </c>
      <c r="P35" s="155"/>
      <c r="Q35" s="156">
        <v>1</v>
      </c>
      <c r="R35" s="154"/>
      <c r="S35" s="154"/>
      <c r="T35" s="157"/>
      <c r="U35" s="158">
        <v>44571</v>
      </c>
      <c r="V35" s="158">
        <v>44571</v>
      </c>
      <c r="W35" s="159"/>
      <c r="X35" s="160">
        <v>1</v>
      </c>
      <c r="Y35" s="161"/>
      <c r="Z35" s="162"/>
      <c r="AA35" s="157"/>
      <c r="AB35" s="163"/>
      <c r="AC35" s="164"/>
      <c r="AD35" s="164"/>
      <c r="AE35" s="165"/>
      <c r="AF35" s="166"/>
      <c r="AG35" s="162"/>
      <c r="AH35" s="162"/>
      <c r="AI35" s="167"/>
      <c r="AJ35" s="162"/>
      <c r="AK35" s="168"/>
      <c r="AL35" s="168"/>
      <c r="AM35" s="148"/>
    </row>
    <row r="36" spans="1:39">
      <c r="A36" s="148" t="s">
        <v>4878</v>
      </c>
      <c r="B36" s="70" t="s">
        <v>4879</v>
      </c>
      <c r="C36" s="149" t="s">
        <v>4908</v>
      </c>
      <c r="D36" s="176" t="s">
        <v>4924</v>
      </c>
      <c r="E36" s="177" t="s">
        <v>4925</v>
      </c>
      <c r="F36" s="152" t="s">
        <v>1907</v>
      </c>
      <c r="G36" s="152"/>
      <c r="H36" s="152"/>
      <c r="I36" s="152" t="s">
        <v>2567</v>
      </c>
      <c r="J36" s="152" t="s">
        <v>2567</v>
      </c>
      <c r="K36" s="153" t="s">
        <v>4883</v>
      </c>
      <c r="L36" s="152" t="s">
        <v>4884</v>
      </c>
      <c r="M36" s="152" t="s">
        <v>4885</v>
      </c>
      <c r="N36" s="154">
        <f t="shared" si="3"/>
        <v>44572</v>
      </c>
      <c r="O36" s="154">
        <f t="shared" si="2"/>
        <v>44573</v>
      </c>
      <c r="P36" s="155"/>
      <c r="Q36" s="156">
        <v>2</v>
      </c>
      <c r="R36" s="154"/>
      <c r="S36" s="154"/>
      <c r="T36" s="157"/>
      <c r="U36" s="158">
        <v>44572</v>
      </c>
      <c r="V36" s="158">
        <v>44573</v>
      </c>
      <c r="W36" s="159"/>
      <c r="X36" s="160">
        <v>2</v>
      </c>
      <c r="Y36" s="161"/>
      <c r="Z36" s="162"/>
      <c r="AA36" s="157"/>
      <c r="AB36" s="163"/>
      <c r="AC36" s="164"/>
      <c r="AD36" s="164"/>
      <c r="AE36" s="165"/>
      <c r="AF36" s="166"/>
      <c r="AG36" s="162"/>
      <c r="AH36" s="162"/>
      <c r="AI36" s="167"/>
      <c r="AJ36" s="162"/>
      <c r="AK36" s="168"/>
      <c r="AL36" s="168"/>
      <c r="AM36" s="148"/>
    </row>
    <row r="37" spans="1:39">
      <c r="A37" s="148" t="s">
        <v>4878</v>
      </c>
      <c r="B37" s="70" t="s">
        <v>4879</v>
      </c>
      <c r="C37" s="149" t="s">
        <v>4908</v>
      </c>
      <c r="D37" s="176" t="s">
        <v>4926</v>
      </c>
      <c r="E37" s="177" t="s">
        <v>4578</v>
      </c>
      <c r="F37" s="152" t="s">
        <v>1907</v>
      </c>
      <c r="G37" s="152"/>
      <c r="H37" s="152"/>
      <c r="I37" s="152" t="s">
        <v>2567</v>
      </c>
      <c r="J37" s="152" t="s">
        <v>2567</v>
      </c>
      <c r="K37" s="153" t="s">
        <v>4883</v>
      </c>
      <c r="L37" s="152" t="s">
        <v>4884</v>
      </c>
      <c r="M37" s="152" t="s">
        <v>4885</v>
      </c>
      <c r="N37" s="154">
        <f t="shared" si="3"/>
        <v>44574</v>
      </c>
      <c r="O37" s="154">
        <f t="shared" si="2"/>
        <v>44574</v>
      </c>
      <c r="P37" s="155"/>
      <c r="Q37" s="156">
        <v>1</v>
      </c>
      <c r="R37" s="154"/>
      <c r="S37" s="154"/>
      <c r="T37" s="157"/>
      <c r="U37" s="158">
        <v>44574</v>
      </c>
      <c r="V37" s="158">
        <v>44574</v>
      </c>
      <c r="W37" s="159"/>
      <c r="X37" s="160">
        <v>1</v>
      </c>
      <c r="Y37" s="161"/>
      <c r="Z37" s="162"/>
      <c r="AA37" s="157"/>
      <c r="AB37" s="163"/>
      <c r="AC37" s="164"/>
      <c r="AD37" s="164"/>
      <c r="AE37" s="165"/>
      <c r="AF37" s="166"/>
      <c r="AG37" s="162"/>
      <c r="AH37" s="162"/>
      <c r="AI37" s="167"/>
      <c r="AJ37" s="162"/>
      <c r="AK37" s="168"/>
      <c r="AL37" s="168"/>
      <c r="AM37" s="148"/>
    </row>
    <row r="38" spans="1:39">
      <c r="A38" s="148" t="s">
        <v>4878</v>
      </c>
      <c r="B38" s="70" t="s">
        <v>4879</v>
      </c>
      <c r="C38" s="149" t="s">
        <v>4880</v>
      </c>
      <c r="D38" s="172" t="s">
        <v>4927</v>
      </c>
      <c r="E38" s="178" t="s">
        <v>4928</v>
      </c>
      <c r="F38" s="152" t="s">
        <v>1907</v>
      </c>
      <c r="G38" s="152"/>
      <c r="H38" s="152"/>
      <c r="I38" s="152" t="s">
        <v>2567</v>
      </c>
      <c r="J38" s="152" t="s">
        <v>2567</v>
      </c>
      <c r="K38" s="153" t="s">
        <v>4883</v>
      </c>
      <c r="L38" s="152" t="s">
        <v>4884</v>
      </c>
      <c r="M38" s="152" t="s">
        <v>4885</v>
      </c>
      <c r="N38" s="154">
        <f t="shared" si="3"/>
        <v>44575</v>
      </c>
      <c r="O38" s="154">
        <f t="shared" si="2"/>
        <v>44578</v>
      </c>
      <c r="P38" s="155"/>
      <c r="Q38" s="156">
        <v>2</v>
      </c>
      <c r="R38" s="154"/>
      <c r="S38" s="154"/>
      <c r="T38" s="157"/>
      <c r="U38" s="158">
        <v>44575</v>
      </c>
      <c r="V38" s="158">
        <v>44578</v>
      </c>
      <c r="W38" s="159"/>
      <c r="X38" s="160">
        <v>2</v>
      </c>
      <c r="Y38" s="161"/>
      <c r="Z38" s="162"/>
      <c r="AA38" s="157"/>
      <c r="AB38" s="163"/>
      <c r="AC38" s="164"/>
      <c r="AD38" s="164"/>
      <c r="AE38" s="165"/>
      <c r="AF38" s="166"/>
      <c r="AG38" s="162"/>
      <c r="AH38" s="162"/>
      <c r="AI38" s="167"/>
      <c r="AJ38" s="162"/>
      <c r="AK38" s="168"/>
      <c r="AL38" s="168"/>
      <c r="AM38" s="148"/>
    </row>
    <row r="39" spans="1:39">
      <c r="A39" s="148" t="s">
        <v>4878</v>
      </c>
      <c r="B39" s="70" t="s">
        <v>4879</v>
      </c>
      <c r="C39" s="149" t="s">
        <v>4880</v>
      </c>
      <c r="D39" s="172" t="s">
        <v>4929</v>
      </c>
      <c r="E39" s="179" t="s">
        <v>4930</v>
      </c>
      <c r="F39" s="152" t="s">
        <v>1907</v>
      </c>
      <c r="G39" s="152"/>
      <c r="H39" s="152"/>
      <c r="I39" s="152" t="s">
        <v>2567</v>
      </c>
      <c r="J39" s="152" t="s">
        <v>2666</v>
      </c>
      <c r="K39" s="153" t="s">
        <v>4883</v>
      </c>
      <c r="L39" s="152" t="s">
        <v>4884</v>
      </c>
      <c r="M39" s="152" t="s">
        <v>4885</v>
      </c>
      <c r="N39" s="154">
        <f t="shared" si="3"/>
        <v>44579</v>
      </c>
      <c r="O39" s="154">
        <f t="shared" si="2"/>
        <v>44579</v>
      </c>
      <c r="P39" s="155"/>
      <c r="Q39" s="156">
        <v>1</v>
      </c>
      <c r="R39" s="154"/>
      <c r="S39" s="154"/>
      <c r="T39" s="157"/>
      <c r="U39" s="158">
        <v>44579</v>
      </c>
      <c r="V39" s="158">
        <v>44579</v>
      </c>
      <c r="W39" s="159"/>
      <c r="X39" s="160">
        <v>1</v>
      </c>
      <c r="Y39" s="161"/>
      <c r="Z39" s="162"/>
      <c r="AA39" s="157"/>
      <c r="AB39" s="163"/>
      <c r="AC39" s="164"/>
      <c r="AD39" s="164"/>
      <c r="AE39" s="165"/>
      <c r="AF39" s="166"/>
      <c r="AG39" s="162"/>
      <c r="AH39" s="162"/>
      <c r="AI39" s="167"/>
      <c r="AJ39" s="162"/>
      <c r="AK39" s="168"/>
      <c r="AL39" s="168"/>
      <c r="AM39" s="148"/>
    </row>
    <row r="40" spans="1:39">
      <c r="A40" s="148" t="s">
        <v>4878</v>
      </c>
      <c r="B40" s="70" t="s">
        <v>4879</v>
      </c>
      <c r="C40" s="149" t="s">
        <v>4880</v>
      </c>
      <c r="D40" s="172" t="s">
        <v>4931</v>
      </c>
      <c r="E40" s="179" t="s">
        <v>4932</v>
      </c>
      <c r="F40" s="152" t="s">
        <v>1907</v>
      </c>
      <c r="G40" s="152"/>
      <c r="H40" s="152"/>
      <c r="I40" s="152" t="s">
        <v>2567</v>
      </c>
      <c r="J40" s="152" t="s">
        <v>2666</v>
      </c>
      <c r="K40" s="153" t="s">
        <v>4883</v>
      </c>
      <c r="L40" s="152" t="s">
        <v>4884</v>
      </c>
      <c r="M40" s="152" t="s">
        <v>4885</v>
      </c>
      <c r="N40" s="154">
        <f t="shared" si="3"/>
        <v>44580</v>
      </c>
      <c r="O40" s="154">
        <f t="shared" si="2"/>
        <v>44580</v>
      </c>
      <c r="P40" s="155"/>
      <c r="Q40" s="156">
        <v>1</v>
      </c>
      <c r="R40" s="154"/>
      <c r="S40" s="154"/>
      <c r="T40" s="157"/>
      <c r="U40" s="158">
        <v>44580</v>
      </c>
      <c r="V40" s="158">
        <v>44580</v>
      </c>
      <c r="W40" s="159"/>
      <c r="X40" s="160">
        <v>1</v>
      </c>
      <c r="Y40" s="161"/>
      <c r="Z40" s="162"/>
      <c r="AA40" s="157"/>
      <c r="AB40" s="163"/>
      <c r="AC40" s="164"/>
      <c r="AD40" s="164"/>
      <c r="AE40" s="165"/>
      <c r="AF40" s="166"/>
      <c r="AG40" s="162"/>
      <c r="AH40" s="162"/>
      <c r="AI40" s="167"/>
      <c r="AJ40" s="162"/>
      <c r="AK40" s="168"/>
      <c r="AL40" s="168"/>
      <c r="AM40" s="148"/>
    </row>
    <row r="41" spans="1:39">
      <c r="A41" s="148" t="s">
        <v>4878</v>
      </c>
      <c r="B41" s="70" t="s">
        <v>4879</v>
      </c>
      <c r="C41" s="149" t="s">
        <v>4933</v>
      </c>
      <c r="D41" s="172" t="s">
        <v>4934</v>
      </c>
      <c r="E41" s="179" t="s">
        <v>4935</v>
      </c>
      <c r="F41" s="152" t="s">
        <v>1907</v>
      </c>
      <c r="G41" s="152"/>
      <c r="H41" s="152"/>
      <c r="I41" s="152" t="s">
        <v>2281</v>
      </c>
      <c r="J41" s="152" t="s">
        <v>2281</v>
      </c>
      <c r="K41" s="153" t="s">
        <v>4883</v>
      </c>
      <c r="L41" s="152" t="s">
        <v>4884</v>
      </c>
      <c r="M41" s="152" t="s">
        <v>4885</v>
      </c>
      <c r="N41" s="154">
        <f t="shared" si="3"/>
        <v>44581</v>
      </c>
      <c r="O41" s="154">
        <f t="shared" si="2"/>
        <v>44585</v>
      </c>
      <c r="P41" s="155"/>
      <c r="Q41" s="156">
        <v>3</v>
      </c>
      <c r="R41" s="154"/>
      <c r="S41" s="154"/>
      <c r="T41" s="157"/>
      <c r="U41" s="158">
        <v>44581</v>
      </c>
      <c r="V41" s="158">
        <v>44585</v>
      </c>
      <c r="W41" s="159"/>
      <c r="X41" s="160">
        <v>3</v>
      </c>
      <c r="Y41" s="161"/>
      <c r="Z41" s="162"/>
      <c r="AA41" s="157"/>
      <c r="AB41" s="163"/>
      <c r="AC41" s="164"/>
      <c r="AD41" s="164"/>
      <c r="AE41" s="165"/>
      <c r="AF41" s="166"/>
      <c r="AG41" s="162"/>
      <c r="AH41" s="162"/>
      <c r="AI41" s="167"/>
      <c r="AJ41" s="162"/>
      <c r="AK41" s="168"/>
      <c r="AL41" s="168"/>
      <c r="AM41" s="148"/>
    </row>
    <row r="42" spans="1:39">
      <c r="A42" s="148" t="s">
        <v>4878</v>
      </c>
      <c r="B42" s="70" t="s">
        <v>4879</v>
      </c>
      <c r="C42" s="149" t="s">
        <v>4933</v>
      </c>
      <c r="D42" s="172" t="s">
        <v>4936</v>
      </c>
      <c r="E42" s="179" t="s">
        <v>4937</v>
      </c>
      <c r="F42" s="152" t="s">
        <v>1907</v>
      </c>
      <c r="G42" s="152"/>
      <c r="H42" s="152"/>
      <c r="I42" s="152" t="s">
        <v>2567</v>
      </c>
      <c r="J42" s="152" t="s">
        <v>2567</v>
      </c>
      <c r="K42" s="153" t="s">
        <v>4883</v>
      </c>
      <c r="L42" s="152" t="s">
        <v>4884</v>
      </c>
      <c r="M42" s="152" t="s">
        <v>4885</v>
      </c>
      <c r="N42" s="154">
        <f t="shared" si="3"/>
        <v>44586</v>
      </c>
      <c r="O42" s="154">
        <f t="shared" si="2"/>
        <v>44586</v>
      </c>
      <c r="P42" s="155"/>
      <c r="Q42" s="156">
        <v>1</v>
      </c>
      <c r="R42" s="154"/>
      <c r="S42" s="154"/>
      <c r="T42" s="157"/>
      <c r="U42" s="158">
        <v>44586</v>
      </c>
      <c r="V42" s="158">
        <v>44586</v>
      </c>
      <c r="W42" s="159"/>
      <c r="X42" s="160">
        <v>1</v>
      </c>
      <c r="Y42" s="161"/>
      <c r="Z42" s="162"/>
      <c r="AA42" s="157"/>
      <c r="AB42" s="163"/>
      <c r="AC42" s="164"/>
      <c r="AD42" s="164"/>
      <c r="AE42" s="165"/>
      <c r="AF42" s="166"/>
      <c r="AG42" s="162"/>
      <c r="AH42" s="162"/>
      <c r="AI42" s="167"/>
      <c r="AJ42" s="162"/>
      <c r="AK42" s="168"/>
      <c r="AL42" s="168"/>
      <c r="AM42" s="148"/>
    </row>
    <row r="43" spans="1:39">
      <c r="A43" s="148" t="s">
        <v>4878</v>
      </c>
      <c r="B43" s="70" t="s">
        <v>4879</v>
      </c>
      <c r="C43" s="149" t="s">
        <v>4933</v>
      </c>
      <c r="D43" s="172" t="s">
        <v>4938</v>
      </c>
      <c r="E43" s="179" t="s">
        <v>4939</v>
      </c>
      <c r="F43" s="152" t="s">
        <v>1907</v>
      </c>
      <c r="G43" s="152"/>
      <c r="H43" s="152"/>
      <c r="I43" s="152" t="s">
        <v>2567</v>
      </c>
      <c r="J43" s="152" t="s">
        <v>2567</v>
      </c>
      <c r="K43" s="153" t="s">
        <v>4883</v>
      </c>
      <c r="L43" s="152" t="s">
        <v>4884</v>
      </c>
      <c r="M43" s="152" t="s">
        <v>4885</v>
      </c>
      <c r="N43" s="154">
        <f t="shared" si="3"/>
        <v>44587</v>
      </c>
      <c r="O43" s="154">
        <f t="shared" si="2"/>
        <v>44587</v>
      </c>
      <c r="P43" s="155"/>
      <c r="Q43" s="156">
        <v>1</v>
      </c>
      <c r="R43" s="154"/>
      <c r="S43" s="154"/>
      <c r="T43" s="157"/>
      <c r="U43" s="158">
        <v>44587</v>
      </c>
      <c r="V43" s="158">
        <v>44587</v>
      </c>
      <c r="W43" s="159"/>
      <c r="X43" s="160">
        <v>1</v>
      </c>
      <c r="Y43" s="161"/>
      <c r="Z43" s="162"/>
      <c r="AA43" s="157"/>
      <c r="AB43" s="163"/>
      <c r="AC43" s="164"/>
      <c r="AD43" s="164"/>
      <c r="AE43" s="165"/>
      <c r="AF43" s="166"/>
      <c r="AG43" s="162"/>
      <c r="AH43" s="162"/>
      <c r="AI43" s="167"/>
      <c r="AJ43" s="162"/>
      <c r="AK43" s="168"/>
      <c r="AL43" s="168"/>
      <c r="AM43" s="148"/>
    </row>
    <row r="44" spans="1:39">
      <c r="A44" s="148" t="s">
        <v>4878</v>
      </c>
      <c r="B44" s="70" t="s">
        <v>4879</v>
      </c>
      <c r="C44" s="149" t="s">
        <v>4933</v>
      </c>
      <c r="D44" s="172" t="s">
        <v>4940</v>
      </c>
      <c r="E44" s="179" t="s">
        <v>4941</v>
      </c>
      <c r="F44" s="152" t="s">
        <v>1907</v>
      </c>
      <c r="G44" s="152"/>
      <c r="H44" s="152"/>
      <c r="I44" s="152" t="s">
        <v>2567</v>
      </c>
      <c r="J44" s="152" t="s">
        <v>2567</v>
      </c>
      <c r="K44" s="153" t="s">
        <v>4883</v>
      </c>
      <c r="L44" s="152" t="s">
        <v>4884</v>
      </c>
      <c r="M44" s="152" t="s">
        <v>4885</v>
      </c>
      <c r="N44" s="154">
        <f t="shared" si="3"/>
        <v>44588</v>
      </c>
      <c r="O44" s="154">
        <f t="shared" si="2"/>
        <v>44588</v>
      </c>
      <c r="P44" s="155"/>
      <c r="Q44" s="156">
        <v>1</v>
      </c>
      <c r="R44" s="154"/>
      <c r="S44" s="154"/>
      <c r="T44" s="157"/>
      <c r="U44" s="158">
        <v>44588</v>
      </c>
      <c r="V44" s="158">
        <v>44588</v>
      </c>
      <c r="W44" s="159"/>
      <c r="X44" s="160">
        <v>1</v>
      </c>
      <c r="Y44" s="161"/>
      <c r="Z44" s="162"/>
      <c r="AA44" s="157"/>
      <c r="AB44" s="163"/>
      <c r="AC44" s="164"/>
      <c r="AD44" s="164"/>
      <c r="AE44" s="165"/>
      <c r="AF44" s="166"/>
      <c r="AG44" s="162"/>
      <c r="AH44" s="162"/>
      <c r="AI44" s="167"/>
      <c r="AJ44" s="162"/>
      <c r="AK44" s="168"/>
      <c r="AL44" s="168"/>
      <c r="AM44" s="148"/>
    </row>
    <row r="45" spans="1:39">
      <c r="A45" s="148" t="s">
        <v>4878</v>
      </c>
      <c r="B45" s="70" t="s">
        <v>4879</v>
      </c>
      <c r="C45" s="149" t="s">
        <v>4933</v>
      </c>
      <c r="D45" s="172" t="s">
        <v>4942</v>
      </c>
      <c r="E45" s="179" t="s">
        <v>4943</v>
      </c>
      <c r="F45" s="152" t="s">
        <v>1907</v>
      </c>
      <c r="G45" s="152"/>
      <c r="H45" s="152"/>
      <c r="I45" s="152" t="s">
        <v>2567</v>
      </c>
      <c r="J45" s="152" t="s">
        <v>2567</v>
      </c>
      <c r="K45" s="153" t="s">
        <v>4883</v>
      </c>
      <c r="L45" s="152" t="s">
        <v>4884</v>
      </c>
      <c r="M45" s="152" t="s">
        <v>4885</v>
      </c>
      <c r="N45" s="154">
        <f t="shared" si="3"/>
        <v>44589</v>
      </c>
      <c r="O45" s="154">
        <f t="shared" si="2"/>
        <v>44589</v>
      </c>
      <c r="P45" s="155"/>
      <c r="Q45" s="156">
        <v>1</v>
      </c>
      <c r="R45" s="154"/>
      <c r="S45" s="154"/>
      <c r="T45" s="157"/>
      <c r="U45" s="158">
        <v>44589</v>
      </c>
      <c r="V45" s="158">
        <v>44589</v>
      </c>
      <c r="W45" s="159"/>
      <c r="X45" s="160">
        <v>1</v>
      </c>
      <c r="Y45" s="161"/>
      <c r="Z45" s="162"/>
      <c r="AA45" s="157"/>
      <c r="AB45" s="163"/>
      <c r="AC45" s="164"/>
      <c r="AD45" s="164"/>
      <c r="AE45" s="165"/>
      <c r="AF45" s="166"/>
      <c r="AG45" s="162"/>
      <c r="AH45" s="162"/>
      <c r="AI45" s="167"/>
      <c r="AJ45" s="162"/>
      <c r="AK45" s="168"/>
      <c r="AL45" s="168"/>
      <c r="AM45" s="148"/>
    </row>
    <row r="46" spans="1:39">
      <c r="A46" s="148" t="s">
        <v>4878</v>
      </c>
      <c r="B46" s="70" t="s">
        <v>4879</v>
      </c>
      <c r="C46" s="149" t="s">
        <v>4933</v>
      </c>
      <c r="D46" s="172" t="s">
        <v>4944</v>
      </c>
      <c r="E46" s="179" t="s">
        <v>4945</v>
      </c>
      <c r="F46" s="152" t="s">
        <v>1907</v>
      </c>
      <c r="G46" s="152"/>
      <c r="H46" s="152"/>
      <c r="I46" s="152" t="s">
        <v>2567</v>
      </c>
      <c r="J46" s="152" t="s">
        <v>2567</v>
      </c>
      <c r="K46" s="153" t="s">
        <v>4883</v>
      </c>
      <c r="L46" s="152" t="s">
        <v>4884</v>
      </c>
      <c r="M46" s="152" t="s">
        <v>4885</v>
      </c>
      <c r="N46" s="154">
        <f t="shared" si="3"/>
        <v>44592</v>
      </c>
      <c r="O46" s="154">
        <f t="shared" si="2"/>
        <v>44592</v>
      </c>
      <c r="P46" s="155"/>
      <c r="Q46" s="156">
        <v>1</v>
      </c>
      <c r="R46" s="154"/>
      <c r="S46" s="154"/>
      <c r="T46" s="157"/>
      <c r="U46" s="158">
        <v>44592</v>
      </c>
      <c r="V46" s="158">
        <v>44592</v>
      </c>
      <c r="W46" s="159"/>
      <c r="X46" s="160">
        <v>1</v>
      </c>
      <c r="Y46" s="161"/>
      <c r="Z46" s="162"/>
      <c r="AA46" s="157"/>
      <c r="AB46" s="163"/>
      <c r="AC46" s="164"/>
      <c r="AD46" s="164"/>
      <c r="AE46" s="165"/>
      <c r="AF46" s="166"/>
      <c r="AG46" s="162"/>
      <c r="AH46" s="162"/>
      <c r="AI46" s="167"/>
      <c r="AJ46" s="162"/>
      <c r="AK46" s="168"/>
      <c r="AL46" s="168"/>
      <c r="AM46" s="148"/>
    </row>
    <row r="47" spans="1:39">
      <c r="A47" s="148" t="s">
        <v>4878</v>
      </c>
      <c r="B47" s="70" t="s">
        <v>4879</v>
      </c>
      <c r="C47" s="149" t="s">
        <v>4933</v>
      </c>
      <c r="D47" s="172" t="s">
        <v>4946</v>
      </c>
      <c r="E47" s="179" t="s">
        <v>4947</v>
      </c>
      <c r="F47" s="152" t="s">
        <v>1907</v>
      </c>
      <c r="G47" s="152"/>
      <c r="H47" s="152"/>
      <c r="I47" s="152" t="s">
        <v>2281</v>
      </c>
      <c r="J47" s="152" t="s">
        <v>2567</v>
      </c>
      <c r="K47" s="153" t="s">
        <v>4883</v>
      </c>
      <c r="L47" s="152" t="s">
        <v>4884</v>
      </c>
      <c r="M47" s="152" t="s">
        <v>4885</v>
      </c>
      <c r="N47" s="154">
        <f t="shared" si="3"/>
        <v>44593</v>
      </c>
      <c r="O47" s="154">
        <f t="shared" si="2"/>
        <v>44594</v>
      </c>
      <c r="P47" s="155"/>
      <c r="Q47" s="156">
        <v>2</v>
      </c>
      <c r="R47" s="154"/>
      <c r="S47" s="154"/>
      <c r="T47" s="157"/>
      <c r="U47" s="158">
        <v>44593</v>
      </c>
      <c r="V47" s="158">
        <v>44594</v>
      </c>
      <c r="W47" s="159"/>
      <c r="X47" s="160">
        <v>2</v>
      </c>
      <c r="Y47" s="161"/>
      <c r="Z47" s="162"/>
      <c r="AA47" s="157"/>
      <c r="AB47" s="163"/>
      <c r="AC47" s="164"/>
      <c r="AD47" s="164"/>
      <c r="AE47" s="165"/>
      <c r="AF47" s="166"/>
      <c r="AG47" s="162"/>
      <c r="AH47" s="162"/>
      <c r="AI47" s="167"/>
      <c r="AJ47" s="162"/>
      <c r="AK47" s="168"/>
      <c r="AL47" s="168"/>
      <c r="AM47" s="148"/>
    </row>
    <row r="48" spans="1:39">
      <c r="A48" s="148" t="s">
        <v>4878</v>
      </c>
      <c r="B48" s="70" t="s">
        <v>4879</v>
      </c>
      <c r="C48" s="149" t="s">
        <v>4880</v>
      </c>
      <c r="D48" s="172" t="s">
        <v>4948</v>
      </c>
      <c r="E48" s="151" t="s">
        <v>4949</v>
      </c>
      <c r="F48" s="152" t="s">
        <v>1907</v>
      </c>
      <c r="G48" s="152"/>
      <c r="H48" s="152"/>
      <c r="I48" s="152" t="s">
        <v>2567</v>
      </c>
      <c r="J48" s="152" t="s">
        <v>2567</v>
      </c>
      <c r="K48" s="153" t="s">
        <v>4883</v>
      </c>
      <c r="L48" s="152" t="s">
        <v>4884</v>
      </c>
      <c r="M48" s="152" t="s">
        <v>4950</v>
      </c>
      <c r="N48" s="154">
        <f t="shared" si="3"/>
        <v>44595</v>
      </c>
      <c r="O48" s="154">
        <f t="shared" si="2"/>
        <v>44596</v>
      </c>
      <c r="P48" s="155"/>
      <c r="Q48" s="156">
        <v>2</v>
      </c>
      <c r="R48" s="154"/>
      <c r="S48" s="154"/>
      <c r="T48" s="157"/>
      <c r="U48" s="158">
        <v>44595</v>
      </c>
      <c r="V48" s="158">
        <v>44596</v>
      </c>
      <c r="W48" s="159"/>
      <c r="X48" s="160">
        <v>2</v>
      </c>
      <c r="Y48" s="161"/>
      <c r="Z48" s="162"/>
      <c r="AA48" s="157"/>
      <c r="AB48" s="163"/>
      <c r="AC48" s="164"/>
      <c r="AD48" s="164"/>
      <c r="AE48" s="165"/>
      <c r="AF48" s="166"/>
      <c r="AG48" s="162"/>
      <c r="AH48" s="162"/>
      <c r="AI48" s="167"/>
      <c r="AJ48" s="162"/>
      <c r="AK48" s="168"/>
      <c r="AL48" s="168"/>
      <c r="AM48" s="148"/>
    </row>
    <row r="49" spans="1:39">
      <c r="A49" s="148" t="s">
        <v>4878</v>
      </c>
      <c r="B49" s="70" t="s">
        <v>4879</v>
      </c>
      <c r="C49" s="149" t="s">
        <v>4880</v>
      </c>
      <c r="D49" s="172" t="s">
        <v>4951</v>
      </c>
      <c r="E49" s="151" t="s">
        <v>4952</v>
      </c>
      <c r="F49" s="152" t="s">
        <v>1907</v>
      </c>
      <c r="G49" s="152"/>
      <c r="H49" s="152"/>
      <c r="I49" s="152" t="s">
        <v>2567</v>
      </c>
      <c r="J49" s="152" t="s">
        <v>2666</v>
      </c>
      <c r="K49" s="153" t="s">
        <v>4883</v>
      </c>
      <c r="L49" s="152" t="s">
        <v>4884</v>
      </c>
      <c r="M49" s="152" t="s">
        <v>4950</v>
      </c>
      <c r="N49" s="154">
        <f t="shared" si="3"/>
        <v>44599</v>
      </c>
      <c r="O49" s="154">
        <f t="shared" si="2"/>
        <v>44599</v>
      </c>
      <c r="P49" s="155"/>
      <c r="Q49" s="156">
        <v>1</v>
      </c>
      <c r="R49" s="154"/>
      <c r="S49" s="154"/>
      <c r="T49" s="157"/>
      <c r="U49" s="158">
        <v>44599</v>
      </c>
      <c r="V49" s="158">
        <v>44599</v>
      </c>
      <c r="W49" s="159"/>
      <c r="X49" s="160">
        <v>1</v>
      </c>
      <c r="Y49" s="161"/>
      <c r="Z49" s="162"/>
      <c r="AA49" s="157"/>
      <c r="AB49" s="163"/>
      <c r="AC49" s="164"/>
      <c r="AD49" s="164"/>
      <c r="AE49" s="165"/>
      <c r="AF49" s="166"/>
      <c r="AG49" s="162"/>
      <c r="AH49" s="162"/>
      <c r="AI49" s="167"/>
      <c r="AJ49" s="162"/>
      <c r="AK49" s="168"/>
      <c r="AL49" s="168"/>
      <c r="AM49" s="148"/>
    </row>
    <row r="50" spans="1:39">
      <c r="A50" s="148" t="s">
        <v>4878</v>
      </c>
      <c r="B50" s="70" t="s">
        <v>4879</v>
      </c>
      <c r="C50" s="149" t="s">
        <v>4880</v>
      </c>
      <c r="D50" s="172" t="s">
        <v>4953</v>
      </c>
      <c r="E50" s="151" t="s">
        <v>4954</v>
      </c>
      <c r="F50" s="152" t="s">
        <v>1907</v>
      </c>
      <c r="G50" s="152"/>
      <c r="H50" s="152"/>
      <c r="I50" s="152" t="s">
        <v>2567</v>
      </c>
      <c r="J50" s="152" t="s">
        <v>2666</v>
      </c>
      <c r="K50" s="153" t="s">
        <v>4883</v>
      </c>
      <c r="L50" s="152" t="s">
        <v>4884</v>
      </c>
      <c r="M50" s="152" t="s">
        <v>4950</v>
      </c>
      <c r="N50" s="154">
        <f t="shared" si="3"/>
        <v>44600</v>
      </c>
      <c r="O50" s="154">
        <f t="shared" si="2"/>
        <v>44600</v>
      </c>
      <c r="P50" s="155"/>
      <c r="Q50" s="156">
        <v>1</v>
      </c>
      <c r="R50" s="154"/>
      <c r="S50" s="154"/>
      <c r="T50" s="157"/>
      <c r="U50" s="158">
        <v>44600</v>
      </c>
      <c r="V50" s="158">
        <v>44600</v>
      </c>
      <c r="W50" s="159"/>
      <c r="X50" s="160">
        <v>1</v>
      </c>
      <c r="Y50" s="161"/>
      <c r="Z50" s="162"/>
      <c r="AA50" s="157"/>
      <c r="AB50" s="163"/>
      <c r="AC50" s="164"/>
      <c r="AD50" s="164"/>
      <c r="AE50" s="165"/>
      <c r="AF50" s="166"/>
      <c r="AG50" s="162"/>
      <c r="AH50" s="162"/>
      <c r="AI50" s="167"/>
      <c r="AJ50" s="162"/>
      <c r="AK50" s="168"/>
      <c r="AL50" s="168"/>
      <c r="AM50" s="148"/>
    </row>
    <row r="51" spans="1:39">
      <c r="A51" s="148" t="s">
        <v>4878</v>
      </c>
      <c r="B51" s="70" t="s">
        <v>4879</v>
      </c>
      <c r="C51" s="149" t="s">
        <v>4880</v>
      </c>
      <c r="D51" s="176" t="s">
        <v>4955</v>
      </c>
      <c r="E51" s="180" t="s">
        <v>4956</v>
      </c>
      <c r="F51" s="152" t="s">
        <v>1907</v>
      </c>
      <c r="G51" s="152"/>
      <c r="H51" s="152"/>
      <c r="I51" s="152" t="s">
        <v>2567</v>
      </c>
      <c r="J51" s="152" t="s">
        <v>2567</v>
      </c>
      <c r="K51" s="153" t="s">
        <v>4883</v>
      </c>
      <c r="L51" s="152" t="s">
        <v>4884</v>
      </c>
      <c r="M51" s="152" t="s">
        <v>4950</v>
      </c>
      <c r="N51" s="154">
        <f t="shared" si="3"/>
        <v>44601</v>
      </c>
      <c r="O51" s="154">
        <f t="shared" si="2"/>
        <v>44601</v>
      </c>
      <c r="P51" s="155"/>
      <c r="Q51" s="156">
        <v>1</v>
      </c>
      <c r="R51" s="154"/>
      <c r="S51" s="154"/>
      <c r="T51" s="157"/>
      <c r="U51" s="158">
        <v>44601</v>
      </c>
      <c r="V51" s="158">
        <v>44601</v>
      </c>
      <c r="W51" s="159"/>
      <c r="X51" s="160">
        <v>1</v>
      </c>
      <c r="Y51" s="161"/>
      <c r="Z51" s="162"/>
      <c r="AA51" s="157"/>
      <c r="AB51" s="163"/>
      <c r="AC51" s="164"/>
      <c r="AD51" s="164"/>
      <c r="AE51" s="165"/>
      <c r="AF51" s="166"/>
      <c r="AG51" s="162"/>
      <c r="AH51" s="162"/>
      <c r="AI51" s="167"/>
      <c r="AJ51" s="162"/>
      <c r="AK51" s="168"/>
      <c r="AL51" s="168"/>
      <c r="AM51" s="148"/>
    </row>
    <row r="52" spans="1:39">
      <c r="A52" s="148" t="s">
        <v>4878</v>
      </c>
      <c r="B52" s="70" t="s">
        <v>4879</v>
      </c>
      <c r="C52" s="149" t="s">
        <v>4880</v>
      </c>
      <c r="D52" s="176" t="s">
        <v>4957</v>
      </c>
      <c r="E52" s="180" t="s">
        <v>4958</v>
      </c>
      <c r="F52" s="152" t="s">
        <v>1907</v>
      </c>
      <c r="G52" s="152"/>
      <c r="H52" s="152"/>
      <c r="I52" s="152" t="s">
        <v>2567</v>
      </c>
      <c r="J52" s="152" t="s">
        <v>2567</v>
      </c>
      <c r="K52" s="153" t="s">
        <v>4883</v>
      </c>
      <c r="L52" s="152" t="s">
        <v>4884</v>
      </c>
      <c r="M52" s="152" t="s">
        <v>4950</v>
      </c>
      <c r="N52" s="154">
        <f t="shared" si="3"/>
        <v>44602</v>
      </c>
      <c r="O52" s="154">
        <f t="shared" si="2"/>
        <v>44602</v>
      </c>
      <c r="P52" s="155"/>
      <c r="Q52" s="156">
        <v>1</v>
      </c>
      <c r="R52" s="154"/>
      <c r="S52" s="154"/>
      <c r="T52" s="157"/>
      <c r="U52" s="158">
        <v>44602</v>
      </c>
      <c r="V52" s="158">
        <v>44602</v>
      </c>
      <c r="W52" s="159"/>
      <c r="X52" s="160">
        <v>1</v>
      </c>
      <c r="Y52" s="161"/>
      <c r="Z52" s="162"/>
      <c r="AA52" s="157"/>
      <c r="AB52" s="163"/>
      <c r="AC52" s="164"/>
      <c r="AD52" s="164"/>
      <c r="AE52" s="165"/>
      <c r="AF52" s="166"/>
      <c r="AG52" s="162"/>
      <c r="AH52" s="162"/>
      <c r="AI52" s="167"/>
      <c r="AJ52" s="162"/>
      <c r="AK52" s="168"/>
      <c r="AL52" s="168"/>
      <c r="AM52" s="148"/>
    </row>
    <row r="53" spans="1:39" ht="14.4" thickBot="1">
      <c r="A53" s="181" t="s">
        <v>4878</v>
      </c>
      <c r="B53" s="182" t="s">
        <v>4879</v>
      </c>
      <c r="C53" s="183" t="s">
        <v>4959</v>
      </c>
      <c r="D53" s="184" t="s">
        <v>4960</v>
      </c>
      <c r="E53" s="173" t="s">
        <v>4961</v>
      </c>
      <c r="F53" s="185" t="s">
        <v>1907</v>
      </c>
      <c r="G53" s="185"/>
      <c r="H53" s="185"/>
      <c r="I53" s="185" t="s">
        <v>2281</v>
      </c>
      <c r="J53" s="185" t="s">
        <v>2281</v>
      </c>
      <c r="K53" s="186" t="s">
        <v>4883</v>
      </c>
      <c r="L53" s="185" t="s">
        <v>4884</v>
      </c>
      <c r="M53" s="185" t="s">
        <v>4950</v>
      </c>
      <c r="N53" s="187">
        <f t="shared" si="3"/>
        <v>44603</v>
      </c>
      <c r="O53" s="187">
        <f t="shared" si="2"/>
        <v>44606</v>
      </c>
      <c r="P53" s="188"/>
      <c r="Q53" s="189">
        <v>2</v>
      </c>
      <c r="R53" s="187"/>
      <c r="S53" s="187"/>
      <c r="T53" s="190"/>
      <c r="U53" s="191">
        <v>44603</v>
      </c>
      <c r="V53" s="191">
        <v>44606</v>
      </c>
      <c r="W53" s="192"/>
      <c r="X53" s="193">
        <v>2</v>
      </c>
      <c r="Y53" s="194"/>
      <c r="Z53" s="195"/>
      <c r="AA53" s="190"/>
      <c r="AB53" s="196"/>
      <c r="AC53" s="197"/>
      <c r="AD53" s="197"/>
      <c r="AE53" s="198"/>
      <c r="AF53" s="199"/>
      <c r="AG53" s="195"/>
      <c r="AH53" s="195"/>
      <c r="AI53" s="200"/>
      <c r="AJ53" s="195"/>
      <c r="AK53" s="201"/>
      <c r="AL53" s="201"/>
      <c r="AM53" s="181"/>
    </row>
    <row r="54" spans="1:39" s="226" customFormat="1" ht="14.1" customHeight="1">
      <c r="A54" s="202" t="s">
        <v>4878</v>
      </c>
      <c r="B54" s="203" t="s">
        <v>4879</v>
      </c>
      <c r="C54" s="204" t="s">
        <v>4962</v>
      </c>
      <c r="D54" s="205" t="s">
        <v>4963</v>
      </c>
      <c r="E54" s="206" t="s">
        <v>4964</v>
      </c>
      <c r="F54" s="207" t="s">
        <v>1907</v>
      </c>
      <c r="G54" s="207"/>
      <c r="H54" s="207"/>
      <c r="I54" s="207" t="s">
        <v>2567</v>
      </c>
      <c r="J54" s="207" t="s">
        <v>2567</v>
      </c>
      <c r="K54" s="208" t="s">
        <v>4883</v>
      </c>
      <c r="L54" s="207" t="s">
        <v>4884</v>
      </c>
      <c r="M54" s="207" t="s">
        <v>4885</v>
      </c>
      <c r="N54" s="209">
        <f t="shared" si="3"/>
        <v>44607</v>
      </c>
      <c r="O54" s="209">
        <f t="shared" si="2"/>
        <v>44608</v>
      </c>
      <c r="P54" s="210"/>
      <c r="Q54" s="211">
        <v>2</v>
      </c>
      <c r="R54" s="209"/>
      <c r="S54" s="209"/>
      <c r="T54" s="212"/>
      <c r="U54" s="213">
        <v>44607</v>
      </c>
      <c r="V54" s="213">
        <v>44608</v>
      </c>
      <c r="W54" s="214"/>
      <c r="X54" s="215">
        <v>2</v>
      </c>
      <c r="Y54" s="216"/>
      <c r="Z54" s="217"/>
      <c r="AA54" s="212"/>
      <c r="AB54" s="218"/>
      <c r="AC54" s="219"/>
      <c r="AD54" s="219"/>
      <c r="AE54" s="220"/>
      <c r="AF54" s="221"/>
      <c r="AG54" s="217"/>
      <c r="AH54" s="217"/>
      <c r="AI54" s="222"/>
      <c r="AJ54" s="217"/>
      <c r="AK54" s="223"/>
      <c r="AL54" s="224"/>
      <c r="AM54" s="225"/>
    </row>
    <row r="55" spans="1:39">
      <c r="A55" s="227" t="s">
        <v>4878</v>
      </c>
      <c r="B55" s="70" t="s">
        <v>4879</v>
      </c>
      <c r="C55" s="149" t="s">
        <v>4880</v>
      </c>
      <c r="D55" s="172" t="s">
        <v>4965</v>
      </c>
      <c r="E55" s="173" t="s">
        <v>4966</v>
      </c>
      <c r="F55" s="152" t="s">
        <v>1907</v>
      </c>
      <c r="G55" s="152"/>
      <c r="H55" s="152"/>
      <c r="I55" s="152" t="s">
        <v>2567</v>
      </c>
      <c r="J55" s="152" t="s">
        <v>2567</v>
      </c>
      <c r="K55" s="153" t="s">
        <v>4883</v>
      </c>
      <c r="L55" s="152" t="s">
        <v>4884</v>
      </c>
      <c r="M55" s="152" t="s">
        <v>4885</v>
      </c>
      <c r="N55" s="154">
        <f t="shared" si="3"/>
        <v>44609</v>
      </c>
      <c r="O55" s="154">
        <f t="shared" si="2"/>
        <v>44610</v>
      </c>
      <c r="P55" s="155"/>
      <c r="Q55" s="156">
        <v>2</v>
      </c>
      <c r="R55" s="154"/>
      <c r="S55" s="154"/>
      <c r="T55" s="157"/>
      <c r="U55" s="158">
        <v>44609</v>
      </c>
      <c r="V55" s="158">
        <v>44610</v>
      </c>
      <c r="W55" s="159"/>
      <c r="X55" s="160">
        <v>2</v>
      </c>
      <c r="Y55" s="161"/>
      <c r="Z55" s="162"/>
      <c r="AA55" s="157"/>
      <c r="AB55" s="163"/>
      <c r="AC55" s="164"/>
      <c r="AD55" s="164"/>
      <c r="AE55" s="165"/>
      <c r="AF55" s="166"/>
      <c r="AG55" s="162"/>
      <c r="AH55" s="162"/>
      <c r="AI55" s="167"/>
      <c r="AJ55" s="162"/>
      <c r="AK55" s="168"/>
      <c r="AL55" s="168"/>
      <c r="AM55" s="148"/>
    </row>
    <row r="56" spans="1:39" ht="12" customHeight="1">
      <c r="A56" s="227" t="s">
        <v>4878</v>
      </c>
      <c r="B56" s="70" t="s">
        <v>4879</v>
      </c>
      <c r="C56" s="149" t="s">
        <v>4967</v>
      </c>
      <c r="D56" s="172" t="s">
        <v>4968</v>
      </c>
      <c r="E56" s="174" t="s">
        <v>4566</v>
      </c>
      <c r="F56" s="152" t="s">
        <v>1907</v>
      </c>
      <c r="G56" s="152"/>
      <c r="H56" s="152"/>
      <c r="I56" s="152" t="s">
        <v>2281</v>
      </c>
      <c r="J56" s="152" t="s">
        <v>2281</v>
      </c>
      <c r="K56" s="153" t="s">
        <v>4883</v>
      </c>
      <c r="L56" s="152" t="s">
        <v>4884</v>
      </c>
      <c r="M56" s="152" t="s">
        <v>4885</v>
      </c>
      <c r="N56" s="154">
        <f t="shared" si="3"/>
        <v>44613</v>
      </c>
      <c r="O56" s="154">
        <f t="shared" si="2"/>
        <v>44615</v>
      </c>
      <c r="P56" s="155"/>
      <c r="Q56" s="156">
        <v>3</v>
      </c>
      <c r="R56" s="154"/>
      <c r="S56" s="154"/>
      <c r="T56" s="157"/>
      <c r="U56" s="158">
        <v>44613</v>
      </c>
      <c r="V56" s="158">
        <v>44615</v>
      </c>
      <c r="W56" s="159"/>
      <c r="X56" s="160">
        <v>3</v>
      </c>
      <c r="Y56" s="161"/>
      <c r="Z56" s="162"/>
      <c r="AA56" s="157"/>
      <c r="AB56" s="163"/>
      <c r="AC56" s="164"/>
      <c r="AD56" s="164"/>
      <c r="AE56" s="165"/>
      <c r="AF56" s="166"/>
      <c r="AG56" s="162"/>
      <c r="AH56" s="162"/>
      <c r="AI56" s="167"/>
      <c r="AJ56" s="162"/>
      <c r="AK56" s="168"/>
      <c r="AL56" s="168"/>
      <c r="AM56" s="148"/>
    </row>
    <row r="57" spans="1:39">
      <c r="A57" s="227" t="s">
        <v>4878</v>
      </c>
      <c r="B57" s="70" t="s">
        <v>4879</v>
      </c>
      <c r="C57" s="149" t="s">
        <v>4933</v>
      </c>
      <c r="D57" s="172" t="s">
        <v>4969</v>
      </c>
      <c r="E57" s="179" t="s">
        <v>4970</v>
      </c>
      <c r="F57" s="152" t="s">
        <v>1907</v>
      </c>
      <c r="G57" s="152"/>
      <c r="H57" s="152"/>
      <c r="I57" s="152" t="s">
        <v>2281</v>
      </c>
      <c r="J57" s="152" t="s">
        <v>2281</v>
      </c>
      <c r="K57" s="153" t="s">
        <v>4883</v>
      </c>
      <c r="L57" s="152" t="s">
        <v>4884</v>
      </c>
      <c r="M57" s="152" t="s">
        <v>4885</v>
      </c>
      <c r="N57" s="154">
        <f t="shared" si="3"/>
        <v>44616</v>
      </c>
      <c r="O57" s="154">
        <f t="shared" si="2"/>
        <v>44620</v>
      </c>
      <c r="P57" s="155"/>
      <c r="Q57" s="156">
        <v>3</v>
      </c>
      <c r="R57" s="154"/>
      <c r="S57" s="154"/>
      <c r="T57" s="157"/>
      <c r="U57" s="158">
        <v>44616</v>
      </c>
      <c r="V57" s="158">
        <v>44620</v>
      </c>
      <c r="W57" s="159"/>
      <c r="X57" s="160">
        <v>3</v>
      </c>
      <c r="Y57" s="161"/>
      <c r="Z57" s="162"/>
      <c r="AA57" s="157"/>
      <c r="AB57" s="163"/>
      <c r="AC57" s="164"/>
      <c r="AD57" s="164"/>
      <c r="AE57" s="165"/>
      <c r="AF57" s="166"/>
      <c r="AG57" s="162"/>
      <c r="AH57" s="162"/>
      <c r="AI57" s="167"/>
      <c r="AJ57" s="162"/>
      <c r="AK57" s="168"/>
      <c r="AL57" s="168"/>
      <c r="AM57" s="148"/>
    </row>
    <row r="58" spans="1:39">
      <c r="A58" s="227" t="s">
        <v>4878</v>
      </c>
      <c r="B58" s="70" t="s">
        <v>4879</v>
      </c>
      <c r="C58" s="149" t="s">
        <v>4933</v>
      </c>
      <c r="D58" s="172" t="s">
        <v>4971</v>
      </c>
      <c r="E58" s="179" t="s">
        <v>4972</v>
      </c>
      <c r="F58" s="152" t="s">
        <v>1907</v>
      </c>
      <c r="G58" s="152"/>
      <c r="H58" s="152"/>
      <c r="I58" s="152" t="s">
        <v>2567</v>
      </c>
      <c r="J58" s="152" t="s">
        <v>2567</v>
      </c>
      <c r="K58" s="153" t="s">
        <v>4883</v>
      </c>
      <c r="L58" s="152" t="s">
        <v>4884</v>
      </c>
      <c r="M58" s="152" t="s">
        <v>4885</v>
      </c>
      <c r="N58" s="154">
        <f t="shared" si="3"/>
        <v>44621</v>
      </c>
      <c r="O58" s="154">
        <f t="shared" si="2"/>
        <v>44622</v>
      </c>
      <c r="P58" s="155"/>
      <c r="Q58" s="156">
        <v>2</v>
      </c>
      <c r="R58" s="154"/>
      <c r="S58" s="154"/>
      <c r="T58" s="157"/>
      <c r="U58" s="158">
        <v>44621</v>
      </c>
      <c r="V58" s="158">
        <v>44622</v>
      </c>
      <c r="W58" s="159"/>
      <c r="X58" s="160">
        <v>2</v>
      </c>
      <c r="Y58" s="161"/>
      <c r="Z58" s="162"/>
      <c r="AA58" s="157"/>
      <c r="AB58" s="163"/>
      <c r="AC58" s="164"/>
      <c r="AD58" s="164"/>
      <c r="AE58" s="165"/>
      <c r="AF58" s="166"/>
      <c r="AG58" s="162"/>
      <c r="AH58" s="162"/>
      <c r="AI58" s="167"/>
      <c r="AJ58" s="162"/>
      <c r="AK58" s="168"/>
      <c r="AL58" s="168"/>
      <c r="AM58" s="148"/>
    </row>
    <row r="59" spans="1:39" ht="26.4">
      <c r="A59" s="227" t="s">
        <v>4878</v>
      </c>
      <c r="B59" s="70" t="s">
        <v>4879</v>
      </c>
      <c r="C59" s="149" t="s">
        <v>4973</v>
      </c>
      <c r="D59" s="172" t="s">
        <v>4974</v>
      </c>
      <c r="E59" s="179" t="s">
        <v>4975</v>
      </c>
      <c r="F59" s="152" t="s">
        <v>1907</v>
      </c>
      <c r="G59" s="152"/>
      <c r="H59" s="152"/>
      <c r="I59" s="152" t="s">
        <v>2281</v>
      </c>
      <c r="J59" s="152" t="s">
        <v>2281</v>
      </c>
      <c r="K59" s="153" t="s">
        <v>4883</v>
      </c>
      <c r="L59" s="152" t="s">
        <v>4884</v>
      </c>
      <c r="M59" s="152" t="s">
        <v>4950</v>
      </c>
      <c r="N59" s="154">
        <f t="shared" si="3"/>
        <v>44623</v>
      </c>
      <c r="O59" s="154">
        <f t="shared" si="2"/>
        <v>44627</v>
      </c>
      <c r="P59" s="155"/>
      <c r="Q59" s="156">
        <v>3</v>
      </c>
      <c r="R59" s="154"/>
      <c r="S59" s="154"/>
      <c r="T59" s="157"/>
      <c r="U59" s="158">
        <v>44623</v>
      </c>
      <c r="V59" s="158">
        <v>44627</v>
      </c>
      <c r="W59" s="159"/>
      <c r="X59" s="160">
        <v>3</v>
      </c>
      <c r="Y59" s="161"/>
      <c r="Z59" s="162"/>
      <c r="AA59" s="157"/>
      <c r="AB59" s="163"/>
      <c r="AC59" s="164"/>
      <c r="AD59" s="164"/>
      <c r="AE59" s="165"/>
      <c r="AF59" s="166"/>
      <c r="AG59" s="162"/>
      <c r="AH59" s="162"/>
      <c r="AI59" s="167"/>
      <c r="AJ59" s="162"/>
      <c r="AK59" s="168"/>
      <c r="AL59" s="168"/>
      <c r="AM59" s="148"/>
    </row>
    <row r="60" spans="1:39">
      <c r="A60" s="227" t="s">
        <v>4878</v>
      </c>
      <c r="B60" s="70" t="s">
        <v>4879</v>
      </c>
      <c r="C60" s="149" t="s">
        <v>4933</v>
      </c>
      <c r="D60" s="172" t="s">
        <v>4976</v>
      </c>
      <c r="E60" s="179" t="s">
        <v>4977</v>
      </c>
      <c r="F60" s="152" t="s">
        <v>1907</v>
      </c>
      <c r="G60" s="152"/>
      <c r="H60" s="152"/>
      <c r="I60" s="152" t="s">
        <v>2567</v>
      </c>
      <c r="J60" s="152" t="s">
        <v>2567</v>
      </c>
      <c r="K60" s="153" t="s">
        <v>4883</v>
      </c>
      <c r="L60" s="152" t="s">
        <v>4884</v>
      </c>
      <c r="M60" s="152" t="s">
        <v>4950</v>
      </c>
      <c r="N60" s="154">
        <f t="shared" si="3"/>
        <v>44628</v>
      </c>
      <c r="O60" s="154">
        <f t="shared" si="2"/>
        <v>44629</v>
      </c>
      <c r="P60" s="155"/>
      <c r="Q60" s="156">
        <v>2</v>
      </c>
      <c r="R60" s="154"/>
      <c r="S60" s="154"/>
      <c r="T60" s="157"/>
      <c r="U60" s="158">
        <v>44628</v>
      </c>
      <c r="V60" s="158">
        <v>44629</v>
      </c>
      <c r="W60" s="159"/>
      <c r="X60" s="160">
        <v>2</v>
      </c>
      <c r="Y60" s="161"/>
      <c r="Z60" s="162"/>
      <c r="AA60" s="157"/>
      <c r="AB60" s="163"/>
      <c r="AC60" s="164"/>
      <c r="AD60" s="164"/>
      <c r="AE60" s="165"/>
      <c r="AF60" s="166"/>
      <c r="AG60" s="162"/>
      <c r="AH60" s="162"/>
      <c r="AI60" s="167"/>
      <c r="AJ60" s="162"/>
      <c r="AK60" s="168"/>
      <c r="AL60" s="168"/>
      <c r="AM60" s="148"/>
    </row>
    <row r="61" spans="1:39" ht="26.4">
      <c r="A61" s="227" t="s">
        <v>4878</v>
      </c>
      <c r="B61" s="70" t="s">
        <v>4879</v>
      </c>
      <c r="C61" s="149" t="s">
        <v>4978</v>
      </c>
      <c r="D61" s="172" t="s">
        <v>4979</v>
      </c>
      <c r="E61" s="179" t="s">
        <v>4980</v>
      </c>
      <c r="F61" s="152" t="s">
        <v>1907</v>
      </c>
      <c r="G61" s="152"/>
      <c r="H61" s="152"/>
      <c r="I61" s="152" t="s">
        <v>2281</v>
      </c>
      <c r="J61" s="152" t="s">
        <v>2281</v>
      </c>
      <c r="K61" s="153" t="s">
        <v>4883</v>
      </c>
      <c r="L61" s="152" t="s">
        <v>4884</v>
      </c>
      <c r="M61" s="152" t="s">
        <v>4950</v>
      </c>
      <c r="N61" s="154">
        <f t="shared" si="3"/>
        <v>44630</v>
      </c>
      <c r="O61" s="154">
        <f t="shared" si="2"/>
        <v>44636</v>
      </c>
      <c r="P61" s="155"/>
      <c r="Q61" s="156">
        <v>5</v>
      </c>
      <c r="R61" s="154"/>
      <c r="S61" s="154"/>
      <c r="T61" s="157"/>
      <c r="U61" s="158">
        <v>44630</v>
      </c>
      <c r="V61" s="158">
        <v>44636</v>
      </c>
      <c r="W61" s="159"/>
      <c r="X61" s="160">
        <v>5</v>
      </c>
      <c r="Y61" s="161"/>
      <c r="Z61" s="162"/>
      <c r="AA61" s="157"/>
      <c r="AB61" s="163"/>
      <c r="AC61" s="164"/>
      <c r="AD61" s="164"/>
      <c r="AE61" s="165"/>
      <c r="AF61" s="166"/>
      <c r="AG61" s="162"/>
      <c r="AH61" s="162"/>
      <c r="AI61" s="167"/>
      <c r="AJ61" s="162"/>
      <c r="AK61" s="168"/>
      <c r="AL61" s="168"/>
      <c r="AM61" s="148"/>
    </row>
    <row r="62" spans="1:39" s="251" customFormat="1" ht="27" thickBot="1">
      <c r="A62" s="228" t="s">
        <v>4878</v>
      </c>
      <c r="B62" s="229" t="s">
        <v>4879</v>
      </c>
      <c r="C62" s="230" t="s">
        <v>4978</v>
      </c>
      <c r="D62" s="231" t="s">
        <v>4981</v>
      </c>
      <c r="E62" s="232" t="s">
        <v>4982</v>
      </c>
      <c r="F62" s="233" t="s">
        <v>1907</v>
      </c>
      <c r="G62" s="233"/>
      <c r="H62" s="233"/>
      <c r="I62" s="233" t="s">
        <v>2567</v>
      </c>
      <c r="J62" s="233" t="s">
        <v>2567</v>
      </c>
      <c r="K62" s="234" t="s">
        <v>4883</v>
      </c>
      <c r="L62" s="233" t="s">
        <v>4884</v>
      </c>
      <c r="M62" s="233" t="s">
        <v>4950</v>
      </c>
      <c r="N62" s="235">
        <f t="shared" si="3"/>
        <v>44637</v>
      </c>
      <c r="O62" s="235">
        <f t="shared" si="2"/>
        <v>44638</v>
      </c>
      <c r="P62" s="236"/>
      <c r="Q62" s="237">
        <v>2</v>
      </c>
      <c r="R62" s="235"/>
      <c r="S62" s="235"/>
      <c r="T62" s="238"/>
      <c r="U62" s="239">
        <v>44637</v>
      </c>
      <c r="V62" s="239">
        <v>44638</v>
      </c>
      <c r="W62" s="240"/>
      <c r="X62" s="241">
        <v>2</v>
      </c>
      <c r="Y62" s="242"/>
      <c r="Z62" s="243"/>
      <c r="AA62" s="238"/>
      <c r="AB62" s="244"/>
      <c r="AC62" s="245"/>
      <c r="AD62" s="245"/>
      <c r="AE62" s="246"/>
      <c r="AF62" s="247"/>
      <c r="AG62" s="243"/>
      <c r="AH62" s="243"/>
      <c r="AI62" s="248"/>
      <c r="AJ62" s="243"/>
      <c r="AK62" s="249"/>
      <c r="AL62" s="249"/>
      <c r="AM62" s="250"/>
    </row>
    <row r="63" spans="1:39" ht="15.6">
      <c r="A63" s="252"/>
      <c r="B63" s="253"/>
      <c r="C63" s="254"/>
      <c r="D63" s="255"/>
      <c r="E63" s="256"/>
      <c r="F63" s="257"/>
      <c r="G63" s="257"/>
      <c r="H63" s="257"/>
      <c r="I63" s="257"/>
      <c r="J63" s="257"/>
      <c r="K63" s="258"/>
      <c r="L63" s="257"/>
      <c r="M63" s="257"/>
      <c r="N63" s="259"/>
      <c r="O63" s="259"/>
      <c r="P63" s="260"/>
      <c r="Q63" s="261"/>
      <c r="R63" s="259"/>
      <c r="S63" s="259"/>
      <c r="T63" s="262"/>
      <c r="U63" s="263"/>
      <c r="V63" s="263"/>
      <c r="W63" s="264"/>
      <c r="X63" s="265"/>
      <c r="Y63" s="266"/>
      <c r="Z63" s="267"/>
      <c r="AA63" s="262"/>
      <c r="AB63" s="268"/>
      <c r="AC63" s="269"/>
      <c r="AD63" s="269"/>
      <c r="AE63" s="270"/>
      <c r="AF63" s="271"/>
      <c r="AG63" s="267"/>
      <c r="AH63" s="267"/>
      <c r="AI63" s="272"/>
      <c r="AJ63" s="267"/>
      <c r="AK63" s="273"/>
      <c r="AL63" s="273"/>
      <c r="AM63" s="252"/>
    </row>
    <row r="64" spans="1:39">
      <c r="A64" s="148" t="s">
        <v>4878</v>
      </c>
      <c r="B64" s="70" t="s">
        <v>4879</v>
      </c>
      <c r="C64" s="149" t="s">
        <v>4880</v>
      </c>
      <c r="D64" s="274" t="s">
        <v>4983</v>
      </c>
      <c r="E64" s="275" t="s">
        <v>4666</v>
      </c>
      <c r="F64" s="152" t="s">
        <v>1907</v>
      </c>
      <c r="G64" s="152"/>
      <c r="H64" s="152"/>
      <c r="I64" s="152" t="s">
        <v>2281</v>
      </c>
      <c r="J64" s="152" t="s">
        <v>2281</v>
      </c>
      <c r="K64" s="153" t="s">
        <v>4883</v>
      </c>
      <c r="L64" s="152" t="s">
        <v>4984</v>
      </c>
      <c r="M64" s="152" t="s">
        <v>4950</v>
      </c>
      <c r="N64" s="154"/>
      <c r="O64" s="154"/>
      <c r="P64" s="155"/>
      <c r="Q64" s="156"/>
      <c r="R64" s="154"/>
      <c r="S64" s="154"/>
      <c r="T64" s="157"/>
      <c r="U64" s="158"/>
      <c r="V64" s="158"/>
      <c r="W64" s="159"/>
      <c r="X64" s="160"/>
      <c r="Y64" s="161"/>
      <c r="Z64" s="162"/>
      <c r="AA64" s="157"/>
      <c r="AB64" s="163"/>
      <c r="AC64" s="164"/>
      <c r="AD64" s="164"/>
      <c r="AE64" s="165"/>
      <c r="AF64" s="166"/>
      <c r="AG64" s="162"/>
      <c r="AH64" s="162"/>
      <c r="AI64" s="167"/>
      <c r="AJ64" s="162"/>
      <c r="AK64" s="168"/>
      <c r="AL64" s="168"/>
      <c r="AM64" s="148"/>
    </row>
    <row r="65" spans="1:39">
      <c r="A65" s="148" t="s">
        <v>4878</v>
      </c>
      <c r="B65" s="70" t="s">
        <v>4879</v>
      </c>
      <c r="C65" s="149" t="s">
        <v>4880</v>
      </c>
      <c r="D65" s="274" t="s">
        <v>4985</v>
      </c>
      <c r="E65" s="275" t="s">
        <v>4668</v>
      </c>
      <c r="F65" s="152" t="s">
        <v>1907</v>
      </c>
      <c r="G65" s="152"/>
      <c r="H65" s="152"/>
      <c r="I65" s="152" t="s">
        <v>2281</v>
      </c>
      <c r="J65" s="152" t="s">
        <v>2281</v>
      </c>
      <c r="K65" s="153" t="s">
        <v>4883</v>
      </c>
      <c r="L65" s="152" t="s">
        <v>4984</v>
      </c>
      <c r="M65" s="152" t="s">
        <v>4950</v>
      </c>
      <c r="N65" s="154"/>
      <c r="O65" s="154"/>
      <c r="P65" s="155"/>
      <c r="Q65" s="156"/>
      <c r="R65" s="154"/>
      <c r="S65" s="154"/>
      <c r="T65" s="157"/>
      <c r="U65" s="158"/>
      <c r="V65" s="158"/>
      <c r="W65" s="159"/>
      <c r="X65" s="160"/>
      <c r="Y65" s="161"/>
      <c r="Z65" s="162"/>
      <c r="AA65" s="157"/>
      <c r="AB65" s="163"/>
      <c r="AC65" s="164"/>
      <c r="AD65" s="164"/>
      <c r="AE65" s="165"/>
      <c r="AF65" s="166"/>
      <c r="AG65" s="162"/>
      <c r="AH65" s="162"/>
      <c r="AI65" s="167"/>
      <c r="AJ65" s="162"/>
      <c r="AK65" s="168"/>
      <c r="AL65" s="168"/>
      <c r="AM65" s="148"/>
    </row>
    <row r="66" spans="1:39">
      <c r="A66" s="148" t="s">
        <v>4878</v>
      </c>
      <c r="B66" s="70" t="s">
        <v>4879</v>
      </c>
      <c r="C66" s="149" t="s">
        <v>4880</v>
      </c>
      <c r="D66" s="274" t="s">
        <v>4986</v>
      </c>
      <c r="E66" s="275" t="s">
        <v>4987</v>
      </c>
      <c r="F66" s="152" t="s">
        <v>1907</v>
      </c>
      <c r="G66" s="152"/>
      <c r="H66" s="152"/>
      <c r="I66" s="152" t="s">
        <v>2281</v>
      </c>
      <c r="J66" s="152" t="s">
        <v>2281</v>
      </c>
      <c r="K66" s="153" t="s">
        <v>4883</v>
      </c>
      <c r="L66" s="152" t="s">
        <v>4984</v>
      </c>
      <c r="M66" s="152" t="s">
        <v>4950</v>
      </c>
      <c r="N66" s="154"/>
      <c r="O66" s="154"/>
      <c r="P66" s="155"/>
      <c r="Q66" s="156"/>
      <c r="R66" s="154"/>
      <c r="S66" s="154"/>
      <c r="T66" s="157"/>
      <c r="U66" s="158"/>
      <c r="V66" s="158"/>
      <c r="W66" s="159"/>
      <c r="X66" s="160"/>
      <c r="Y66" s="161"/>
      <c r="Z66" s="162"/>
      <c r="AA66" s="157"/>
      <c r="AB66" s="163"/>
      <c r="AC66" s="164"/>
      <c r="AD66" s="164"/>
      <c r="AE66" s="165"/>
      <c r="AF66" s="166"/>
      <c r="AG66" s="162"/>
      <c r="AH66" s="162"/>
      <c r="AI66" s="167"/>
      <c r="AJ66" s="162"/>
      <c r="AK66" s="168"/>
      <c r="AL66" s="168"/>
      <c r="AM66" s="148"/>
    </row>
    <row r="67" spans="1:39">
      <c r="A67" s="148" t="s">
        <v>4878</v>
      </c>
      <c r="B67" s="70" t="s">
        <v>4879</v>
      </c>
      <c r="C67" s="149" t="s">
        <v>4880</v>
      </c>
      <c r="D67" s="274" t="s">
        <v>4988</v>
      </c>
      <c r="E67" s="275" t="s">
        <v>4989</v>
      </c>
      <c r="F67" s="152" t="s">
        <v>1907</v>
      </c>
      <c r="G67" s="152"/>
      <c r="H67" s="152"/>
      <c r="I67" s="152" t="s">
        <v>2281</v>
      </c>
      <c r="J67" s="152" t="s">
        <v>2281</v>
      </c>
      <c r="K67" s="153" t="s">
        <v>4883</v>
      </c>
      <c r="L67" s="152" t="s">
        <v>4984</v>
      </c>
      <c r="M67" s="152" t="s">
        <v>4950</v>
      </c>
      <c r="N67" s="154"/>
      <c r="O67" s="154"/>
      <c r="P67" s="155"/>
      <c r="Q67" s="156"/>
      <c r="R67" s="154"/>
      <c r="S67" s="154"/>
      <c r="T67" s="157"/>
      <c r="U67" s="158"/>
      <c r="V67" s="158"/>
      <c r="W67" s="159"/>
      <c r="X67" s="160"/>
      <c r="Y67" s="161"/>
      <c r="Z67" s="162"/>
      <c r="AA67" s="157"/>
      <c r="AB67" s="163"/>
      <c r="AC67" s="164"/>
      <c r="AD67" s="164"/>
      <c r="AE67" s="165"/>
      <c r="AF67" s="166"/>
      <c r="AG67" s="162"/>
      <c r="AH67" s="162"/>
      <c r="AI67" s="167"/>
      <c r="AJ67" s="162"/>
      <c r="AK67" s="168"/>
      <c r="AL67" s="168"/>
      <c r="AM67" s="148"/>
    </row>
    <row r="68" spans="1:39" ht="15.6">
      <c r="A68" s="148" t="s">
        <v>4878</v>
      </c>
      <c r="B68" s="70" t="s">
        <v>4879</v>
      </c>
      <c r="C68" s="149" t="s">
        <v>4880</v>
      </c>
      <c r="D68" s="255" t="s">
        <v>4990</v>
      </c>
      <c r="E68" s="275" t="s">
        <v>4991</v>
      </c>
      <c r="F68" s="152" t="s">
        <v>1907</v>
      </c>
      <c r="G68" s="152"/>
      <c r="H68" s="152"/>
      <c r="I68" s="152" t="s">
        <v>2281</v>
      </c>
      <c r="J68" s="152" t="s">
        <v>2281</v>
      </c>
      <c r="K68" s="153" t="s">
        <v>4883</v>
      </c>
      <c r="L68" s="152" t="s">
        <v>4984</v>
      </c>
      <c r="M68" s="152" t="s">
        <v>4950</v>
      </c>
      <c r="N68" s="154"/>
      <c r="O68" s="154"/>
      <c r="P68" s="155"/>
      <c r="Q68" s="156"/>
      <c r="R68" s="154"/>
      <c r="S68" s="154"/>
      <c r="T68" s="157"/>
      <c r="U68" s="158"/>
      <c r="V68" s="158"/>
      <c r="W68" s="159"/>
      <c r="X68" s="160"/>
      <c r="Y68" s="161"/>
      <c r="Z68" s="162"/>
      <c r="AA68" s="157"/>
      <c r="AB68" s="163"/>
      <c r="AC68" s="164"/>
      <c r="AD68" s="164"/>
      <c r="AE68" s="165"/>
      <c r="AF68" s="166"/>
      <c r="AG68" s="162"/>
      <c r="AH68" s="162"/>
      <c r="AI68" s="167"/>
      <c r="AJ68" s="162"/>
      <c r="AK68" s="168"/>
      <c r="AL68" s="168"/>
      <c r="AM68" s="148"/>
    </row>
    <row r="69" spans="1:39" ht="15.6">
      <c r="A69" s="148" t="s">
        <v>4878</v>
      </c>
      <c r="B69" s="70" t="s">
        <v>4879</v>
      </c>
      <c r="C69" s="149" t="s">
        <v>4880</v>
      </c>
      <c r="D69" s="255" t="s">
        <v>4992</v>
      </c>
      <c r="E69" s="275" t="s">
        <v>4993</v>
      </c>
      <c r="F69" s="152" t="s">
        <v>1907</v>
      </c>
      <c r="G69" s="152"/>
      <c r="H69" s="152"/>
      <c r="I69" s="152" t="s">
        <v>2567</v>
      </c>
      <c r="J69" s="152" t="s">
        <v>2567</v>
      </c>
      <c r="K69" s="153" t="s">
        <v>4883</v>
      </c>
      <c r="L69" s="152" t="s">
        <v>4984</v>
      </c>
      <c r="M69" s="152" t="s">
        <v>4950</v>
      </c>
      <c r="N69" s="154"/>
      <c r="O69" s="154"/>
      <c r="P69" s="155"/>
      <c r="Q69" s="156"/>
      <c r="R69" s="154"/>
      <c r="S69" s="154"/>
      <c r="T69" s="157"/>
      <c r="U69" s="158"/>
      <c r="V69" s="158"/>
      <c r="W69" s="159"/>
      <c r="X69" s="160"/>
      <c r="Y69" s="161"/>
      <c r="Z69" s="162"/>
      <c r="AA69" s="157"/>
      <c r="AB69" s="163"/>
      <c r="AC69" s="164"/>
      <c r="AD69" s="164"/>
      <c r="AE69" s="165"/>
      <c r="AF69" s="166"/>
      <c r="AG69" s="162"/>
      <c r="AH69" s="162"/>
      <c r="AI69" s="167"/>
      <c r="AJ69" s="162"/>
      <c r="AK69" s="168"/>
      <c r="AL69" s="168"/>
      <c r="AM69" s="148"/>
    </row>
    <row r="70" spans="1:39" s="291" customFormat="1" ht="26.4">
      <c r="A70" s="276" t="s">
        <v>4878</v>
      </c>
      <c r="B70" s="277" t="s">
        <v>4879</v>
      </c>
      <c r="C70" s="278" t="s">
        <v>4994</v>
      </c>
      <c r="D70" s="279" t="s">
        <v>4995</v>
      </c>
      <c r="E70" s="280" t="s">
        <v>4996</v>
      </c>
      <c r="F70" s="281" t="s">
        <v>1907</v>
      </c>
      <c r="G70" s="281"/>
      <c r="H70" s="281"/>
      <c r="I70" s="281" t="s">
        <v>2281</v>
      </c>
      <c r="J70" s="281" t="s">
        <v>2281</v>
      </c>
      <c r="K70" s="282" t="s">
        <v>4883</v>
      </c>
      <c r="L70" s="283" t="s">
        <v>4997</v>
      </c>
      <c r="M70" s="281" t="s">
        <v>4885</v>
      </c>
      <c r="N70" s="154"/>
      <c r="O70" s="154"/>
      <c r="P70" s="284"/>
      <c r="Q70" s="156"/>
      <c r="R70" s="285"/>
      <c r="S70" s="285"/>
      <c r="T70" s="286"/>
      <c r="U70" s="285"/>
      <c r="V70" s="285"/>
      <c r="W70" s="284"/>
      <c r="X70" s="283"/>
      <c r="Y70" s="287"/>
      <c r="Z70" s="285"/>
      <c r="AA70" s="286"/>
      <c r="AB70" s="281"/>
      <c r="AC70" s="285"/>
      <c r="AD70" s="285"/>
      <c r="AE70" s="288"/>
      <c r="AF70" s="283"/>
      <c r="AG70" s="285"/>
      <c r="AH70" s="285"/>
      <c r="AI70" s="289"/>
      <c r="AJ70" s="285"/>
      <c r="AK70" s="290"/>
      <c r="AL70" s="290"/>
      <c r="AM70" s="276"/>
    </row>
    <row r="71" spans="1:39">
      <c r="A71" s="148" t="s">
        <v>4878</v>
      </c>
      <c r="B71" s="70" t="s">
        <v>4879</v>
      </c>
      <c r="C71" s="149" t="s">
        <v>4998</v>
      </c>
      <c r="D71" s="274" t="s">
        <v>4999</v>
      </c>
      <c r="E71" s="275" t="s">
        <v>5000</v>
      </c>
      <c r="F71" s="152" t="s">
        <v>1907</v>
      </c>
      <c r="G71" s="274"/>
      <c r="H71" s="152"/>
      <c r="I71" s="152" t="s">
        <v>2567</v>
      </c>
      <c r="J71" s="152" t="s">
        <v>2567</v>
      </c>
      <c r="K71" s="153" t="s">
        <v>4883</v>
      </c>
      <c r="L71" s="152" t="s">
        <v>4997</v>
      </c>
      <c r="M71" s="152" t="s">
        <v>4885</v>
      </c>
      <c r="N71" s="154"/>
      <c r="O71" s="154"/>
      <c r="P71" s="155"/>
      <c r="Q71" s="156"/>
      <c r="R71" s="154"/>
      <c r="S71" s="154"/>
      <c r="T71" s="157"/>
      <c r="U71" s="158"/>
      <c r="V71" s="158"/>
      <c r="W71" s="159"/>
      <c r="X71" s="160"/>
      <c r="Y71" s="161"/>
      <c r="Z71" s="162"/>
      <c r="AA71" s="157"/>
      <c r="AB71" s="163"/>
      <c r="AC71" s="164"/>
      <c r="AD71" s="164"/>
      <c r="AE71" s="165"/>
      <c r="AF71" s="166"/>
      <c r="AG71" s="162"/>
      <c r="AH71" s="162"/>
      <c r="AI71" s="167"/>
      <c r="AJ71" s="162"/>
      <c r="AK71" s="168"/>
      <c r="AL71" s="168"/>
      <c r="AM71" s="148"/>
    </row>
    <row r="72" spans="1:39" ht="26.4">
      <c r="A72" s="148" t="s">
        <v>4878</v>
      </c>
      <c r="B72" s="70" t="s">
        <v>4879</v>
      </c>
      <c r="C72" s="149" t="s">
        <v>4994</v>
      </c>
      <c r="D72" s="274" t="s">
        <v>5001</v>
      </c>
      <c r="E72" s="275" t="s">
        <v>5002</v>
      </c>
      <c r="F72" s="152" t="s">
        <v>1907</v>
      </c>
      <c r="G72" s="274"/>
      <c r="H72" s="152"/>
      <c r="I72" s="152" t="s">
        <v>2281</v>
      </c>
      <c r="J72" s="152" t="s">
        <v>2281</v>
      </c>
      <c r="K72" s="153" t="s">
        <v>4883</v>
      </c>
      <c r="L72" s="152" t="s">
        <v>4997</v>
      </c>
      <c r="M72" s="152" t="s">
        <v>4885</v>
      </c>
      <c r="N72" s="154"/>
      <c r="O72" s="154"/>
      <c r="P72" s="155"/>
      <c r="Q72" s="156"/>
      <c r="R72" s="154"/>
      <c r="S72" s="154"/>
      <c r="T72" s="157"/>
      <c r="U72" s="158"/>
      <c r="V72" s="158"/>
      <c r="W72" s="159"/>
      <c r="X72" s="160"/>
      <c r="Y72" s="161"/>
      <c r="Z72" s="162"/>
      <c r="AA72" s="157"/>
      <c r="AB72" s="163"/>
      <c r="AC72" s="164"/>
      <c r="AD72" s="164"/>
      <c r="AE72" s="165"/>
      <c r="AF72" s="166"/>
      <c r="AG72" s="162"/>
      <c r="AH72" s="162"/>
      <c r="AI72" s="167"/>
      <c r="AJ72" s="162"/>
      <c r="AK72" s="168"/>
      <c r="AL72" s="168"/>
      <c r="AM72" s="148"/>
    </row>
    <row r="73" spans="1:39" ht="26.4">
      <c r="A73" s="148" t="s">
        <v>4878</v>
      </c>
      <c r="B73" s="70" t="s">
        <v>4879</v>
      </c>
      <c r="C73" s="292" t="s">
        <v>4994</v>
      </c>
      <c r="D73" s="274" t="s">
        <v>5003</v>
      </c>
      <c r="E73" s="275" t="s">
        <v>4688</v>
      </c>
      <c r="F73" s="152" t="s">
        <v>1907</v>
      </c>
      <c r="G73" s="274"/>
      <c r="H73" s="152"/>
      <c r="I73" s="152" t="s">
        <v>2567</v>
      </c>
      <c r="J73" s="152" t="s">
        <v>2567</v>
      </c>
      <c r="K73" s="153" t="s">
        <v>4883</v>
      </c>
      <c r="L73" s="152" t="s">
        <v>4997</v>
      </c>
      <c r="M73" s="152" t="s">
        <v>4885</v>
      </c>
      <c r="N73" s="154"/>
      <c r="O73" s="154"/>
      <c r="P73" s="155"/>
      <c r="Q73" s="156"/>
      <c r="R73" s="154"/>
      <c r="S73" s="154"/>
      <c r="T73" s="157"/>
      <c r="U73" s="158"/>
      <c r="V73" s="158"/>
      <c r="W73" s="159"/>
      <c r="X73" s="160"/>
      <c r="Y73" s="161"/>
      <c r="Z73" s="162"/>
      <c r="AA73" s="157"/>
      <c r="AB73" s="163"/>
      <c r="AC73" s="164"/>
      <c r="AD73" s="164"/>
      <c r="AE73" s="165"/>
      <c r="AF73" s="166"/>
      <c r="AG73" s="162"/>
      <c r="AH73" s="162"/>
      <c r="AI73" s="167"/>
      <c r="AJ73" s="162"/>
      <c r="AK73" s="168"/>
      <c r="AL73" s="168"/>
      <c r="AM73" s="148"/>
    </row>
    <row r="74" spans="1:39" ht="26.4">
      <c r="A74" s="148" t="s">
        <v>4878</v>
      </c>
      <c r="B74" s="70" t="s">
        <v>4879</v>
      </c>
      <c r="C74" s="292" t="s">
        <v>4994</v>
      </c>
      <c r="D74" s="274" t="s">
        <v>5004</v>
      </c>
      <c r="E74" s="275" t="s">
        <v>5005</v>
      </c>
      <c r="F74" s="152" t="s">
        <v>1907</v>
      </c>
      <c r="G74" s="274"/>
      <c r="H74" s="152"/>
      <c r="I74" s="152" t="s">
        <v>2567</v>
      </c>
      <c r="J74" s="152" t="s">
        <v>2567</v>
      </c>
      <c r="K74" s="153" t="s">
        <v>4883</v>
      </c>
      <c r="L74" s="152" t="s">
        <v>4997</v>
      </c>
      <c r="M74" s="152" t="s">
        <v>4885</v>
      </c>
      <c r="N74" s="154"/>
      <c r="O74" s="154"/>
      <c r="P74" s="155"/>
      <c r="Q74" s="156"/>
      <c r="R74" s="154"/>
      <c r="S74" s="154"/>
      <c r="T74" s="157"/>
      <c r="U74" s="158"/>
      <c r="V74" s="158"/>
      <c r="W74" s="159"/>
      <c r="X74" s="160"/>
      <c r="Y74" s="161"/>
      <c r="Z74" s="162"/>
      <c r="AA74" s="157"/>
      <c r="AB74" s="163"/>
      <c r="AC74" s="164"/>
      <c r="AD74" s="164"/>
      <c r="AE74" s="165"/>
      <c r="AF74" s="166"/>
      <c r="AG74" s="162"/>
      <c r="AH74" s="162"/>
      <c r="AI74" s="167"/>
      <c r="AJ74" s="162"/>
      <c r="AK74" s="168"/>
      <c r="AL74" s="168"/>
      <c r="AM74" s="148"/>
    </row>
    <row r="75" spans="1:39">
      <c r="A75" s="148" t="s">
        <v>4878</v>
      </c>
      <c r="B75" s="70" t="s">
        <v>4879</v>
      </c>
      <c r="C75" s="149" t="s">
        <v>5006</v>
      </c>
      <c r="D75" s="274" t="s">
        <v>5007</v>
      </c>
      <c r="E75" s="275" t="s">
        <v>5008</v>
      </c>
      <c r="F75" s="152" t="s">
        <v>1907</v>
      </c>
      <c r="G75" s="274"/>
      <c r="H75" s="152"/>
      <c r="I75" s="152" t="s">
        <v>2567</v>
      </c>
      <c r="J75" s="152" t="s">
        <v>2567</v>
      </c>
      <c r="K75" s="153" t="s">
        <v>4883</v>
      </c>
      <c r="L75" s="152" t="s">
        <v>4997</v>
      </c>
      <c r="M75" s="152" t="s">
        <v>4885</v>
      </c>
      <c r="N75" s="154"/>
      <c r="O75" s="154"/>
      <c r="P75" s="155"/>
      <c r="Q75" s="156"/>
      <c r="R75" s="154"/>
      <c r="S75" s="154"/>
      <c r="T75" s="157"/>
      <c r="U75" s="158"/>
      <c r="V75" s="158"/>
      <c r="W75" s="159"/>
      <c r="X75" s="160"/>
      <c r="Y75" s="161"/>
      <c r="Z75" s="162"/>
      <c r="AA75" s="157"/>
      <c r="AB75" s="163"/>
      <c r="AC75" s="164"/>
      <c r="AD75" s="164"/>
      <c r="AE75" s="165"/>
      <c r="AF75" s="166"/>
      <c r="AG75" s="162"/>
      <c r="AH75" s="162"/>
      <c r="AI75" s="167"/>
      <c r="AJ75" s="162"/>
      <c r="AK75" s="168"/>
      <c r="AL75" s="168"/>
      <c r="AM75" s="148"/>
    </row>
    <row r="76" spans="1:39">
      <c r="A76" s="148" t="s">
        <v>4878</v>
      </c>
      <c r="B76" s="70" t="s">
        <v>4879</v>
      </c>
      <c r="C76" s="292" t="s">
        <v>5006</v>
      </c>
      <c r="D76" s="274" t="s">
        <v>5009</v>
      </c>
      <c r="E76" s="275" t="s">
        <v>5010</v>
      </c>
      <c r="F76" s="152" t="s">
        <v>1907</v>
      </c>
      <c r="G76" s="274"/>
      <c r="H76" s="152"/>
      <c r="I76" s="152" t="s">
        <v>2281</v>
      </c>
      <c r="J76" s="152" t="s">
        <v>2281</v>
      </c>
      <c r="K76" s="153" t="s">
        <v>4883</v>
      </c>
      <c r="L76" s="152" t="s">
        <v>4997</v>
      </c>
      <c r="M76" s="152" t="s">
        <v>4885</v>
      </c>
      <c r="N76" s="154"/>
      <c r="O76" s="154"/>
      <c r="P76" s="155"/>
      <c r="Q76" s="156"/>
      <c r="R76" s="154"/>
      <c r="S76" s="154"/>
      <c r="T76" s="157"/>
      <c r="U76" s="158"/>
      <c r="V76" s="158"/>
      <c r="W76" s="159"/>
      <c r="X76" s="160"/>
      <c r="Y76" s="161"/>
      <c r="Z76" s="162"/>
      <c r="AA76" s="157"/>
      <c r="AB76" s="163"/>
      <c r="AC76" s="164"/>
      <c r="AD76" s="164"/>
      <c r="AE76" s="165"/>
      <c r="AF76" s="166"/>
      <c r="AG76" s="162"/>
      <c r="AH76" s="162"/>
      <c r="AI76" s="167"/>
      <c r="AJ76" s="162"/>
      <c r="AK76" s="168"/>
      <c r="AL76" s="168"/>
      <c r="AM76" s="148"/>
    </row>
    <row r="77" spans="1:39">
      <c r="A77" s="148" t="s">
        <v>4878</v>
      </c>
      <c r="B77" s="70" t="s">
        <v>4879</v>
      </c>
      <c r="C77" s="292" t="s">
        <v>5006</v>
      </c>
      <c r="D77" s="274" t="s">
        <v>5011</v>
      </c>
      <c r="E77" s="275" t="s">
        <v>5012</v>
      </c>
      <c r="F77" s="152" t="s">
        <v>1907</v>
      </c>
      <c r="G77" s="274"/>
      <c r="H77" s="152"/>
      <c r="I77" s="152" t="s">
        <v>2567</v>
      </c>
      <c r="J77" s="152" t="s">
        <v>2567</v>
      </c>
      <c r="K77" s="153" t="s">
        <v>4883</v>
      </c>
      <c r="L77" s="152" t="s">
        <v>4997</v>
      </c>
      <c r="M77" s="152" t="s">
        <v>4885</v>
      </c>
      <c r="N77" s="154"/>
      <c r="O77" s="154"/>
      <c r="P77" s="155"/>
      <c r="Q77" s="156"/>
      <c r="R77" s="154"/>
      <c r="S77" s="154"/>
      <c r="T77" s="157"/>
      <c r="U77" s="158"/>
      <c r="V77" s="158"/>
      <c r="W77" s="159"/>
      <c r="X77" s="160"/>
      <c r="Y77" s="161"/>
      <c r="Z77" s="162"/>
      <c r="AA77" s="157"/>
      <c r="AB77" s="163"/>
      <c r="AC77" s="164"/>
      <c r="AD77" s="164"/>
      <c r="AE77" s="165"/>
      <c r="AF77" s="166"/>
      <c r="AG77" s="162"/>
      <c r="AH77" s="162"/>
      <c r="AI77" s="167"/>
      <c r="AJ77" s="162"/>
      <c r="AK77" s="168"/>
      <c r="AL77" s="168"/>
      <c r="AM77" s="148"/>
    </row>
    <row r="78" spans="1:39">
      <c r="A78" s="148" t="s">
        <v>4878</v>
      </c>
      <c r="B78" s="70" t="s">
        <v>4879</v>
      </c>
      <c r="C78" s="292" t="s">
        <v>5006</v>
      </c>
      <c r="D78" s="274" t="s">
        <v>5013</v>
      </c>
      <c r="E78" s="275" t="s">
        <v>5014</v>
      </c>
      <c r="F78" s="152" t="s">
        <v>1907</v>
      </c>
      <c r="G78" s="274"/>
      <c r="H78" s="152"/>
      <c r="I78" s="152" t="s">
        <v>2567</v>
      </c>
      <c r="J78" s="152" t="s">
        <v>2567</v>
      </c>
      <c r="K78" s="153" t="s">
        <v>4883</v>
      </c>
      <c r="L78" s="152" t="s">
        <v>4997</v>
      </c>
      <c r="M78" s="152" t="s">
        <v>4950</v>
      </c>
      <c r="N78" s="154"/>
      <c r="O78" s="154"/>
      <c r="P78" s="155"/>
      <c r="Q78" s="156"/>
      <c r="R78" s="154"/>
      <c r="S78" s="154"/>
      <c r="T78" s="157"/>
      <c r="U78" s="158"/>
      <c r="V78" s="158"/>
      <c r="W78" s="159"/>
      <c r="X78" s="160"/>
      <c r="Y78" s="161"/>
      <c r="Z78" s="162"/>
      <c r="AA78" s="157"/>
      <c r="AB78" s="163"/>
      <c r="AC78" s="164"/>
      <c r="AD78" s="164"/>
      <c r="AE78" s="165"/>
      <c r="AF78" s="166"/>
      <c r="AG78" s="162"/>
      <c r="AH78" s="162"/>
      <c r="AI78" s="167"/>
      <c r="AJ78" s="162"/>
      <c r="AK78" s="168"/>
      <c r="AL78" s="168"/>
      <c r="AM78" s="148"/>
    </row>
    <row r="79" spans="1:39">
      <c r="A79" s="148" t="s">
        <v>4878</v>
      </c>
      <c r="B79" s="70" t="s">
        <v>4879</v>
      </c>
      <c r="C79" s="292" t="s">
        <v>5006</v>
      </c>
      <c r="D79" s="274" t="s">
        <v>5015</v>
      </c>
      <c r="E79" s="275" t="s">
        <v>5016</v>
      </c>
      <c r="F79" s="152" t="s">
        <v>1907</v>
      </c>
      <c r="G79" s="274"/>
      <c r="H79" s="152"/>
      <c r="I79" s="152" t="s">
        <v>2281</v>
      </c>
      <c r="J79" s="152" t="s">
        <v>2281</v>
      </c>
      <c r="K79" s="153" t="s">
        <v>4883</v>
      </c>
      <c r="L79" s="152" t="s">
        <v>4997</v>
      </c>
      <c r="M79" s="152" t="s">
        <v>4950</v>
      </c>
      <c r="N79" s="154"/>
      <c r="O79" s="154"/>
      <c r="P79" s="155"/>
      <c r="Q79" s="156"/>
      <c r="R79" s="154"/>
      <c r="S79" s="154"/>
      <c r="T79" s="157"/>
      <c r="U79" s="158"/>
      <c r="V79" s="158"/>
      <c r="W79" s="159"/>
      <c r="X79" s="160"/>
      <c r="Y79" s="161"/>
      <c r="Z79" s="162"/>
      <c r="AA79" s="157"/>
      <c r="AB79" s="163"/>
      <c r="AC79" s="164"/>
      <c r="AD79" s="164"/>
      <c r="AE79" s="165"/>
      <c r="AF79" s="166"/>
      <c r="AG79" s="162"/>
      <c r="AH79" s="162"/>
      <c r="AI79" s="167"/>
      <c r="AJ79" s="162"/>
      <c r="AK79" s="168"/>
      <c r="AL79" s="168"/>
      <c r="AM79" s="148"/>
    </row>
    <row r="80" spans="1:39">
      <c r="A80" s="148" t="s">
        <v>4878</v>
      </c>
      <c r="B80" s="70" t="s">
        <v>4879</v>
      </c>
      <c r="C80" s="149" t="s">
        <v>5006</v>
      </c>
      <c r="D80" s="274" t="s">
        <v>5017</v>
      </c>
      <c r="E80" s="275" t="s">
        <v>5018</v>
      </c>
      <c r="F80" s="152" t="s">
        <v>1907</v>
      </c>
      <c r="G80" s="274"/>
      <c r="H80" s="152"/>
      <c r="I80" s="152" t="s">
        <v>2567</v>
      </c>
      <c r="J80" s="152" t="s">
        <v>2567</v>
      </c>
      <c r="K80" s="153" t="s">
        <v>4883</v>
      </c>
      <c r="L80" s="152" t="s">
        <v>4997</v>
      </c>
      <c r="M80" s="152" t="s">
        <v>4950</v>
      </c>
      <c r="N80" s="154"/>
      <c r="O80" s="154"/>
      <c r="P80" s="155"/>
      <c r="Q80" s="156"/>
      <c r="R80" s="154"/>
      <c r="S80" s="154"/>
      <c r="T80" s="157"/>
      <c r="U80" s="158"/>
      <c r="V80" s="158"/>
      <c r="W80" s="159"/>
      <c r="X80" s="160"/>
      <c r="Y80" s="161"/>
      <c r="Z80" s="162"/>
      <c r="AA80" s="157"/>
      <c r="AB80" s="163"/>
      <c r="AC80" s="164"/>
      <c r="AD80" s="164"/>
      <c r="AE80" s="165"/>
      <c r="AF80" s="166"/>
      <c r="AG80" s="162"/>
      <c r="AH80" s="162"/>
      <c r="AI80" s="167"/>
      <c r="AJ80" s="162"/>
      <c r="AK80" s="168"/>
      <c r="AL80" s="168"/>
      <c r="AM80" s="148"/>
    </row>
    <row r="81" spans="1:39">
      <c r="A81" s="148" t="s">
        <v>4878</v>
      </c>
      <c r="B81" s="70" t="s">
        <v>4879</v>
      </c>
      <c r="C81" s="292" t="s">
        <v>5019</v>
      </c>
      <c r="D81" s="274" t="s">
        <v>5020</v>
      </c>
      <c r="E81" s="275" t="s">
        <v>5021</v>
      </c>
      <c r="F81" s="152" t="s">
        <v>1907</v>
      </c>
      <c r="G81" s="274"/>
      <c r="H81" s="152"/>
      <c r="I81" s="152" t="s">
        <v>2567</v>
      </c>
      <c r="J81" s="152" t="s">
        <v>2567</v>
      </c>
      <c r="K81" s="153" t="s">
        <v>4883</v>
      </c>
      <c r="L81" s="152" t="s">
        <v>4997</v>
      </c>
      <c r="M81" s="152" t="s">
        <v>4950</v>
      </c>
      <c r="N81" s="154"/>
      <c r="O81" s="154"/>
      <c r="P81" s="155"/>
      <c r="Q81" s="156"/>
      <c r="R81" s="154"/>
      <c r="S81" s="154"/>
      <c r="T81" s="157"/>
      <c r="U81" s="158"/>
      <c r="V81" s="158"/>
      <c r="W81" s="159"/>
      <c r="X81" s="160"/>
      <c r="Y81" s="161"/>
      <c r="Z81" s="162"/>
      <c r="AA81" s="157"/>
      <c r="AB81" s="163"/>
      <c r="AC81" s="164"/>
      <c r="AD81" s="164"/>
      <c r="AE81" s="165"/>
      <c r="AF81" s="166"/>
      <c r="AG81" s="162"/>
      <c r="AH81" s="162"/>
      <c r="AI81" s="167"/>
      <c r="AJ81" s="162"/>
      <c r="AK81" s="168"/>
      <c r="AL81" s="168"/>
      <c r="AM81" s="148"/>
    </row>
    <row r="82" spans="1:39">
      <c r="A82" s="148" t="s">
        <v>4878</v>
      </c>
      <c r="B82" s="70" t="s">
        <v>4879</v>
      </c>
      <c r="C82" s="292" t="s">
        <v>5006</v>
      </c>
      <c r="D82" s="274" t="s">
        <v>5022</v>
      </c>
      <c r="E82" s="275" t="s">
        <v>5023</v>
      </c>
      <c r="F82" s="152" t="s">
        <v>1907</v>
      </c>
      <c r="G82" s="274"/>
      <c r="H82" s="152"/>
      <c r="I82" s="152" t="s">
        <v>2281</v>
      </c>
      <c r="J82" s="152" t="s">
        <v>2281</v>
      </c>
      <c r="K82" s="153" t="s">
        <v>4883</v>
      </c>
      <c r="L82" s="152" t="s">
        <v>4997</v>
      </c>
      <c r="M82" s="152" t="s">
        <v>4950</v>
      </c>
      <c r="N82" s="154"/>
      <c r="O82" s="154"/>
      <c r="P82" s="155"/>
      <c r="Q82" s="156"/>
      <c r="R82" s="154"/>
      <c r="S82" s="154"/>
      <c r="T82" s="157"/>
      <c r="U82" s="158"/>
      <c r="V82" s="158"/>
      <c r="W82" s="159"/>
      <c r="X82" s="160"/>
      <c r="Y82" s="161"/>
      <c r="Z82" s="162"/>
      <c r="AA82" s="157"/>
      <c r="AB82" s="163"/>
      <c r="AC82" s="164"/>
      <c r="AD82" s="164"/>
      <c r="AE82" s="165"/>
      <c r="AF82" s="166"/>
      <c r="AG82" s="162"/>
      <c r="AH82" s="162"/>
      <c r="AI82" s="167"/>
      <c r="AJ82" s="162"/>
      <c r="AK82" s="168"/>
      <c r="AL82" s="168"/>
      <c r="AM82" s="148"/>
    </row>
    <row r="83" spans="1:39">
      <c r="A83" s="148" t="s">
        <v>4878</v>
      </c>
      <c r="B83" s="70" t="s">
        <v>4879</v>
      </c>
      <c r="C83" s="149" t="s">
        <v>5006</v>
      </c>
      <c r="D83" s="274" t="s">
        <v>5024</v>
      </c>
      <c r="E83" s="275" t="s">
        <v>5025</v>
      </c>
      <c r="F83" s="152" t="s">
        <v>1907</v>
      </c>
      <c r="G83" s="274"/>
      <c r="H83" s="152"/>
      <c r="I83" s="152" t="s">
        <v>2567</v>
      </c>
      <c r="J83" s="152" t="s">
        <v>2567</v>
      </c>
      <c r="K83" s="153" t="s">
        <v>4883</v>
      </c>
      <c r="L83" s="152" t="s">
        <v>4997</v>
      </c>
      <c r="M83" s="152" t="s">
        <v>4950</v>
      </c>
      <c r="N83" s="154"/>
      <c r="O83" s="154"/>
      <c r="P83" s="155"/>
      <c r="Q83" s="156"/>
      <c r="R83" s="154"/>
      <c r="S83" s="154"/>
      <c r="T83" s="157"/>
      <c r="U83" s="158"/>
      <c r="V83" s="158"/>
      <c r="W83" s="159"/>
      <c r="X83" s="160"/>
      <c r="Y83" s="161"/>
      <c r="Z83" s="162"/>
      <c r="AA83" s="157"/>
      <c r="AB83" s="163"/>
      <c r="AC83" s="164"/>
      <c r="AD83" s="164"/>
      <c r="AE83" s="165"/>
      <c r="AF83" s="166"/>
      <c r="AG83" s="162"/>
      <c r="AH83" s="162"/>
      <c r="AI83" s="167"/>
      <c r="AJ83" s="162"/>
      <c r="AK83" s="168"/>
      <c r="AL83" s="168"/>
      <c r="AM83" s="148"/>
    </row>
    <row r="84" spans="1:39">
      <c r="A84" s="148" t="s">
        <v>4878</v>
      </c>
      <c r="B84" s="70" t="s">
        <v>4879</v>
      </c>
      <c r="C84" s="149" t="s">
        <v>5019</v>
      </c>
      <c r="D84" s="274" t="s">
        <v>5026</v>
      </c>
      <c r="E84" s="275" t="s">
        <v>5027</v>
      </c>
      <c r="F84" s="152" t="s">
        <v>1907</v>
      </c>
      <c r="G84" s="274"/>
      <c r="H84" s="152"/>
      <c r="I84" s="152" t="s">
        <v>2567</v>
      </c>
      <c r="J84" s="152" t="s">
        <v>2567</v>
      </c>
      <c r="K84" s="153" t="s">
        <v>4883</v>
      </c>
      <c r="L84" s="152" t="s">
        <v>4997</v>
      </c>
      <c r="M84" s="152" t="s">
        <v>4950</v>
      </c>
      <c r="N84" s="154"/>
      <c r="O84" s="154"/>
      <c r="P84" s="155"/>
      <c r="Q84" s="156"/>
      <c r="R84" s="154"/>
      <c r="S84" s="154"/>
      <c r="T84" s="157"/>
      <c r="U84" s="158"/>
      <c r="V84" s="158"/>
      <c r="W84" s="159"/>
      <c r="X84" s="160"/>
      <c r="Y84" s="161"/>
      <c r="Z84" s="162"/>
      <c r="AA84" s="157"/>
      <c r="AB84" s="163"/>
      <c r="AC84" s="164"/>
      <c r="AD84" s="164"/>
      <c r="AE84" s="165"/>
      <c r="AF84" s="166"/>
      <c r="AG84" s="162"/>
      <c r="AH84" s="162"/>
      <c r="AI84" s="167"/>
      <c r="AJ84" s="162"/>
      <c r="AK84" s="168"/>
      <c r="AL84" s="168"/>
      <c r="AM84" s="148"/>
    </row>
    <row r="85" spans="1:39">
      <c r="A85" s="148" t="s">
        <v>4878</v>
      </c>
      <c r="B85" s="70" t="s">
        <v>4879</v>
      </c>
      <c r="C85" s="149" t="s">
        <v>5028</v>
      </c>
      <c r="D85" s="274" t="s">
        <v>5029</v>
      </c>
      <c r="E85" s="275" t="s">
        <v>5030</v>
      </c>
      <c r="F85" s="152" t="s">
        <v>1907</v>
      </c>
      <c r="G85" s="274"/>
      <c r="H85" s="152"/>
      <c r="I85" s="152" t="s">
        <v>2567</v>
      </c>
      <c r="J85" s="152" t="s">
        <v>2567</v>
      </c>
      <c r="K85" s="153" t="s">
        <v>4883</v>
      </c>
      <c r="L85" s="152" t="s">
        <v>4997</v>
      </c>
      <c r="M85" s="152" t="s">
        <v>4950</v>
      </c>
      <c r="N85" s="154"/>
      <c r="O85" s="154"/>
      <c r="P85" s="155"/>
      <c r="Q85" s="156"/>
      <c r="R85" s="154"/>
      <c r="S85" s="154"/>
      <c r="T85" s="157"/>
      <c r="U85" s="158"/>
      <c r="V85" s="158"/>
      <c r="W85" s="159"/>
      <c r="X85" s="160"/>
      <c r="Y85" s="161"/>
      <c r="Z85" s="162"/>
      <c r="AA85" s="157"/>
      <c r="AB85" s="163"/>
      <c r="AC85" s="164"/>
      <c r="AD85" s="164"/>
      <c r="AE85" s="165"/>
      <c r="AF85" s="166"/>
      <c r="AG85" s="162"/>
      <c r="AH85" s="162"/>
      <c r="AI85" s="167"/>
      <c r="AJ85" s="162"/>
      <c r="AK85" s="168"/>
      <c r="AL85" s="168"/>
      <c r="AM85" s="148"/>
    </row>
    <row r="86" spans="1:39" ht="52.8">
      <c r="A86" s="148" t="s">
        <v>4878</v>
      </c>
      <c r="B86" s="70" t="s">
        <v>4879</v>
      </c>
      <c r="C86" s="149" t="s">
        <v>5031</v>
      </c>
      <c r="D86" s="274" t="s">
        <v>5032</v>
      </c>
      <c r="E86" s="275" t="s">
        <v>5033</v>
      </c>
      <c r="F86" s="152" t="s">
        <v>1907</v>
      </c>
      <c r="G86" s="274"/>
      <c r="H86" s="152"/>
      <c r="I86" s="152" t="s">
        <v>2567</v>
      </c>
      <c r="J86" s="152" t="s">
        <v>2567</v>
      </c>
      <c r="K86" s="153" t="s">
        <v>4883</v>
      </c>
      <c r="L86" s="152" t="s">
        <v>4997</v>
      </c>
      <c r="M86" s="152" t="s">
        <v>4950</v>
      </c>
      <c r="N86" s="154"/>
      <c r="O86" s="154"/>
      <c r="P86" s="155"/>
      <c r="Q86" s="156"/>
      <c r="R86" s="154"/>
      <c r="S86" s="154"/>
      <c r="T86" s="157"/>
      <c r="U86" s="158"/>
      <c r="V86" s="158"/>
      <c r="W86" s="159"/>
      <c r="X86" s="160"/>
      <c r="Y86" s="161"/>
      <c r="Z86" s="162"/>
      <c r="AA86" s="157"/>
      <c r="AB86" s="163"/>
      <c r="AC86" s="164"/>
      <c r="AD86" s="164"/>
      <c r="AE86" s="165"/>
      <c r="AF86" s="166"/>
      <c r="AG86" s="162"/>
      <c r="AH86" s="162"/>
      <c r="AI86" s="167"/>
      <c r="AJ86" s="162"/>
      <c r="AK86" s="168"/>
      <c r="AL86" s="168"/>
      <c r="AM86" s="148"/>
    </row>
    <row r="87" spans="1:39">
      <c r="A87" s="148" t="s">
        <v>4878</v>
      </c>
      <c r="B87" s="70" t="s">
        <v>4879</v>
      </c>
      <c r="C87" s="149" t="s">
        <v>5034</v>
      </c>
      <c r="D87" s="274" t="s">
        <v>5035</v>
      </c>
      <c r="E87" s="275" t="s">
        <v>5036</v>
      </c>
      <c r="F87" s="152" t="s">
        <v>1907</v>
      </c>
      <c r="G87" s="274"/>
      <c r="H87" s="152"/>
      <c r="I87" s="152" t="s">
        <v>2567</v>
      </c>
      <c r="J87" s="152" t="s">
        <v>2567</v>
      </c>
      <c r="K87" s="153" t="s">
        <v>4883</v>
      </c>
      <c r="L87" s="152" t="s">
        <v>4997</v>
      </c>
      <c r="M87" s="152" t="s">
        <v>4950</v>
      </c>
      <c r="N87" s="154"/>
      <c r="O87" s="154"/>
      <c r="P87" s="155"/>
      <c r="Q87" s="156"/>
      <c r="R87" s="154"/>
      <c r="S87" s="154"/>
      <c r="T87" s="157"/>
      <c r="U87" s="158"/>
      <c r="V87" s="158"/>
      <c r="W87" s="159"/>
      <c r="X87" s="160"/>
      <c r="Y87" s="161"/>
      <c r="Z87" s="162"/>
      <c r="AA87" s="157"/>
      <c r="AB87" s="163"/>
      <c r="AC87" s="164"/>
      <c r="AD87" s="164"/>
      <c r="AE87" s="165"/>
      <c r="AF87" s="166"/>
      <c r="AG87" s="162"/>
      <c r="AH87" s="162"/>
      <c r="AI87" s="167"/>
      <c r="AJ87" s="162"/>
      <c r="AK87" s="168"/>
      <c r="AL87" s="168"/>
      <c r="AM87" s="148"/>
    </row>
    <row r="88" spans="1:39">
      <c r="A88" s="148" t="s">
        <v>4878</v>
      </c>
      <c r="B88" s="70" t="s">
        <v>4879</v>
      </c>
      <c r="C88" s="149" t="s">
        <v>5006</v>
      </c>
      <c r="D88" s="274" t="s">
        <v>5037</v>
      </c>
      <c r="E88" s="275" t="s">
        <v>5038</v>
      </c>
      <c r="F88" s="152" t="s">
        <v>1907</v>
      </c>
      <c r="G88" s="274"/>
      <c r="H88" s="152"/>
      <c r="I88" s="152" t="s">
        <v>2567</v>
      </c>
      <c r="J88" s="152" t="s">
        <v>2567</v>
      </c>
      <c r="K88" s="153" t="s">
        <v>4883</v>
      </c>
      <c r="L88" s="152" t="s">
        <v>4997</v>
      </c>
      <c r="M88" s="152" t="s">
        <v>4950</v>
      </c>
      <c r="N88" s="154"/>
      <c r="O88" s="154"/>
      <c r="P88" s="155"/>
      <c r="Q88" s="156"/>
      <c r="R88" s="154"/>
      <c r="S88" s="154"/>
      <c r="T88" s="157"/>
      <c r="U88" s="158"/>
      <c r="V88" s="158"/>
      <c r="W88" s="159"/>
      <c r="X88" s="160"/>
      <c r="Y88" s="161"/>
      <c r="Z88" s="162"/>
      <c r="AA88" s="157"/>
      <c r="AB88" s="163"/>
      <c r="AC88" s="164"/>
      <c r="AD88" s="164"/>
      <c r="AE88" s="165"/>
      <c r="AF88" s="166"/>
      <c r="AG88" s="162"/>
      <c r="AH88" s="162"/>
      <c r="AI88" s="167"/>
      <c r="AJ88" s="162"/>
      <c r="AK88" s="168"/>
      <c r="AL88" s="168"/>
      <c r="AM88" s="148"/>
    </row>
    <row r="89" spans="1:39" ht="26.4">
      <c r="A89" s="148" t="s">
        <v>4878</v>
      </c>
      <c r="B89" s="70" t="s">
        <v>4879</v>
      </c>
      <c r="C89" s="292" t="s">
        <v>5039</v>
      </c>
      <c r="D89" s="274" t="s">
        <v>5040</v>
      </c>
      <c r="E89" s="275" t="s">
        <v>5041</v>
      </c>
      <c r="F89" s="152" t="s">
        <v>1907</v>
      </c>
      <c r="G89" s="274"/>
      <c r="H89" s="152"/>
      <c r="I89" s="152" t="s">
        <v>2281</v>
      </c>
      <c r="J89" s="152" t="s">
        <v>2281</v>
      </c>
      <c r="K89" s="153" t="s">
        <v>4883</v>
      </c>
      <c r="L89" s="152" t="s">
        <v>4997</v>
      </c>
      <c r="M89" s="152" t="s">
        <v>4950</v>
      </c>
      <c r="N89" s="154"/>
      <c r="O89" s="154"/>
      <c r="P89" s="155"/>
      <c r="Q89" s="156"/>
      <c r="R89" s="154"/>
      <c r="S89" s="154"/>
      <c r="T89" s="157"/>
      <c r="U89" s="158"/>
      <c r="V89" s="158"/>
      <c r="W89" s="159"/>
      <c r="X89" s="160"/>
      <c r="Y89" s="161"/>
      <c r="Z89" s="162"/>
      <c r="AA89" s="157"/>
      <c r="AB89" s="163"/>
      <c r="AC89" s="164"/>
      <c r="AD89" s="164"/>
      <c r="AE89" s="165"/>
      <c r="AF89" s="166"/>
      <c r="AG89" s="162"/>
      <c r="AH89" s="162"/>
      <c r="AI89" s="167"/>
      <c r="AJ89" s="162"/>
      <c r="AK89" s="168"/>
      <c r="AL89" s="168"/>
      <c r="AM89" s="148"/>
    </row>
    <row r="90" spans="1:39">
      <c r="A90" s="148" t="s">
        <v>4878</v>
      </c>
      <c r="B90" s="70" t="s">
        <v>4879</v>
      </c>
      <c r="C90" s="292" t="s">
        <v>4998</v>
      </c>
      <c r="D90" s="274" t="s">
        <v>5042</v>
      </c>
      <c r="E90" s="275" t="s">
        <v>5043</v>
      </c>
      <c r="F90" s="152" t="s">
        <v>1907</v>
      </c>
      <c r="G90" s="274"/>
      <c r="H90" s="152"/>
      <c r="I90" s="152" t="s">
        <v>2567</v>
      </c>
      <c r="J90" s="152" t="s">
        <v>2567</v>
      </c>
      <c r="K90" s="153" t="s">
        <v>4883</v>
      </c>
      <c r="L90" s="152" t="s">
        <v>4997</v>
      </c>
      <c r="M90" s="152" t="s">
        <v>4950</v>
      </c>
      <c r="N90" s="154"/>
      <c r="O90" s="154"/>
      <c r="P90" s="155"/>
      <c r="Q90" s="156"/>
      <c r="R90" s="154"/>
      <c r="S90" s="154"/>
      <c r="T90" s="157"/>
      <c r="U90" s="158"/>
      <c r="V90" s="158"/>
      <c r="W90" s="159"/>
      <c r="X90" s="160"/>
      <c r="Y90" s="161"/>
      <c r="Z90" s="162"/>
      <c r="AA90" s="157"/>
      <c r="AB90" s="163"/>
      <c r="AC90" s="164"/>
      <c r="AD90" s="164"/>
      <c r="AE90" s="165"/>
      <c r="AF90" s="166"/>
      <c r="AG90" s="162"/>
      <c r="AH90" s="162"/>
      <c r="AI90" s="167"/>
      <c r="AJ90" s="162"/>
      <c r="AK90" s="168"/>
      <c r="AL90" s="168"/>
      <c r="AM90" s="148"/>
    </row>
    <row r="91" spans="1:39">
      <c r="A91" s="148" t="s">
        <v>4878</v>
      </c>
      <c r="B91" s="70" t="s">
        <v>4879</v>
      </c>
      <c r="C91" s="292" t="s">
        <v>5044</v>
      </c>
      <c r="D91" s="274" t="s">
        <v>5045</v>
      </c>
      <c r="E91" s="275" t="s">
        <v>5046</v>
      </c>
      <c r="F91" s="152" t="s">
        <v>1907</v>
      </c>
      <c r="G91" s="274"/>
      <c r="H91" s="152"/>
      <c r="I91" s="152" t="s">
        <v>2281</v>
      </c>
      <c r="J91" s="152" t="s">
        <v>2281</v>
      </c>
      <c r="K91" s="153" t="s">
        <v>4883</v>
      </c>
      <c r="L91" s="152" t="s">
        <v>4997</v>
      </c>
      <c r="M91" s="152" t="s">
        <v>4950</v>
      </c>
      <c r="N91" s="154"/>
      <c r="O91" s="154"/>
      <c r="P91" s="155"/>
      <c r="Q91" s="156"/>
      <c r="R91" s="154"/>
      <c r="S91" s="154"/>
      <c r="T91" s="157"/>
      <c r="U91" s="158"/>
      <c r="V91" s="158"/>
      <c r="W91" s="159"/>
      <c r="X91" s="160"/>
      <c r="Y91" s="161"/>
      <c r="Z91" s="162"/>
      <c r="AA91" s="157"/>
      <c r="AB91" s="163"/>
      <c r="AC91" s="164"/>
      <c r="AD91" s="164"/>
      <c r="AE91" s="165"/>
      <c r="AF91" s="166"/>
      <c r="AG91" s="162"/>
      <c r="AH91" s="162"/>
      <c r="AI91" s="167"/>
      <c r="AJ91" s="162"/>
      <c r="AK91" s="168"/>
      <c r="AL91" s="168"/>
      <c r="AM91" s="148"/>
    </row>
    <row r="92" spans="1:39">
      <c r="A92" s="148" t="s">
        <v>4878</v>
      </c>
      <c r="B92" s="70" t="s">
        <v>4879</v>
      </c>
      <c r="C92" s="292" t="s">
        <v>5047</v>
      </c>
      <c r="D92" s="274" t="s">
        <v>5048</v>
      </c>
      <c r="E92" s="275" t="s">
        <v>5049</v>
      </c>
      <c r="F92" s="152" t="s">
        <v>1907</v>
      </c>
      <c r="G92" s="274"/>
      <c r="H92" s="152"/>
      <c r="I92" s="152" t="s">
        <v>2281</v>
      </c>
      <c r="J92" s="152" t="s">
        <v>2281</v>
      </c>
      <c r="K92" s="153" t="s">
        <v>4883</v>
      </c>
      <c r="L92" s="152" t="s">
        <v>4997</v>
      </c>
      <c r="M92" s="152" t="s">
        <v>4950</v>
      </c>
      <c r="N92" s="154"/>
      <c r="O92" s="154"/>
      <c r="P92" s="155"/>
      <c r="Q92" s="156"/>
      <c r="R92" s="154"/>
      <c r="S92" s="154"/>
      <c r="T92" s="157"/>
      <c r="U92" s="158"/>
      <c r="V92" s="158"/>
      <c r="W92" s="159"/>
      <c r="X92" s="160"/>
      <c r="Y92" s="161"/>
      <c r="Z92" s="162"/>
      <c r="AA92" s="157"/>
      <c r="AB92" s="163"/>
      <c r="AC92" s="164"/>
      <c r="AD92" s="164"/>
      <c r="AE92" s="165"/>
      <c r="AF92" s="166"/>
      <c r="AG92" s="162"/>
      <c r="AH92" s="162"/>
      <c r="AI92" s="167"/>
      <c r="AJ92" s="162"/>
      <c r="AK92" s="168"/>
      <c r="AL92" s="168"/>
      <c r="AM92" s="148"/>
    </row>
    <row r="93" spans="1:39">
      <c r="A93" s="148" t="s">
        <v>4878</v>
      </c>
      <c r="B93" s="70" t="s">
        <v>4879</v>
      </c>
      <c r="C93" s="292" t="s">
        <v>5050</v>
      </c>
      <c r="D93" s="274" t="s">
        <v>5051</v>
      </c>
      <c r="E93" s="275" t="s">
        <v>5052</v>
      </c>
      <c r="F93" s="152" t="s">
        <v>1907</v>
      </c>
      <c r="G93" s="274"/>
      <c r="H93" s="152"/>
      <c r="I93" s="152" t="s">
        <v>2567</v>
      </c>
      <c r="J93" s="152" t="s">
        <v>2567</v>
      </c>
      <c r="K93" s="153" t="s">
        <v>4883</v>
      </c>
      <c r="L93" s="152" t="s">
        <v>4997</v>
      </c>
      <c r="M93" s="152" t="s">
        <v>4950</v>
      </c>
      <c r="N93" s="154"/>
      <c r="O93" s="154"/>
      <c r="P93" s="155"/>
      <c r="Q93" s="156"/>
      <c r="R93" s="154"/>
      <c r="S93" s="154"/>
      <c r="T93" s="157"/>
      <c r="U93" s="158"/>
      <c r="V93" s="158"/>
      <c r="W93" s="159"/>
      <c r="X93" s="160"/>
      <c r="Y93" s="161"/>
      <c r="Z93" s="162"/>
      <c r="AA93" s="157"/>
      <c r="AB93" s="163"/>
      <c r="AC93" s="164"/>
      <c r="AD93" s="164"/>
      <c r="AE93" s="165"/>
      <c r="AF93" s="166"/>
      <c r="AG93" s="162"/>
      <c r="AH93" s="162"/>
      <c r="AI93" s="167"/>
      <c r="AJ93" s="162"/>
      <c r="AK93" s="168"/>
      <c r="AL93" s="168"/>
      <c r="AM93" s="148"/>
    </row>
    <row r="94" spans="1:39">
      <c r="A94" s="148" t="s">
        <v>4878</v>
      </c>
      <c r="B94" s="70" t="s">
        <v>4879</v>
      </c>
      <c r="C94" s="292" t="s">
        <v>5047</v>
      </c>
      <c r="D94" s="274" t="s">
        <v>5053</v>
      </c>
      <c r="E94" s="275" t="s">
        <v>5054</v>
      </c>
      <c r="F94" s="152" t="s">
        <v>1907</v>
      </c>
      <c r="G94" s="274"/>
      <c r="H94" s="152"/>
      <c r="I94" s="152" t="s">
        <v>2567</v>
      </c>
      <c r="J94" s="152" t="s">
        <v>2567</v>
      </c>
      <c r="K94" s="153" t="s">
        <v>4883</v>
      </c>
      <c r="L94" s="152" t="s">
        <v>4997</v>
      </c>
      <c r="M94" s="152" t="s">
        <v>4950</v>
      </c>
      <c r="N94" s="154"/>
      <c r="O94" s="154"/>
      <c r="P94" s="155"/>
      <c r="Q94" s="156"/>
      <c r="R94" s="154"/>
      <c r="S94" s="154"/>
      <c r="T94" s="157"/>
      <c r="U94" s="158"/>
      <c r="V94" s="158"/>
      <c r="W94" s="159"/>
      <c r="X94" s="160"/>
      <c r="Y94" s="161"/>
      <c r="Z94" s="162"/>
      <c r="AA94" s="157"/>
      <c r="AB94" s="163"/>
      <c r="AC94" s="164"/>
      <c r="AD94" s="164"/>
      <c r="AE94" s="165"/>
      <c r="AF94" s="166"/>
      <c r="AG94" s="162"/>
      <c r="AH94" s="162"/>
      <c r="AI94" s="167"/>
      <c r="AJ94" s="162"/>
      <c r="AK94" s="168"/>
      <c r="AL94" s="168"/>
      <c r="AM94" s="148"/>
    </row>
    <row r="95" spans="1:39" ht="66">
      <c r="A95" s="148" t="s">
        <v>4878</v>
      </c>
      <c r="B95" s="70" t="s">
        <v>4879</v>
      </c>
      <c r="C95" s="292" t="s">
        <v>5055</v>
      </c>
      <c r="D95" s="274" t="s">
        <v>5056</v>
      </c>
      <c r="E95" s="275" t="s">
        <v>5057</v>
      </c>
      <c r="F95" s="152" t="s">
        <v>1907</v>
      </c>
      <c r="G95" s="274"/>
      <c r="H95" s="152"/>
      <c r="I95" s="152" t="s">
        <v>2567</v>
      </c>
      <c r="J95" s="152" t="s">
        <v>2567</v>
      </c>
      <c r="K95" s="153" t="s">
        <v>4883</v>
      </c>
      <c r="L95" s="152" t="s">
        <v>4997</v>
      </c>
      <c r="M95" s="152" t="s">
        <v>4950</v>
      </c>
      <c r="N95" s="154"/>
      <c r="O95" s="154"/>
      <c r="P95" s="155"/>
      <c r="Q95" s="156"/>
      <c r="R95" s="154"/>
      <c r="S95" s="154"/>
      <c r="T95" s="157"/>
      <c r="U95" s="158"/>
      <c r="V95" s="158"/>
      <c r="W95" s="159"/>
      <c r="X95" s="160"/>
      <c r="Y95" s="161"/>
      <c r="Z95" s="162"/>
      <c r="AA95" s="157"/>
      <c r="AB95" s="163"/>
      <c r="AC95" s="164"/>
      <c r="AD95" s="164"/>
      <c r="AE95" s="165"/>
      <c r="AF95" s="166"/>
      <c r="AG95" s="162"/>
      <c r="AH95" s="162"/>
      <c r="AI95" s="167"/>
      <c r="AJ95" s="162"/>
      <c r="AK95" s="168"/>
      <c r="AL95" s="168"/>
      <c r="AM95" s="148"/>
    </row>
    <row r="96" spans="1:39">
      <c r="A96" s="148" t="s">
        <v>4878</v>
      </c>
      <c r="B96" s="70" t="s">
        <v>4879</v>
      </c>
      <c r="C96" s="292" t="s">
        <v>5058</v>
      </c>
      <c r="D96" s="274" t="s">
        <v>5059</v>
      </c>
      <c r="E96" s="275" t="s">
        <v>5060</v>
      </c>
      <c r="F96" s="152" t="s">
        <v>1907</v>
      </c>
      <c r="G96" s="274"/>
      <c r="H96" s="152"/>
      <c r="I96" s="152" t="s">
        <v>2567</v>
      </c>
      <c r="J96" s="152" t="s">
        <v>2567</v>
      </c>
      <c r="K96" s="153" t="s">
        <v>4883</v>
      </c>
      <c r="L96" s="152" t="s">
        <v>4997</v>
      </c>
      <c r="M96" s="152" t="s">
        <v>4950</v>
      </c>
      <c r="N96" s="154"/>
      <c r="O96" s="154"/>
      <c r="P96" s="155"/>
      <c r="Q96" s="156"/>
      <c r="R96" s="154"/>
      <c r="S96" s="154"/>
      <c r="T96" s="157"/>
      <c r="U96" s="158"/>
      <c r="V96" s="158"/>
      <c r="W96" s="159"/>
      <c r="X96" s="160"/>
      <c r="Y96" s="161"/>
      <c r="Z96" s="162"/>
      <c r="AA96" s="157"/>
      <c r="AB96" s="163"/>
      <c r="AC96" s="164"/>
      <c r="AD96" s="164"/>
      <c r="AE96" s="165"/>
      <c r="AF96" s="166"/>
      <c r="AG96" s="162"/>
      <c r="AH96" s="162"/>
      <c r="AI96" s="167"/>
      <c r="AJ96" s="162"/>
      <c r="AK96" s="168"/>
      <c r="AL96" s="168"/>
      <c r="AM96" s="148"/>
    </row>
    <row r="97" spans="1:39">
      <c r="A97" s="148" t="s">
        <v>4878</v>
      </c>
      <c r="B97" s="70" t="s">
        <v>4879</v>
      </c>
      <c r="C97" s="292" t="s">
        <v>5061</v>
      </c>
      <c r="D97" s="274" t="s">
        <v>5062</v>
      </c>
      <c r="E97" s="275" t="s">
        <v>5063</v>
      </c>
      <c r="F97" s="152" t="s">
        <v>1907</v>
      </c>
      <c r="G97" s="274"/>
      <c r="H97" s="152"/>
      <c r="I97" s="152" t="s">
        <v>2567</v>
      </c>
      <c r="J97" s="152" t="s">
        <v>2567</v>
      </c>
      <c r="K97" s="153" t="s">
        <v>4883</v>
      </c>
      <c r="L97" s="152" t="s">
        <v>4997</v>
      </c>
      <c r="M97" s="152" t="s">
        <v>4950</v>
      </c>
      <c r="N97" s="154"/>
      <c r="O97" s="154"/>
      <c r="P97" s="155"/>
      <c r="Q97" s="156"/>
      <c r="R97" s="154"/>
      <c r="S97" s="154"/>
      <c r="T97" s="157"/>
      <c r="U97" s="158"/>
      <c r="V97" s="158"/>
      <c r="W97" s="159"/>
      <c r="X97" s="160"/>
      <c r="Y97" s="161"/>
      <c r="Z97" s="162"/>
      <c r="AA97" s="157"/>
      <c r="AB97" s="163"/>
      <c r="AC97" s="164"/>
      <c r="AD97" s="164"/>
      <c r="AE97" s="165"/>
      <c r="AF97" s="166"/>
      <c r="AG97" s="162"/>
      <c r="AH97" s="162"/>
      <c r="AI97" s="167"/>
      <c r="AJ97" s="162"/>
      <c r="AK97" s="168"/>
      <c r="AL97" s="168"/>
      <c r="AM97" s="148"/>
    </row>
    <row r="98" spans="1:39" ht="26.4">
      <c r="A98" s="148" t="s">
        <v>4878</v>
      </c>
      <c r="B98" s="70" t="s">
        <v>4879</v>
      </c>
      <c r="C98" s="292" t="s">
        <v>5064</v>
      </c>
      <c r="D98" s="274" t="s">
        <v>5065</v>
      </c>
      <c r="E98" s="275" t="s">
        <v>5066</v>
      </c>
      <c r="F98" s="152" t="s">
        <v>1907</v>
      </c>
      <c r="G98" s="274"/>
      <c r="H98" s="152"/>
      <c r="I98" s="152" t="s">
        <v>2281</v>
      </c>
      <c r="J98" s="152" t="s">
        <v>2281</v>
      </c>
      <c r="K98" s="153" t="s">
        <v>4883</v>
      </c>
      <c r="L98" s="152" t="s">
        <v>4997</v>
      </c>
      <c r="M98" s="152" t="s">
        <v>4950</v>
      </c>
      <c r="N98" s="154"/>
      <c r="O98" s="154"/>
      <c r="P98" s="155"/>
      <c r="Q98" s="156"/>
      <c r="R98" s="154"/>
      <c r="S98" s="154"/>
      <c r="T98" s="157"/>
      <c r="U98" s="158"/>
      <c r="V98" s="158"/>
      <c r="W98" s="159"/>
      <c r="X98" s="160"/>
      <c r="Y98" s="161"/>
      <c r="Z98" s="162"/>
      <c r="AA98" s="157"/>
      <c r="AB98" s="163"/>
      <c r="AC98" s="164"/>
      <c r="AD98" s="164"/>
      <c r="AE98" s="165"/>
      <c r="AF98" s="166"/>
      <c r="AG98" s="162"/>
      <c r="AH98" s="162"/>
      <c r="AI98" s="167"/>
      <c r="AJ98" s="162"/>
      <c r="AK98" s="168"/>
      <c r="AL98" s="168"/>
      <c r="AM98" s="148"/>
    </row>
    <row r="99" spans="1:39">
      <c r="A99" s="148" t="s">
        <v>4878</v>
      </c>
      <c r="B99" s="70" t="s">
        <v>4879</v>
      </c>
      <c r="C99" s="292" t="s">
        <v>5067</v>
      </c>
      <c r="D99" s="274" t="s">
        <v>5068</v>
      </c>
      <c r="E99" s="275" t="s">
        <v>5069</v>
      </c>
      <c r="F99" s="152" t="s">
        <v>1907</v>
      </c>
      <c r="G99" s="274"/>
      <c r="H99" s="152"/>
      <c r="I99" s="152" t="s">
        <v>2567</v>
      </c>
      <c r="J99" s="152" t="s">
        <v>2567</v>
      </c>
      <c r="K99" s="153" t="s">
        <v>4883</v>
      </c>
      <c r="L99" s="152" t="s">
        <v>4997</v>
      </c>
      <c r="M99" s="152" t="s">
        <v>4950</v>
      </c>
      <c r="N99" s="154"/>
      <c r="O99" s="154"/>
      <c r="P99" s="155"/>
      <c r="Q99" s="156"/>
      <c r="R99" s="154"/>
      <c r="S99" s="154"/>
      <c r="T99" s="157"/>
      <c r="U99" s="158"/>
      <c r="V99" s="158"/>
      <c r="W99" s="159"/>
      <c r="X99" s="160"/>
      <c r="Y99" s="161"/>
      <c r="Z99" s="162"/>
      <c r="AA99" s="157"/>
      <c r="AB99" s="163"/>
      <c r="AC99" s="164"/>
      <c r="AD99" s="164"/>
      <c r="AE99" s="165"/>
      <c r="AF99" s="166"/>
      <c r="AG99" s="162"/>
      <c r="AH99" s="162"/>
      <c r="AI99" s="167"/>
      <c r="AJ99" s="162"/>
      <c r="AK99" s="168"/>
      <c r="AL99" s="168"/>
      <c r="AM99" s="148"/>
    </row>
    <row r="100" spans="1:39" ht="27" thickBot="1">
      <c r="A100" s="148" t="s">
        <v>4878</v>
      </c>
      <c r="B100" s="70" t="s">
        <v>4879</v>
      </c>
      <c r="C100" s="230" t="s">
        <v>5070</v>
      </c>
      <c r="D100" s="274" t="s">
        <v>5071</v>
      </c>
      <c r="E100" s="275" t="s">
        <v>5072</v>
      </c>
      <c r="F100" s="152" t="s">
        <v>1907</v>
      </c>
      <c r="G100" s="274"/>
      <c r="H100" s="152"/>
      <c r="I100" s="152" t="s">
        <v>2281</v>
      </c>
      <c r="J100" s="152" t="s">
        <v>2281</v>
      </c>
      <c r="K100" s="153" t="s">
        <v>4883</v>
      </c>
      <c r="L100" s="152" t="s">
        <v>4997</v>
      </c>
      <c r="M100" s="152" t="s">
        <v>4950</v>
      </c>
      <c r="N100" s="154"/>
      <c r="O100" s="154"/>
      <c r="P100" s="155"/>
      <c r="Q100" s="156"/>
      <c r="R100" s="154"/>
      <c r="S100" s="154"/>
      <c r="T100" s="157"/>
      <c r="U100" s="158"/>
      <c r="V100" s="158"/>
      <c r="W100" s="159"/>
      <c r="X100" s="160"/>
      <c r="Y100" s="161"/>
      <c r="Z100" s="162"/>
      <c r="AA100" s="157"/>
      <c r="AB100" s="163"/>
      <c r="AC100" s="164"/>
      <c r="AD100" s="164"/>
      <c r="AE100" s="165"/>
      <c r="AF100" s="166"/>
      <c r="AG100" s="162"/>
      <c r="AH100" s="162"/>
      <c r="AI100" s="167"/>
      <c r="AJ100" s="162"/>
      <c r="AK100" s="168"/>
      <c r="AL100" s="168"/>
      <c r="AM100" s="148"/>
    </row>
  </sheetData>
  <autoFilter ref="A9:AM100"/>
  <mergeCells count="13">
    <mergeCell ref="AJ7:AK8"/>
    <mergeCell ref="AL7:AM8"/>
    <mergeCell ref="AG8:AI8"/>
    <mergeCell ref="AB8:AF8"/>
    <mergeCell ref="U3:Z3"/>
    <mergeCell ref="N7:T7"/>
    <mergeCell ref="U7:AA7"/>
    <mergeCell ref="AB7:AI7"/>
    <mergeCell ref="G8:H8"/>
    <mergeCell ref="N8:Q8"/>
    <mergeCell ref="R8:T8"/>
    <mergeCell ref="U8:X8"/>
    <mergeCell ref="Y8:AA8"/>
  </mergeCells>
  <phoneticPr fontId="1" type="noConversion"/>
  <conditionalFormatting sqref="AL13:AL19 AL54">
    <cfRule type="cellIs" dxfId="9" priority="8" operator="equal">
      <formula>"Y"</formula>
    </cfRule>
  </conditionalFormatting>
  <conditionalFormatting sqref="H10:H100">
    <cfRule type="expression" dxfId="8" priority="7">
      <formula>OR(F10="배치",F10="인터페이스")</formula>
    </cfRule>
  </conditionalFormatting>
  <conditionalFormatting sqref="AL12">
    <cfRule type="cellIs" dxfId="7" priority="6" operator="equal">
      <formula>"Y"</formula>
    </cfRule>
  </conditionalFormatting>
  <conditionalFormatting sqref="H12">
    <cfRule type="expression" dxfId="6" priority="5">
      <formula>OR(F12="배치",F12="인터페이스")</formula>
    </cfRule>
  </conditionalFormatting>
  <conditionalFormatting sqref="AL11">
    <cfRule type="cellIs" dxfId="5" priority="4" operator="equal">
      <formula>"Y"</formula>
    </cfRule>
  </conditionalFormatting>
  <conditionalFormatting sqref="H11">
    <cfRule type="expression" dxfId="4" priority="3">
      <formula>OR(F11="배치",F11="인터페이스")</formula>
    </cfRule>
  </conditionalFormatting>
  <conditionalFormatting sqref="AL10">
    <cfRule type="cellIs" dxfId="3" priority="2" operator="equal">
      <formula>"Y"</formula>
    </cfRule>
  </conditionalFormatting>
  <conditionalFormatting sqref="H10">
    <cfRule type="expression" dxfId="2" priority="1">
      <formula>OR(F10="배치",F10="인터페이스")</formula>
    </cfRule>
  </conditionalFormatting>
  <dataValidations count="8">
    <dataValidation type="list" allowBlank="1" showInputMessage="1" showErrorMessage="1" sqref="M10:M100">
      <formula1>"빌드#1,빌드#2,빌드#3"</formula1>
    </dataValidation>
    <dataValidation type="list" allowBlank="1" showInputMessage="1" showErrorMessage="1" sqref="I10:J100">
      <formula1>"상,중,하"</formula1>
    </dataValidation>
    <dataValidation type="decimal" allowBlank="1" showInputMessage="1" showErrorMessage="1" sqref="AK10:AK100">
      <formula1>0</formula1>
      <formula2>1</formula2>
    </dataValidation>
    <dataValidation type="list" allowBlank="1" showInputMessage="1" showErrorMessage="1" sqref="F10:F100">
      <formula1>"화면,보고서,배치,인터페이스"</formula1>
    </dataValidation>
    <dataValidation type="list" allowBlank="1" showInputMessage="1" showErrorMessage="1" promptTitle="테스트진행 상태" prompt="UI/UX 검증      40%_x000a_입력값 검증     70%_x000a_로직검증       100%_x000a_(결과서작성)" sqref="AA10:AA100 AI10:AI100">
      <formula1>"40%,70%,100%"</formula1>
    </dataValidation>
    <dataValidation type="list" allowBlank="1" showInputMessage="1" showErrorMessage="1" promptTitle="개발진행 상태" prompt=" 시작                 30%_x000a_ 화면완성(폼만)   50%_x000a_ 로직완성         100%" sqref="T10:T100">
      <formula1>"30%,50%,100%"</formula1>
    </dataValidation>
    <dataValidation type="list" allowBlank="1" showInputMessage="1" showErrorMessage="1" sqref="AL10:AL19 AL54">
      <formula1>"Y, "</formula1>
    </dataValidation>
    <dataValidation type="list" allowBlank="1" showInputMessage="1" showErrorMessage="1" sqref="AL20:AL100">
      <formula1>"신규,삭제"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8"/>
  <sheetViews>
    <sheetView zoomScale="55" zoomScaleNormal="55" workbookViewId="0">
      <pane ySplit="1" topLeftCell="A2" activePane="bottomLeft" state="frozen"/>
      <selection pane="bottomLeft" activeCell="C14" sqref="C14"/>
    </sheetView>
  </sheetViews>
  <sheetFormatPr defaultRowHeight="13.8"/>
  <cols>
    <col min="1" max="1" width="8.796875" style="22"/>
    <col min="2" max="2" width="11" style="22" bestFit="1" customWidth="1"/>
    <col min="3" max="3" width="28.8984375" style="29" bestFit="1" customWidth="1"/>
    <col min="4" max="4" width="6.5" style="29" bestFit="1" customWidth="1"/>
    <col min="5" max="5" width="34" style="33" bestFit="1" customWidth="1"/>
    <col min="6" max="12" width="5.3984375" style="29" bestFit="1" customWidth="1"/>
    <col min="13" max="13" width="15.3984375" style="29" customWidth="1"/>
    <col min="14" max="14" width="5.3984375" style="22" bestFit="1" customWidth="1"/>
    <col min="15" max="15" width="6.5" style="22" bestFit="1" customWidth="1"/>
    <col min="16" max="16" width="9.296875" style="22" bestFit="1" customWidth="1"/>
    <col min="17" max="17" width="20.59765625" style="22" bestFit="1" customWidth="1"/>
    <col min="18" max="18" width="16.8984375" style="22" bestFit="1" customWidth="1"/>
    <col min="19" max="19" width="8.796875" style="22"/>
    <col min="20" max="20" width="25.3984375" style="22" customWidth="1"/>
    <col min="21" max="16384" width="8.796875" style="22"/>
  </cols>
  <sheetData>
    <row r="1" spans="1:22" s="37" customFormat="1" ht="26.4" customHeight="1">
      <c r="A1" s="34" t="s">
        <v>4477</v>
      </c>
      <c r="B1" s="34"/>
      <c r="C1" s="34"/>
      <c r="D1" s="34" t="s">
        <v>0</v>
      </c>
      <c r="E1" s="35" t="s">
        <v>4478</v>
      </c>
      <c r="F1" s="35" t="s">
        <v>2823</v>
      </c>
      <c r="G1" s="35" t="s">
        <v>2824</v>
      </c>
      <c r="H1" s="35" t="s">
        <v>2825</v>
      </c>
      <c r="I1" s="35" t="s">
        <v>2826</v>
      </c>
      <c r="J1" s="35" t="s">
        <v>2827</v>
      </c>
      <c r="K1" s="35" t="s">
        <v>2828</v>
      </c>
      <c r="L1" s="35" t="s">
        <v>2829</v>
      </c>
      <c r="M1" s="35" t="s">
        <v>2820</v>
      </c>
      <c r="N1" s="35" t="s">
        <v>4479</v>
      </c>
      <c r="O1" s="35" t="s">
        <v>2838</v>
      </c>
      <c r="P1" s="35" t="s">
        <v>2839</v>
      </c>
      <c r="Q1" s="35" t="s">
        <v>2840</v>
      </c>
      <c r="R1" s="35" t="s">
        <v>4790</v>
      </c>
      <c r="S1" s="35"/>
      <c r="T1" s="35" t="s">
        <v>2821</v>
      </c>
      <c r="U1" s="36"/>
      <c r="V1" s="36"/>
    </row>
    <row r="2" spans="1:22" ht="13.8" customHeight="1">
      <c r="A2" s="19">
        <v>105</v>
      </c>
      <c r="B2" s="19" t="s">
        <v>4664</v>
      </c>
      <c r="C2" s="20" t="s">
        <v>4665</v>
      </c>
      <c r="D2" s="20"/>
      <c r="E2" s="23" t="s">
        <v>4666</v>
      </c>
      <c r="F2" s="20"/>
      <c r="G2" s="20"/>
      <c r="H2" s="20"/>
      <c r="I2" s="20"/>
      <c r="J2" s="20"/>
      <c r="K2" s="20"/>
      <c r="L2" s="20"/>
      <c r="M2" s="20" t="s">
        <v>1907</v>
      </c>
      <c r="N2" s="30">
        <v>55</v>
      </c>
      <c r="O2" s="30"/>
      <c r="P2" s="30"/>
      <c r="Q2" s="30"/>
      <c r="R2" s="21"/>
      <c r="S2" s="21"/>
      <c r="T2" s="21"/>
      <c r="U2" s="19"/>
      <c r="V2" s="19"/>
    </row>
    <row r="3" spans="1:22">
      <c r="A3" s="19">
        <v>106</v>
      </c>
      <c r="B3" s="19" t="s">
        <v>4664</v>
      </c>
      <c r="C3" s="20"/>
      <c r="D3" s="20"/>
      <c r="E3" s="23"/>
      <c r="F3" s="20"/>
      <c r="G3" s="20"/>
      <c r="H3" s="20"/>
      <c r="I3" s="20"/>
      <c r="J3" s="20"/>
      <c r="K3" s="20"/>
      <c r="L3" s="20"/>
      <c r="M3" s="20"/>
      <c r="N3" s="30"/>
      <c r="O3" s="30"/>
      <c r="P3" s="30"/>
      <c r="Q3" s="30"/>
      <c r="R3" s="21"/>
      <c r="S3" s="21"/>
      <c r="T3" s="21"/>
      <c r="U3" s="19"/>
      <c r="V3" s="19"/>
    </row>
    <row r="4" spans="1:22" ht="13.8" customHeight="1">
      <c r="A4" s="19">
        <v>107</v>
      </c>
      <c r="B4" s="19" t="s">
        <v>4664</v>
      </c>
      <c r="C4" s="20" t="s">
        <v>4667</v>
      </c>
      <c r="D4" s="20"/>
      <c r="E4" s="23" t="s">
        <v>4668</v>
      </c>
      <c r="F4" s="20"/>
      <c r="G4" s="20"/>
      <c r="H4" s="20"/>
      <c r="I4" s="20"/>
      <c r="J4" s="20"/>
      <c r="K4" s="20"/>
      <c r="L4" s="20"/>
      <c r="M4" s="20" t="s">
        <v>1907</v>
      </c>
      <c r="N4" s="30">
        <v>56</v>
      </c>
      <c r="O4" s="30"/>
      <c r="P4" s="30"/>
      <c r="Q4" s="30"/>
      <c r="R4" s="21"/>
      <c r="S4" s="21"/>
      <c r="T4" s="21"/>
      <c r="U4" s="19"/>
      <c r="V4" s="19"/>
    </row>
    <row r="5" spans="1:22">
      <c r="A5" s="19">
        <v>108</v>
      </c>
      <c r="B5" s="19" t="s">
        <v>4664</v>
      </c>
      <c r="C5" s="20"/>
      <c r="D5" s="20"/>
      <c r="E5" s="23"/>
      <c r="F5" s="20"/>
      <c r="G5" s="20"/>
      <c r="H5" s="20"/>
      <c r="I5" s="20"/>
      <c r="J5" s="20"/>
      <c r="K5" s="20"/>
      <c r="L5" s="20"/>
      <c r="M5" s="20"/>
      <c r="N5" s="30"/>
      <c r="O5" s="30"/>
      <c r="P5" s="30"/>
      <c r="Q5" s="30"/>
      <c r="R5" s="21"/>
      <c r="S5" s="21"/>
      <c r="T5" s="21"/>
      <c r="U5" s="19"/>
      <c r="V5" s="19"/>
    </row>
    <row r="6" spans="1:22" ht="13.8" customHeight="1">
      <c r="A6" s="19">
        <v>109</v>
      </c>
      <c r="B6" s="19" t="s">
        <v>4664</v>
      </c>
      <c r="C6" s="20" t="s">
        <v>4669</v>
      </c>
      <c r="D6" s="20"/>
      <c r="E6" s="23" t="s">
        <v>4670</v>
      </c>
      <c r="F6" s="20"/>
      <c r="G6" s="20"/>
      <c r="H6" s="20"/>
      <c r="I6" s="20"/>
      <c r="J6" s="20"/>
      <c r="K6" s="20"/>
      <c r="L6" s="20"/>
      <c r="M6" s="20" t="s">
        <v>1907</v>
      </c>
      <c r="N6" s="30">
        <v>57</v>
      </c>
      <c r="O6" s="30"/>
      <c r="P6" s="30"/>
      <c r="Q6" s="30"/>
      <c r="R6" s="21"/>
      <c r="S6" s="21"/>
      <c r="T6" s="21"/>
      <c r="U6" s="19"/>
      <c r="V6" s="19"/>
    </row>
    <row r="7" spans="1:22">
      <c r="A7" s="19">
        <v>110</v>
      </c>
      <c r="B7" s="19" t="s">
        <v>4664</v>
      </c>
      <c r="C7" s="20"/>
      <c r="D7" s="20"/>
      <c r="E7" s="23"/>
      <c r="F7" s="20"/>
      <c r="G7" s="20"/>
      <c r="H7" s="20"/>
      <c r="I7" s="20"/>
      <c r="J7" s="20"/>
      <c r="K7" s="20"/>
      <c r="L7" s="20"/>
      <c r="M7" s="20"/>
      <c r="N7" s="30"/>
      <c r="O7" s="30"/>
      <c r="P7" s="30"/>
      <c r="Q7" s="30"/>
      <c r="R7" s="21"/>
      <c r="S7" s="21"/>
      <c r="T7" s="21"/>
      <c r="U7" s="19"/>
      <c r="V7" s="19"/>
    </row>
    <row r="8" spans="1:22" ht="13.8" customHeight="1">
      <c r="A8" s="19">
        <v>111</v>
      </c>
      <c r="B8" s="19" t="s">
        <v>4664</v>
      </c>
      <c r="C8" s="20" t="s">
        <v>4671</v>
      </c>
      <c r="D8" s="20"/>
      <c r="E8" s="23" t="s">
        <v>4672</v>
      </c>
      <c r="F8" s="20"/>
      <c r="G8" s="20"/>
      <c r="H8" s="20"/>
      <c r="I8" s="20"/>
      <c r="J8" s="20"/>
      <c r="K8" s="20"/>
      <c r="L8" s="20"/>
      <c r="M8" s="20" t="s">
        <v>1907</v>
      </c>
      <c r="N8" s="30">
        <v>58</v>
      </c>
      <c r="O8" s="30"/>
      <c r="P8" s="30"/>
      <c r="Q8" s="30"/>
      <c r="R8" s="21"/>
      <c r="S8" s="21"/>
      <c r="T8" s="21"/>
      <c r="U8" s="19"/>
      <c r="V8" s="19"/>
    </row>
    <row r="9" spans="1:22">
      <c r="A9" s="19">
        <v>112</v>
      </c>
      <c r="B9" s="19" t="s">
        <v>4664</v>
      </c>
      <c r="C9" s="20"/>
      <c r="D9" s="20"/>
      <c r="E9" s="23"/>
      <c r="F9" s="20"/>
      <c r="G9" s="20"/>
      <c r="H9" s="20"/>
      <c r="I9" s="20"/>
      <c r="J9" s="20"/>
      <c r="K9" s="20"/>
      <c r="L9" s="20"/>
      <c r="M9" s="20"/>
      <c r="N9" s="30"/>
      <c r="O9" s="30"/>
      <c r="P9" s="30"/>
      <c r="Q9" s="30"/>
      <c r="R9" s="21"/>
      <c r="S9" s="21"/>
      <c r="T9" s="21"/>
      <c r="U9" s="19"/>
      <c r="V9" s="19"/>
    </row>
    <row r="10" spans="1:22" ht="13.8" customHeight="1">
      <c r="A10" s="19">
        <v>113</v>
      </c>
      <c r="B10" s="19" t="s">
        <v>4664</v>
      </c>
      <c r="C10" s="20" t="s">
        <v>4673</v>
      </c>
      <c r="D10" s="20"/>
      <c r="E10" s="23" t="s">
        <v>4674</v>
      </c>
      <c r="F10" s="20"/>
      <c r="G10" s="20"/>
      <c r="H10" s="20"/>
      <c r="I10" s="20"/>
      <c r="J10" s="20"/>
      <c r="K10" s="20"/>
      <c r="L10" s="20"/>
      <c r="M10" s="20" t="s">
        <v>1907</v>
      </c>
      <c r="N10" s="30">
        <v>59</v>
      </c>
      <c r="O10" s="30"/>
      <c r="P10" s="30"/>
      <c r="Q10" s="30"/>
      <c r="R10" s="21"/>
      <c r="S10" s="21"/>
      <c r="T10" s="21"/>
      <c r="U10" s="19"/>
      <c r="V10" s="19"/>
    </row>
    <row r="11" spans="1:22">
      <c r="A11" s="19">
        <v>114</v>
      </c>
      <c r="B11" s="19" t="s">
        <v>4664</v>
      </c>
      <c r="C11" s="20"/>
      <c r="D11" s="20"/>
      <c r="E11" s="23"/>
      <c r="F11" s="20"/>
      <c r="G11" s="20"/>
      <c r="H11" s="20"/>
      <c r="I11" s="20"/>
      <c r="J11" s="20"/>
      <c r="K11" s="20"/>
      <c r="L11" s="20"/>
      <c r="M11" s="20"/>
      <c r="N11" s="30"/>
      <c r="O11" s="30"/>
      <c r="P11" s="30"/>
      <c r="Q11" s="30"/>
      <c r="R11" s="21"/>
      <c r="S11" s="21"/>
      <c r="T11" s="21"/>
      <c r="U11" s="19"/>
      <c r="V11" s="19"/>
    </row>
    <row r="12" spans="1:22" ht="13.8" customHeight="1">
      <c r="A12" s="19">
        <v>115</v>
      </c>
      <c r="B12" s="19" t="s">
        <v>4664</v>
      </c>
      <c r="C12" s="20" t="s">
        <v>4675</v>
      </c>
      <c r="D12" s="20"/>
      <c r="E12" s="23" t="s">
        <v>4676</v>
      </c>
      <c r="F12" s="20"/>
      <c r="G12" s="20"/>
      <c r="H12" s="20"/>
      <c r="I12" s="20"/>
      <c r="J12" s="20"/>
      <c r="K12" s="20"/>
      <c r="L12" s="20"/>
      <c r="M12" s="20" t="s">
        <v>1907</v>
      </c>
      <c r="N12" s="30">
        <v>60</v>
      </c>
      <c r="O12" s="30"/>
      <c r="P12" s="30"/>
      <c r="Q12" s="30"/>
      <c r="R12" s="21"/>
      <c r="S12" s="21"/>
      <c r="T12" s="21"/>
      <c r="U12" s="19"/>
      <c r="V12" s="19"/>
    </row>
    <row r="13" spans="1:22">
      <c r="A13" s="19">
        <v>116</v>
      </c>
      <c r="B13" s="19" t="s">
        <v>4664</v>
      </c>
      <c r="C13" s="20"/>
      <c r="D13" s="20"/>
      <c r="E13" s="23"/>
      <c r="F13" s="20"/>
      <c r="G13" s="20"/>
      <c r="H13" s="20"/>
      <c r="I13" s="20"/>
      <c r="J13" s="20"/>
      <c r="K13" s="20"/>
      <c r="L13" s="20"/>
      <c r="M13" s="20"/>
      <c r="N13" s="30"/>
      <c r="O13" s="30"/>
      <c r="P13" s="30"/>
      <c r="Q13" s="30"/>
      <c r="R13" s="21"/>
      <c r="S13" s="21"/>
      <c r="T13" s="21"/>
      <c r="U13" s="19"/>
      <c r="V13" s="19"/>
    </row>
    <row r="14" spans="1:22" ht="13.8" customHeight="1">
      <c r="A14" s="19">
        <v>147</v>
      </c>
      <c r="B14" s="31" t="s">
        <v>4677</v>
      </c>
      <c r="C14" s="20" t="s">
        <v>4678</v>
      </c>
      <c r="D14" s="20"/>
      <c r="E14" s="23" t="s">
        <v>4679</v>
      </c>
      <c r="F14" s="20"/>
      <c r="G14" s="20"/>
      <c r="H14" s="20"/>
      <c r="I14" s="20"/>
      <c r="J14" s="20"/>
      <c r="K14" s="20"/>
      <c r="L14" s="20"/>
      <c r="M14" s="20" t="s">
        <v>1907</v>
      </c>
      <c r="N14" s="21">
        <v>61</v>
      </c>
      <c r="O14" s="21"/>
      <c r="P14" s="21"/>
      <c r="Q14" s="21"/>
      <c r="R14" s="21"/>
      <c r="S14" s="21"/>
      <c r="T14" s="21" t="s">
        <v>4680</v>
      </c>
      <c r="U14" s="19"/>
      <c r="V14" s="19"/>
    </row>
    <row r="15" spans="1:22" ht="14.4">
      <c r="A15" s="19">
        <v>148</v>
      </c>
      <c r="B15" s="31" t="s">
        <v>4677</v>
      </c>
      <c r="C15" s="20"/>
      <c r="D15" s="20"/>
      <c r="E15" s="23"/>
      <c r="F15" s="20"/>
      <c r="G15" s="20"/>
      <c r="H15" s="20"/>
      <c r="I15" s="20"/>
      <c r="J15" s="20"/>
      <c r="K15" s="20"/>
      <c r="L15" s="20"/>
      <c r="M15" s="20"/>
      <c r="N15" s="21"/>
      <c r="O15" s="21"/>
      <c r="P15" s="21"/>
      <c r="Q15" s="21"/>
      <c r="R15" s="21"/>
      <c r="S15" s="21"/>
      <c r="T15" s="21" t="s">
        <v>4680</v>
      </c>
      <c r="U15" s="19"/>
      <c r="V15" s="19"/>
    </row>
    <row r="16" spans="1:22" ht="13.8" customHeight="1">
      <c r="A16" s="19">
        <v>149</v>
      </c>
      <c r="B16" s="31" t="s">
        <v>4677</v>
      </c>
      <c r="C16" s="20" t="s">
        <v>4681</v>
      </c>
      <c r="D16" s="20"/>
      <c r="E16" s="23" t="s">
        <v>4682</v>
      </c>
      <c r="F16" s="20"/>
      <c r="G16" s="20"/>
      <c r="H16" s="20"/>
      <c r="I16" s="20"/>
      <c r="J16" s="20"/>
      <c r="K16" s="20"/>
      <c r="L16" s="20"/>
      <c r="M16" s="20" t="s">
        <v>1907</v>
      </c>
      <c r="N16" s="21">
        <v>63</v>
      </c>
      <c r="O16" s="21"/>
      <c r="P16" s="21"/>
      <c r="Q16" s="21"/>
      <c r="R16" s="21"/>
      <c r="S16" s="21"/>
      <c r="T16" s="21" t="s">
        <v>4680</v>
      </c>
      <c r="U16" s="19"/>
      <c r="V16" s="19"/>
    </row>
    <row r="17" spans="1:22" ht="14.4">
      <c r="A17" s="19">
        <v>146</v>
      </c>
      <c r="B17" s="31" t="s">
        <v>4677</v>
      </c>
      <c r="C17" s="20"/>
      <c r="D17" s="20"/>
      <c r="E17" s="25" t="s">
        <v>4683</v>
      </c>
      <c r="F17" s="20"/>
      <c r="G17" s="20"/>
      <c r="H17" s="20"/>
      <c r="I17" s="20"/>
      <c r="J17" s="20"/>
      <c r="K17" s="20"/>
      <c r="L17" s="20"/>
      <c r="M17" s="20" t="s">
        <v>1907</v>
      </c>
      <c r="N17" s="32"/>
      <c r="O17" s="32"/>
      <c r="P17" s="32"/>
      <c r="Q17" s="32"/>
      <c r="R17" s="21"/>
      <c r="S17" s="21"/>
      <c r="T17" s="21" t="s">
        <v>4680</v>
      </c>
      <c r="U17" s="19"/>
      <c r="V17" s="19"/>
    </row>
    <row r="18" spans="1:22" ht="14.4">
      <c r="A18" s="19">
        <v>146</v>
      </c>
      <c r="B18" s="31" t="s">
        <v>4677</v>
      </c>
      <c r="C18" s="20"/>
      <c r="D18" s="20"/>
      <c r="E18" s="23"/>
      <c r="F18" s="25"/>
      <c r="G18" s="25"/>
      <c r="H18" s="25"/>
      <c r="I18" s="25"/>
      <c r="J18" s="25"/>
      <c r="K18" s="25"/>
      <c r="L18" s="25"/>
      <c r="M18" s="25" t="s">
        <v>4684</v>
      </c>
      <c r="N18" s="32"/>
      <c r="O18" s="32"/>
      <c r="P18" s="32"/>
      <c r="Q18" s="32"/>
      <c r="R18" s="21"/>
      <c r="S18" s="21"/>
      <c r="T18" s="21" t="s">
        <v>4680</v>
      </c>
      <c r="U18" s="19"/>
      <c r="V18" s="19"/>
    </row>
    <row r="19" spans="1:22" ht="14.4">
      <c r="A19" s="19">
        <v>146</v>
      </c>
      <c r="B19" s="31" t="s">
        <v>4677</v>
      </c>
      <c r="C19" s="20"/>
      <c r="D19" s="20"/>
      <c r="E19" s="23"/>
      <c r="F19" s="25"/>
      <c r="G19" s="25"/>
      <c r="H19" s="25"/>
      <c r="I19" s="25"/>
      <c r="J19" s="25"/>
      <c r="K19" s="25"/>
      <c r="L19" s="25"/>
      <c r="M19" s="25" t="s">
        <v>4685</v>
      </c>
      <c r="N19" s="32"/>
      <c r="O19" s="32"/>
      <c r="P19" s="32"/>
      <c r="Q19" s="32"/>
      <c r="R19" s="21"/>
      <c r="S19" s="21"/>
      <c r="T19" s="21" t="s">
        <v>4680</v>
      </c>
      <c r="U19" s="19"/>
      <c r="V19" s="19"/>
    </row>
    <row r="20" spans="1:22" ht="14.4">
      <c r="A20" s="19">
        <v>146</v>
      </c>
      <c r="B20" s="31" t="s">
        <v>4677</v>
      </c>
      <c r="C20" s="20"/>
      <c r="D20" s="20"/>
      <c r="E20" s="23"/>
      <c r="F20" s="23"/>
      <c r="G20" s="23"/>
      <c r="H20" s="23"/>
      <c r="I20" s="23"/>
      <c r="J20" s="23"/>
      <c r="K20" s="23"/>
      <c r="L20" s="23"/>
      <c r="M20" s="23" t="s">
        <v>4686</v>
      </c>
      <c r="N20" s="32"/>
      <c r="O20" s="32"/>
      <c r="P20" s="32"/>
      <c r="Q20" s="32"/>
      <c r="R20" s="21"/>
      <c r="S20" s="21"/>
      <c r="T20" s="21" t="s">
        <v>4680</v>
      </c>
      <c r="U20" s="19"/>
      <c r="V20" s="19"/>
    </row>
    <row r="21" spans="1:22" ht="13.8" customHeight="1">
      <c r="A21" s="19">
        <v>151</v>
      </c>
      <c r="B21" s="31" t="s">
        <v>4677</v>
      </c>
      <c r="C21" s="20" t="s">
        <v>4687</v>
      </c>
      <c r="D21" s="20"/>
      <c r="E21" s="23" t="s">
        <v>4688</v>
      </c>
      <c r="F21" s="20"/>
      <c r="G21" s="20"/>
      <c r="H21" s="20"/>
      <c r="I21" s="20"/>
      <c r="J21" s="20"/>
      <c r="K21" s="20"/>
      <c r="L21" s="20"/>
      <c r="M21" s="20" t="s">
        <v>1907</v>
      </c>
      <c r="N21" s="21">
        <v>64</v>
      </c>
      <c r="O21" s="21"/>
      <c r="P21" s="21"/>
      <c r="Q21" s="21"/>
      <c r="R21" s="21"/>
      <c r="S21" s="21"/>
      <c r="T21" s="21" t="s">
        <v>4680</v>
      </c>
      <c r="U21" s="19"/>
      <c r="V21" s="19"/>
    </row>
    <row r="22" spans="1:22" ht="14.4">
      <c r="A22" s="19">
        <v>146</v>
      </c>
      <c r="B22" s="31" t="s">
        <v>4677</v>
      </c>
      <c r="C22" s="20"/>
      <c r="D22" s="20"/>
      <c r="E22" s="23"/>
      <c r="F22" s="23"/>
      <c r="G22" s="23"/>
      <c r="H22" s="23"/>
      <c r="I22" s="23"/>
      <c r="J22" s="23"/>
      <c r="K22" s="23"/>
      <c r="L22" s="23"/>
      <c r="M22" s="23" t="s">
        <v>4689</v>
      </c>
      <c r="N22" s="32"/>
      <c r="O22" s="32"/>
      <c r="P22" s="32"/>
      <c r="Q22" s="32"/>
      <c r="R22" s="21"/>
      <c r="S22" s="21"/>
      <c r="T22" s="21" t="s">
        <v>4680</v>
      </c>
      <c r="U22" s="19"/>
      <c r="V22" s="19"/>
    </row>
    <row r="23" spans="1:22" ht="13.8" customHeight="1">
      <c r="A23" s="19">
        <v>153</v>
      </c>
      <c r="B23" s="31" t="s">
        <v>4677</v>
      </c>
      <c r="C23" s="20" t="s">
        <v>4690</v>
      </c>
      <c r="D23" s="20"/>
      <c r="E23" s="23" t="s">
        <v>4691</v>
      </c>
      <c r="F23" s="20"/>
      <c r="G23" s="20"/>
      <c r="H23" s="20"/>
      <c r="I23" s="20"/>
      <c r="J23" s="20"/>
      <c r="K23" s="20"/>
      <c r="L23" s="20"/>
      <c r="M23" s="20" t="s">
        <v>1907</v>
      </c>
      <c r="N23" s="21">
        <v>62</v>
      </c>
      <c r="O23" s="21"/>
      <c r="P23" s="21"/>
      <c r="Q23" s="21"/>
      <c r="R23" s="21"/>
      <c r="S23" s="21"/>
      <c r="T23" s="21" t="s">
        <v>4680</v>
      </c>
      <c r="U23" s="19"/>
      <c r="V23" s="19"/>
    </row>
    <row r="24" spans="1:22" ht="14.4">
      <c r="A24" s="19">
        <v>154</v>
      </c>
      <c r="B24" s="31" t="s">
        <v>4677</v>
      </c>
      <c r="C24" s="20"/>
      <c r="D24" s="20"/>
      <c r="E24" s="23"/>
      <c r="F24" s="23"/>
      <c r="G24" s="23"/>
      <c r="H24" s="23"/>
      <c r="I24" s="23"/>
      <c r="J24" s="23"/>
      <c r="K24" s="23"/>
      <c r="L24" s="23"/>
      <c r="M24" s="23" t="s">
        <v>4692</v>
      </c>
      <c r="N24" s="21"/>
      <c r="O24" s="21"/>
      <c r="P24" s="21"/>
      <c r="Q24" s="21"/>
      <c r="R24" s="21"/>
      <c r="S24" s="21"/>
      <c r="T24" s="21" t="s">
        <v>4680</v>
      </c>
      <c r="U24" s="19"/>
      <c r="V24" s="19"/>
    </row>
    <row r="25" spans="1:22" ht="13.8" customHeight="1">
      <c r="A25" s="19">
        <v>155</v>
      </c>
      <c r="B25" s="31" t="s">
        <v>4677</v>
      </c>
      <c r="C25" s="20" t="s">
        <v>4693</v>
      </c>
      <c r="D25" s="20"/>
      <c r="E25" s="23" t="s">
        <v>4694</v>
      </c>
      <c r="F25" s="20"/>
      <c r="G25" s="20"/>
      <c r="H25" s="20"/>
      <c r="I25" s="20"/>
      <c r="J25" s="20"/>
      <c r="K25" s="20"/>
      <c r="L25" s="20"/>
      <c r="M25" s="20" t="s">
        <v>1907</v>
      </c>
      <c r="N25" s="21">
        <v>67</v>
      </c>
      <c r="O25" s="21"/>
      <c r="P25" s="21"/>
      <c r="Q25" s="21"/>
      <c r="R25" s="21"/>
      <c r="S25" s="21"/>
      <c r="T25" s="21" t="s">
        <v>4680</v>
      </c>
      <c r="U25" s="19"/>
      <c r="V25" s="19"/>
    </row>
    <row r="26" spans="1:22" ht="14.4">
      <c r="A26" s="19">
        <v>156</v>
      </c>
      <c r="B26" s="31" t="s">
        <v>4677</v>
      </c>
      <c r="C26" s="20"/>
      <c r="D26" s="20"/>
      <c r="E26" s="23"/>
      <c r="F26" s="20"/>
      <c r="G26" s="20"/>
      <c r="H26" s="20"/>
      <c r="I26" s="20"/>
      <c r="J26" s="20"/>
      <c r="K26" s="20"/>
      <c r="L26" s="20"/>
      <c r="M26" s="20"/>
      <c r="N26" s="21"/>
      <c r="O26" s="21"/>
      <c r="P26" s="21"/>
      <c r="Q26" s="21"/>
      <c r="R26" s="21"/>
      <c r="S26" s="21"/>
      <c r="T26" s="21" t="s">
        <v>4680</v>
      </c>
      <c r="U26" s="19"/>
      <c r="V26" s="19"/>
    </row>
    <row r="27" spans="1:22" ht="13.8" customHeight="1">
      <c r="A27" s="19">
        <v>157</v>
      </c>
      <c r="B27" s="31" t="s">
        <v>4677</v>
      </c>
      <c r="C27" s="20" t="s">
        <v>4695</v>
      </c>
      <c r="D27" s="20"/>
      <c r="E27" s="23" t="s">
        <v>4696</v>
      </c>
      <c r="F27" s="20"/>
      <c r="G27" s="20"/>
      <c r="H27" s="20"/>
      <c r="I27" s="20"/>
      <c r="J27" s="20"/>
      <c r="K27" s="20"/>
      <c r="L27" s="20"/>
      <c r="M27" s="20" t="s">
        <v>1907</v>
      </c>
      <c r="N27" s="21">
        <v>69</v>
      </c>
      <c r="O27" s="21"/>
      <c r="P27" s="21"/>
      <c r="Q27" s="21"/>
      <c r="R27" s="21"/>
      <c r="S27" s="21"/>
      <c r="T27" s="21" t="s">
        <v>4680</v>
      </c>
      <c r="U27" s="19"/>
      <c r="V27" s="19"/>
    </row>
    <row r="28" spans="1:22" ht="14.4">
      <c r="A28" s="19">
        <v>160</v>
      </c>
      <c r="B28" s="31" t="s">
        <v>4677</v>
      </c>
      <c r="C28" s="20"/>
      <c r="D28" s="20"/>
      <c r="E28" s="23"/>
      <c r="F28" s="23"/>
      <c r="G28" s="23"/>
      <c r="H28" s="23"/>
      <c r="I28" s="23"/>
      <c r="J28" s="23"/>
      <c r="K28" s="23"/>
      <c r="L28" s="23"/>
      <c r="M28" s="23" t="s">
        <v>4697</v>
      </c>
      <c r="N28" s="21"/>
      <c r="O28" s="21"/>
      <c r="P28" s="21"/>
      <c r="Q28" s="21"/>
      <c r="R28" s="21"/>
      <c r="S28" s="21"/>
      <c r="T28" s="21" t="s">
        <v>4680</v>
      </c>
      <c r="U28" s="19"/>
      <c r="V28" s="19"/>
    </row>
    <row r="29" spans="1:22" ht="13.8" customHeight="1">
      <c r="A29" s="19">
        <v>159</v>
      </c>
      <c r="B29" s="31" t="s">
        <v>4677</v>
      </c>
      <c r="C29" s="20" t="s">
        <v>4698</v>
      </c>
      <c r="D29" s="20"/>
      <c r="E29" s="23" t="s">
        <v>4699</v>
      </c>
      <c r="F29" s="20"/>
      <c r="G29" s="20"/>
      <c r="H29" s="20"/>
      <c r="I29" s="20"/>
      <c r="J29" s="20"/>
      <c r="K29" s="20"/>
      <c r="L29" s="20"/>
      <c r="M29" s="20" t="s">
        <v>1907</v>
      </c>
      <c r="N29" s="21">
        <v>68</v>
      </c>
      <c r="O29" s="21"/>
      <c r="P29" s="21"/>
      <c r="Q29" s="21"/>
      <c r="R29" s="21"/>
      <c r="S29" s="21"/>
      <c r="T29" s="21" t="s">
        <v>4680</v>
      </c>
      <c r="U29" s="19"/>
      <c r="V29" s="19"/>
    </row>
    <row r="30" spans="1:22" ht="14.4">
      <c r="A30" s="19">
        <v>158</v>
      </c>
      <c r="B30" s="31" t="s">
        <v>4677</v>
      </c>
      <c r="C30" s="20"/>
      <c r="D30" s="20"/>
      <c r="E30" s="23"/>
      <c r="F30" s="23"/>
      <c r="G30" s="23"/>
      <c r="H30" s="23"/>
      <c r="I30" s="23"/>
      <c r="J30" s="23"/>
      <c r="K30" s="23"/>
      <c r="L30" s="23"/>
      <c r="M30" s="23" t="s">
        <v>4700</v>
      </c>
      <c r="N30" s="21"/>
      <c r="O30" s="21"/>
      <c r="P30" s="21"/>
      <c r="Q30" s="21"/>
      <c r="R30" s="21"/>
      <c r="S30" s="21"/>
      <c r="T30" s="21" t="s">
        <v>4680</v>
      </c>
      <c r="U30" s="19"/>
      <c r="V30" s="19"/>
    </row>
    <row r="31" spans="1:22" ht="14.4">
      <c r="A31" s="19">
        <v>158</v>
      </c>
      <c r="B31" s="31" t="s">
        <v>4677</v>
      </c>
      <c r="C31" s="20"/>
      <c r="D31" s="20"/>
      <c r="E31" s="23"/>
      <c r="F31" s="23"/>
      <c r="G31" s="23"/>
      <c r="H31" s="23"/>
      <c r="I31" s="23"/>
      <c r="J31" s="23"/>
      <c r="K31" s="23"/>
      <c r="L31" s="23"/>
      <c r="M31" s="23" t="s">
        <v>4701</v>
      </c>
      <c r="N31" s="21"/>
      <c r="O31" s="21"/>
      <c r="P31" s="21"/>
      <c r="Q31" s="21"/>
      <c r="R31" s="21"/>
      <c r="S31" s="21"/>
      <c r="T31" s="21" t="s">
        <v>4680</v>
      </c>
      <c r="U31" s="19"/>
      <c r="V31" s="19"/>
    </row>
    <row r="32" spans="1:22" ht="13.8" customHeight="1">
      <c r="A32" s="19">
        <v>161</v>
      </c>
      <c r="B32" s="31" t="s">
        <v>4677</v>
      </c>
      <c r="C32" s="20" t="s">
        <v>4702</v>
      </c>
      <c r="D32" s="20"/>
      <c r="E32" s="23" t="s">
        <v>4703</v>
      </c>
      <c r="F32" s="20"/>
      <c r="G32" s="20"/>
      <c r="H32" s="20"/>
      <c r="I32" s="20"/>
      <c r="J32" s="20"/>
      <c r="K32" s="20"/>
      <c r="L32" s="20"/>
      <c r="M32" s="20" t="s">
        <v>1907</v>
      </c>
      <c r="N32" s="21">
        <v>70</v>
      </c>
      <c r="O32" s="21"/>
      <c r="P32" s="21"/>
      <c r="Q32" s="21"/>
      <c r="R32" s="21"/>
      <c r="S32" s="21"/>
      <c r="T32" s="21" t="s">
        <v>4680</v>
      </c>
      <c r="U32" s="19"/>
      <c r="V32" s="19"/>
    </row>
    <row r="33" spans="1:22" ht="14.4">
      <c r="A33" s="19">
        <v>162</v>
      </c>
      <c r="B33" s="31" t="s">
        <v>4677</v>
      </c>
      <c r="C33" s="20"/>
      <c r="D33" s="20"/>
      <c r="E33" s="23"/>
      <c r="F33" s="20"/>
      <c r="G33" s="20"/>
      <c r="H33" s="20"/>
      <c r="I33" s="20"/>
      <c r="J33" s="20"/>
      <c r="K33" s="20"/>
      <c r="L33" s="20"/>
      <c r="M33" s="20"/>
      <c r="N33" s="21"/>
      <c r="O33" s="21"/>
      <c r="P33" s="21"/>
      <c r="Q33" s="21"/>
      <c r="R33" s="21"/>
      <c r="S33" s="21"/>
      <c r="T33" s="21" t="s">
        <v>4680</v>
      </c>
      <c r="U33" s="19"/>
      <c r="V33" s="19"/>
    </row>
    <row r="34" spans="1:22" ht="13.8" customHeight="1">
      <c r="A34" s="19">
        <v>163</v>
      </c>
      <c r="B34" s="31" t="s">
        <v>4677</v>
      </c>
      <c r="C34" s="20" t="s">
        <v>4704</v>
      </c>
      <c r="D34" s="20"/>
      <c r="E34" s="23" t="s">
        <v>4705</v>
      </c>
      <c r="F34" s="20"/>
      <c r="G34" s="20"/>
      <c r="H34" s="20"/>
      <c r="I34" s="20"/>
      <c r="J34" s="20"/>
      <c r="K34" s="20"/>
      <c r="L34" s="20"/>
      <c r="M34" s="20" t="s">
        <v>1907</v>
      </c>
      <c r="N34" s="21">
        <v>84</v>
      </c>
      <c r="O34" s="21"/>
      <c r="P34" s="21"/>
      <c r="Q34" s="21"/>
      <c r="R34" s="21"/>
      <c r="S34" s="21"/>
      <c r="T34" s="21" t="s">
        <v>4680</v>
      </c>
      <c r="U34" s="19"/>
      <c r="V34" s="19"/>
    </row>
    <row r="35" spans="1:22" ht="14.4">
      <c r="A35" s="19">
        <v>164</v>
      </c>
      <c r="B35" s="31" t="s">
        <v>4677</v>
      </c>
      <c r="C35" s="20"/>
      <c r="D35" s="20"/>
      <c r="E35" s="23"/>
      <c r="F35" s="23"/>
      <c r="G35" s="23"/>
      <c r="H35" s="23"/>
      <c r="I35" s="23"/>
      <c r="J35" s="23"/>
      <c r="K35" s="23"/>
      <c r="L35" s="23"/>
      <c r="M35" s="23" t="s">
        <v>4706</v>
      </c>
      <c r="N35" s="21"/>
      <c r="O35" s="21"/>
      <c r="P35" s="21"/>
      <c r="Q35" s="21"/>
      <c r="R35" s="21"/>
      <c r="S35" s="21"/>
      <c r="T35" s="21" t="s">
        <v>4680</v>
      </c>
      <c r="U35" s="19"/>
      <c r="V35" s="19"/>
    </row>
    <row r="36" spans="1:22" ht="13.8" customHeight="1">
      <c r="A36" s="19">
        <v>165</v>
      </c>
      <c r="B36" s="31" t="s">
        <v>4677</v>
      </c>
      <c r="C36" s="20" t="s">
        <v>4707</v>
      </c>
      <c r="D36" s="20"/>
      <c r="E36" s="23" t="s">
        <v>4708</v>
      </c>
      <c r="F36" s="20"/>
      <c r="G36" s="20"/>
      <c r="H36" s="20"/>
      <c r="I36" s="20"/>
      <c r="J36" s="20"/>
      <c r="K36" s="20"/>
      <c r="L36" s="20"/>
      <c r="M36" s="20" t="s">
        <v>1907</v>
      </c>
      <c r="N36" s="21">
        <v>71</v>
      </c>
      <c r="O36" s="21"/>
      <c r="P36" s="21"/>
      <c r="Q36" s="21"/>
      <c r="R36" s="21"/>
      <c r="S36" s="21"/>
      <c r="T36" s="21" t="s">
        <v>4680</v>
      </c>
      <c r="U36" s="19"/>
      <c r="V36" s="19"/>
    </row>
    <row r="37" spans="1:22" ht="14.4">
      <c r="A37" s="19">
        <v>166</v>
      </c>
      <c r="B37" s="31" t="s">
        <v>4677</v>
      </c>
      <c r="C37" s="20"/>
      <c r="D37" s="20"/>
      <c r="E37" s="23"/>
      <c r="F37" s="23"/>
      <c r="G37" s="23"/>
      <c r="H37" s="23"/>
      <c r="I37" s="23"/>
      <c r="J37" s="23"/>
      <c r="K37" s="23"/>
      <c r="L37" s="23"/>
      <c r="M37" s="23" t="s">
        <v>4709</v>
      </c>
      <c r="N37" s="21"/>
      <c r="O37" s="21"/>
      <c r="P37" s="21"/>
      <c r="Q37" s="21"/>
      <c r="R37" s="21"/>
      <c r="S37" s="21"/>
      <c r="T37" s="21" t="s">
        <v>4680</v>
      </c>
      <c r="U37" s="19"/>
      <c r="V37" s="19"/>
    </row>
    <row r="38" spans="1:22" ht="13.8" customHeight="1">
      <c r="A38" s="19">
        <v>167</v>
      </c>
      <c r="B38" s="31" t="s">
        <v>4677</v>
      </c>
      <c r="C38" s="20" t="s">
        <v>4710</v>
      </c>
      <c r="D38" s="20"/>
      <c r="E38" s="23" t="s">
        <v>4711</v>
      </c>
      <c r="F38" s="20"/>
      <c r="G38" s="20"/>
      <c r="H38" s="20"/>
      <c r="I38" s="20"/>
      <c r="J38" s="20"/>
      <c r="K38" s="20"/>
      <c r="L38" s="20"/>
      <c r="M38" s="20" t="s">
        <v>1907</v>
      </c>
      <c r="N38" s="21">
        <v>73</v>
      </c>
      <c r="O38" s="21"/>
      <c r="P38" s="21"/>
      <c r="Q38" s="21"/>
      <c r="R38" s="21"/>
      <c r="S38" s="21"/>
      <c r="T38" s="21" t="s">
        <v>4680</v>
      </c>
      <c r="U38" s="19"/>
      <c r="V38" s="19"/>
    </row>
    <row r="39" spans="1:22" ht="14.4">
      <c r="A39" s="19">
        <v>168</v>
      </c>
      <c r="B39" s="31" t="s">
        <v>4677</v>
      </c>
      <c r="C39" s="20"/>
      <c r="D39" s="20"/>
      <c r="E39" s="23"/>
      <c r="F39" s="20"/>
      <c r="G39" s="20"/>
      <c r="H39" s="20"/>
      <c r="I39" s="20"/>
      <c r="J39" s="20"/>
      <c r="K39" s="20"/>
      <c r="L39" s="20"/>
      <c r="M39" s="20"/>
      <c r="N39" s="21"/>
      <c r="O39" s="21"/>
      <c r="P39" s="21"/>
      <c r="Q39" s="21"/>
      <c r="R39" s="21"/>
      <c r="S39" s="21"/>
      <c r="T39" s="21" t="s">
        <v>4680</v>
      </c>
      <c r="U39" s="19"/>
      <c r="V39" s="19"/>
    </row>
    <row r="40" spans="1:22" ht="13.8" customHeight="1">
      <c r="A40" s="19">
        <v>169</v>
      </c>
      <c r="B40" s="31" t="s">
        <v>4677</v>
      </c>
      <c r="C40" s="20" t="s">
        <v>4712</v>
      </c>
      <c r="D40" s="20"/>
      <c r="E40" s="23" t="s">
        <v>4713</v>
      </c>
      <c r="F40" s="20"/>
      <c r="G40" s="20"/>
      <c r="H40" s="20"/>
      <c r="I40" s="20"/>
      <c r="J40" s="20"/>
      <c r="K40" s="20"/>
      <c r="L40" s="20"/>
      <c r="M40" s="20" t="s">
        <v>1907</v>
      </c>
      <c r="N40" s="21">
        <v>74</v>
      </c>
      <c r="O40" s="21"/>
      <c r="P40" s="21"/>
      <c r="Q40" s="21"/>
      <c r="R40" s="21"/>
      <c r="S40" s="21"/>
      <c r="T40" s="21" t="s">
        <v>4680</v>
      </c>
      <c r="U40" s="19"/>
      <c r="V40" s="19"/>
    </row>
    <row r="41" spans="1:22" ht="14.4">
      <c r="A41" s="19">
        <v>170</v>
      </c>
      <c r="B41" s="31" t="s">
        <v>4677</v>
      </c>
      <c r="C41" s="20"/>
      <c r="D41" s="20"/>
      <c r="E41" s="23"/>
      <c r="F41" s="23"/>
      <c r="G41" s="23"/>
      <c r="H41" s="23"/>
      <c r="I41" s="23"/>
      <c r="J41" s="23"/>
      <c r="K41" s="23"/>
      <c r="L41" s="23"/>
      <c r="M41" s="23" t="s">
        <v>4714</v>
      </c>
      <c r="N41" s="21"/>
      <c r="O41" s="21"/>
      <c r="P41" s="21"/>
      <c r="Q41" s="21"/>
      <c r="R41" s="21"/>
      <c r="S41" s="21"/>
      <c r="T41" s="21" t="s">
        <v>4680</v>
      </c>
      <c r="U41" s="19"/>
      <c r="V41" s="19"/>
    </row>
    <row r="42" spans="1:22" ht="13.8" customHeight="1">
      <c r="A42" s="19">
        <v>171</v>
      </c>
      <c r="B42" s="31" t="s">
        <v>4677</v>
      </c>
      <c r="C42" s="20" t="s">
        <v>4715</v>
      </c>
      <c r="D42" s="20"/>
      <c r="E42" s="23" t="s">
        <v>4716</v>
      </c>
      <c r="F42" s="20"/>
      <c r="G42" s="20"/>
      <c r="H42" s="20"/>
      <c r="I42" s="20"/>
      <c r="J42" s="20"/>
      <c r="K42" s="20"/>
      <c r="L42" s="20"/>
      <c r="M42" s="20" t="s">
        <v>1907</v>
      </c>
      <c r="N42" s="21">
        <v>75</v>
      </c>
      <c r="O42" s="21"/>
      <c r="P42" s="21"/>
      <c r="Q42" s="21"/>
      <c r="R42" s="21"/>
      <c r="S42" s="21"/>
      <c r="T42" s="21" t="s">
        <v>4680</v>
      </c>
      <c r="U42" s="19"/>
      <c r="V42" s="19"/>
    </row>
    <row r="43" spans="1:22" ht="14.4">
      <c r="A43" s="19">
        <v>172</v>
      </c>
      <c r="B43" s="31" t="s">
        <v>4677</v>
      </c>
      <c r="C43" s="20"/>
      <c r="D43" s="20"/>
      <c r="E43" s="23"/>
      <c r="F43" s="23"/>
      <c r="G43" s="23"/>
      <c r="H43" s="23"/>
      <c r="I43" s="23"/>
      <c r="J43" s="23"/>
      <c r="K43" s="23"/>
      <c r="L43" s="23"/>
      <c r="M43" s="23" t="s">
        <v>4713</v>
      </c>
      <c r="N43" s="21"/>
      <c r="O43" s="21"/>
      <c r="P43" s="21"/>
      <c r="Q43" s="21"/>
      <c r="R43" s="21"/>
      <c r="S43" s="21"/>
      <c r="T43" s="21" t="s">
        <v>4680</v>
      </c>
      <c r="U43" s="19"/>
      <c r="V43" s="19"/>
    </row>
    <row r="44" spans="1:22" ht="13.8" customHeight="1">
      <c r="A44" s="19">
        <v>173</v>
      </c>
      <c r="B44" s="31" t="s">
        <v>4677</v>
      </c>
      <c r="C44" s="20" t="s">
        <v>4717</v>
      </c>
      <c r="D44" s="20"/>
      <c r="E44" s="23" t="s">
        <v>4718</v>
      </c>
      <c r="F44" s="20"/>
      <c r="G44" s="20"/>
      <c r="H44" s="20"/>
      <c r="I44" s="20"/>
      <c r="J44" s="20"/>
      <c r="K44" s="20"/>
      <c r="L44" s="20"/>
      <c r="M44" s="20" t="s">
        <v>1907</v>
      </c>
      <c r="N44" s="21">
        <v>65</v>
      </c>
      <c r="O44" s="21"/>
      <c r="P44" s="21"/>
      <c r="Q44" s="21"/>
      <c r="R44" s="21"/>
      <c r="S44" s="21"/>
      <c r="T44" s="21" t="s">
        <v>4680</v>
      </c>
      <c r="U44" s="19"/>
      <c r="V44" s="19"/>
    </row>
    <row r="45" spans="1:22" ht="14.4">
      <c r="A45" s="19">
        <v>174</v>
      </c>
      <c r="B45" s="31" t="s">
        <v>4677</v>
      </c>
      <c r="C45" s="20"/>
      <c r="D45" s="20"/>
      <c r="E45" s="23"/>
      <c r="F45" s="23"/>
      <c r="G45" s="23"/>
      <c r="H45" s="23"/>
      <c r="I45" s="23"/>
      <c r="J45" s="23"/>
      <c r="K45" s="23"/>
      <c r="L45" s="23"/>
      <c r="M45" s="23" t="s">
        <v>4719</v>
      </c>
      <c r="N45" s="21"/>
      <c r="O45" s="21"/>
      <c r="P45" s="21"/>
      <c r="Q45" s="21"/>
      <c r="R45" s="21"/>
      <c r="S45" s="21"/>
      <c r="T45" s="21" t="s">
        <v>4680</v>
      </c>
      <c r="U45" s="19"/>
      <c r="V45" s="19"/>
    </row>
    <row r="46" spans="1:22" ht="13.8" customHeight="1">
      <c r="A46" s="19">
        <v>175</v>
      </c>
      <c r="B46" s="31" t="s">
        <v>4677</v>
      </c>
      <c r="C46" s="20" t="s">
        <v>4720</v>
      </c>
      <c r="D46" s="20"/>
      <c r="E46" s="23" t="s">
        <v>4721</v>
      </c>
      <c r="F46" s="20"/>
      <c r="G46" s="20"/>
      <c r="H46" s="20"/>
      <c r="I46" s="20"/>
      <c r="J46" s="20"/>
      <c r="K46" s="20"/>
      <c r="L46" s="20"/>
      <c r="M46" s="20" t="s">
        <v>1907</v>
      </c>
      <c r="N46" s="21">
        <v>66</v>
      </c>
      <c r="O46" s="21"/>
      <c r="P46" s="21"/>
      <c r="Q46" s="21"/>
      <c r="R46" s="21"/>
      <c r="S46" s="21"/>
      <c r="T46" s="21" t="s">
        <v>4680</v>
      </c>
      <c r="U46" s="19"/>
      <c r="V46" s="19"/>
    </row>
    <row r="47" spans="1:22" ht="14.4">
      <c r="A47" s="19">
        <v>174</v>
      </c>
      <c r="B47" s="31" t="s">
        <v>4677</v>
      </c>
      <c r="C47" s="20"/>
      <c r="D47" s="20"/>
      <c r="E47" s="23"/>
      <c r="F47" s="23"/>
      <c r="G47" s="23"/>
      <c r="H47" s="23"/>
      <c r="I47" s="23"/>
      <c r="J47" s="23"/>
      <c r="K47" s="23"/>
      <c r="L47" s="23"/>
      <c r="M47" s="23" t="s">
        <v>4722</v>
      </c>
      <c r="N47" s="21"/>
      <c r="O47" s="21"/>
      <c r="P47" s="21"/>
      <c r="Q47" s="21"/>
      <c r="R47" s="21"/>
      <c r="S47" s="21"/>
      <c r="T47" s="21" t="s">
        <v>4680</v>
      </c>
      <c r="U47" s="19"/>
      <c r="V47" s="19"/>
    </row>
    <row r="48" spans="1:22" ht="13.8" customHeight="1">
      <c r="A48" s="19">
        <v>125</v>
      </c>
      <c r="B48" s="31" t="s">
        <v>4677</v>
      </c>
      <c r="C48" s="20" t="s">
        <v>4723</v>
      </c>
      <c r="D48" s="20"/>
      <c r="E48" s="23" t="s">
        <v>4724</v>
      </c>
      <c r="F48" s="20"/>
      <c r="G48" s="20"/>
      <c r="H48" s="20"/>
      <c r="I48" s="20"/>
      <c r="J48" s="20"/>
      <c r="K48" s="20"/>
      <c r="L48" s="20"/>
      <c r="M48" s="20" t="s">
        <v>1907</v>
      </c>
      <c r="N48" s="32">
        <v>76</v>
      </c>
      <c r="O48" s="32"/>
      <c r="P48" s="32"/>
      <c r="Q48" s="32"/>
      <c r="R48" s="21"/>
      <c r="S48" s="21"/>
      <c r="T48" s="21" t="s">
        <v>4680</v>
      </c>
      <c r="U48" s="19"/>
      <c r="V48" s="19"/>
    </row>
    <row r="49" spans="1:22" ht="14.4">
      <c r="A49" s="19">
        <v>126</v>
      </c>
      <c r="B49" s="31" t="s">
        <v>4677</v>
      </c>
      <c r="C49" s="20"/>
      <c r="D49" s="20"/>
      <c r="E49" s="23"/>
      <c r="F49" s="20"/>
      <c r="G49" s="20"/>
      <c r="H49" s="20"/>
      <c r="I49" s="20"/>
      <c r="J49" s="20"/>
      <c r="K49" s="20"/>
      <c r="L49" s="20"/>
      <c r="M49" s="20"/>
      <c r="N49" s="32"/>
      <c r="O49" s="32"/>
      <c r="P49" s="32"/>
      <c r="Q49" s="32"/>
      <c r="R49" s="21"/>
      <c r="S49" s="21"/>
      <c r="T49" s="21" t="s">
        <v>4680</v>
      </c>
      <c r="U49" s="19"/>
      <c r="V49" s="19"/>
    </row>
    <row r="50" spans="1:22" ht="13.8" customHeight="1">
      <c r="A50" s="19">
        <v>121</v>
      </c>
      <c r="B50" s="31" t="s">
        <v>4677</v>
      </c>
      <c r="C50" s="20" t="s">
        <v>4725</v>
      </c>
      <c r="D50" s="20"/>
      <c r="E50" s="23" t="s">
        <v>4726</v>
      </c>
      <c r="F50" s="20"/>
      <c r="G50" s="20"/>
      <c r="H50" s="20"/>
      <c r="I50" s="20"/>
      <c r="J50" s="20"/>
      <c r="K50" s="20"/>
      <c r="L50" s="20"/>
      <c r="M50" s="20" t="s">
        <v>1907</v>
      </c>
      <c r="N50" s="32">
        <v>77</v>
      </c>
      <c r="O50" s="32"/>
      <c r="P50" s="32"/>
      <c r="Q50" s="32"/>
      <c r="R50" s="21"/>
      <c r="S50" s="21"/>
      <c r="T50" s="21" t="s">
        <v>4680</v>
      </c>
      <c r="U50" s="19"/>
      <c r="V50" s="19"/>
    </row>
    <row r="51" spans="1:22" ht="14.4">
      <c r="A51" s="19">
        <v>122</v>
      </c>
      <c r="B51" s="31" t="s">
        <v>4677</v>
      </c>
      <c r="C51" s="20"/>
      <c r="D51" s="20"/>
      <c r="E51" s="23"/>
      <c r="F51" s="20"/>
      <c r="G51" s="20"/>
      <c r="H51" s="20"/>
      <c r="I51" s="20"/>
      <c r="J51" s="20"/>
      <c r="K51" s="20"/>
      <c r="L51" s="20"/>
      <c r="M51" s="20"/>
      <c r="N51" s="32"/>
      <c r="O51" s="32"/>
      <c r="P51" s="32"/>
      <c r="Q51" s="32"/>
      <c r="R51" s="21"/>
      <c r="S51" s="21"/>
      <c r="T51" s="21" t="s">
        <v>4680</v>
      </c>
      <c r="U51" s="19"/>
      <c r="V51" s="19"/>
    </row>
    <row r="52" spans="1:22" ht="13.8" customHeight="1">
      <c r="A52" s="19">
        <v>123</v>
      </c>
      <c r="B52" s="31" t="s">
        <v>4677</v>
      </c>
      <c r="C52" s="20" t="s">
        <v>4727</v>
      </c>
      <c r="D52" s="20"/>
      <c r="E52" s="23" t="s">
        <v>4728</v>
      </c>
      <c r="F52" s="20"/>
      <c r="G52" s="20"/>
      <c r="H52" s="20"/>
      <c r="I52" s="20"/>
      <c r="J52" s="20"/>
      <c r="K52" s="20"/>
      <c r="L52" s="20"/>
      <c r="M52" s="20" t="s">
        <v>1907</v>
      </c>
      <c r="N52" s="32">
        <v>78</v>
      </c>
      <c r="O52" s="32"/>
      <c r="P52" s="32"/>
      <c r="Q52" s="32"/>
      <c r="R52" s="21"/>
      <c r="S52" s="21"/>
      <c r="T52" s="21" t="s">
        <v>4680</v>
      </c>
      <c r="U52" s="19"/>
      <c r="V52" s="19"/>
    </row>
    <row r="53" spans="1:22" ht="14.4">
      <c r="A53" s="19">
        <v>124</v>
      </c>
      <c r="B53" s="31" t="s">
        <v>4677</v>
      </c>
      <c r="C53" s="20"/>
      <c r="D53" s="20"/>
      <c r="E53" s="23"/>
      <c r="F53" s="20"/>
      <c r="G53" s="20"/>
      <c r="H53" s="20"/>
      <c r="I53" s="20"/>
      <c r="J53" s="20"/>
      <c r="K53" s="20"/>
      <c r="L53" s="20"/>
      <c r="M53" s="20"/>
      <c r="N53" s="32"/>
      <c r="O53" s="32"/>
      <c r="P53" s="32"/>
      <c r="Q53" s="32"/>
      <c r="R53" s="21"/>
      <c r="S53" s="21"/>
      <c r="T53" s="21" t="s">
        <v>4680</v>
      </c>
      <c r="U53" s="19"/>
      <c r="V53" s="19"/>
    </row>
    <row r="54" spans="1:22" ht="13.8" customHeight="1">
      <c r="A54" s="19">
        <v>117</v>
      </c>
      <c r="B54" s="31" t="s">
        <v>4677</v>
      </c>
      <c r="C54" s="20" t="s">
        <v>4729</v>
      </c>
      <c r="D54" s="20"/>
      <c r="E54" s="23" t="s">
        <v>4683</v>
      </c>
      <c r="F54" s="20"/>
      <c r="G54" s="20"/>
      <c r="H54" s="20"/>
      <c r="I54" s="20"/>
      <c r="J54" s="20"/>
      <c r="K54" s="20"/>
      <c r="L54" s="20"/>
      <c r="M54" s="20" t="s">
        <v>1907</v>
      </c>
      <c r="N54" s="32">
        <v>83</v>
      </c>
      <c r="O54" s="32"/>
      <c r="P54" s="32"/>
      <c r="Q54" s="32"/>
      <c r="R54" s="21"/>
      <c r="S54" s="21"/>
      <c r="T54" s="21" t="s">
        <v>4680</v>
      </c>
      <c r="U54" s="19"/>
      <c r="V54" s="19"/>
    </row>
    <row r="55" spans="1:22" ht="14.4">
      <c r="A55" s="19">
        <v>118</v>
      </c>
      <c r="B55" s="31" t="s">
        <v>4677</v>
      </c>
      <c r="C55" s="20"/>
      <c r="D55" s="20"/>
      <c r="E55" s="23"/>
      <c r="F55" s="20"/>
      <c r="G55" s="20"/>
      <c r="H55" s="20"/>
      <c r="I55" s="20"/>
      <c r="J55" s="20"/>
      <c r="K55" s="20"/>
      <c r="L55" s="20"/>
      <c r="M55" s="20" t="s">
        <v>4684</v>
      </c>
      <c r="N55" s="32"/>
      <c r="O55" s="32"/>
      <c r="P55" s="32"/>
      <c r="Q55" s="32"/>
      <c r="R55" s="21"/>
      <c r="S55" s="21"/>
      <c r="T55" s="21" t="s">
        <v>4680</v>
      </c>
      <c r="U55" s="19"/>
      <c r="V55" s="19"/>
    </row>
    <row r="56" spans="1:22" ht="13.8" customHeight="1">
      <c r="A56" s="19">
        <v>119</v>
      </c>
      <c r="B56" s="31" t="s">
        <v>4677</v>
      </c>
      <c r="C56" s="20" t="s">
        <v>4730</v>
      </c>
      <c r="D56" s="20"/>
      <c r="E56" s="23" t="s">
        <v>4731</v>
      </c>
      <c r="F56" s="20"/>
      <c r="G56" s="20"/>
      <c r="H56" s="20"/>
      <c r="I56" s="20"/>
      <c r="J56" s="20"/>
      <c r="K56" s="20"/>
      <c r="L56" s="20"/>
      <c r="M56" s="20" t="s">
        <v>1907</v>
      </c>
      <c r="N56" s="32">
        <v>84</v>
      </c>
      <c r="O56" s="32"/>
      <c r="P56" s="32"/>
      <c r="Q56" s="32"/>
      <c r="R56" s="21"/>
      <c r="S56" s="21"/>
      <c r="T56" s="21" t="s">
        <v>4680</v>
      </c>
      <c r="U56" s="19"/>
      <c r="V56" s="19"/>
    </row>
    <row r="57" spans="1:22" ht="14.4">
      <c r="A57" s="19">
        <v>120</v>
      </c>
      <c r="B57" s="31" t="s">
        <v>4677</v>
      </c>
      <c r="C57" s="20"/>
      <c r="D57" s="20"/>
      <c r="E57" s="23"/>
      <c r="F57" s="20"/>
      <c r="G57" s="20"/>
      <c r="H57" s="20"/>
      <c r="I57" s="20"/>
      <c r="J57" s="20"/>
      <c r="K57" s="20"/>
      <c r="L57" s="20"/>
      <c r="M57" s="20" t="s">
        <v>4732</v>
      </c>
      <c r="N57" s="32"/>
      <c r="O57" s="32"/>
      <c r="P57" s="32"/>
      <c r="Q57" s="32"/>
      <c r="R57" s="21"/>
      <c r="S57" s="21"/>
      <c r="T57" s="21" t="s">
        <v>4680</v>
      </c>
      <c r="U57" s="19"/>
      <c r="V57" s="19"/>
    </row>
    <row r="58" spans="1:22" ht="13.8" customHeight="1">
      <c r="A58" s="19">
        <v>127</v>
      </c>
      <c r="B58" s="31" t="s">
        <v>4677</v>
      </c>
      <c r="C58" s="20" t="s">
        <v>4733</v>
      </c>
      <c r="D58" s="20"/>
      <c r="E58" s="23" t="s">
        <v>4734</v>
      </c>
      <c r="F58" s="20"/>
      <c r="G58" s="20"/>
      <c r="H58" s="20"/>
      <c r="I58" s="20"/>
      <c r="J58" s="20"/>
      <c r="K58" s="20"/>
      <c r="L58" s="20"/>
      <c r="M58" s="20" t="s">
        <v>1907</v>
      </c>
      <c r="N58" s="32">
        <v>79</v>
      </c>
      <c r="O58" s="32"/>
      <c r="P58" s="32"/>
      <c r="Q58" s="32"/>
      <c r="R58" s="21"/>
      <c r="S58" s="21"/>
      <c r="T58" s="21" t="s">
        <v>4680</v>
      </c>
      <c r="U58" s="19"/>
      <c r="V58" s="19"/>
    </row>
    <row r="59" spans="1:22" ht="14.4">
      <c r="A59" s="19">
        <v>128</v>
      </c>
      <c r="B59" s="31" t="s">
        <v>4677</v>
      </c>
      <c r="C59" s="20"/>
      <c r="D59" s="20"/>
      <c r="E59" s="23"/>
      <c r="F59" s="20"/>
      <c r="G59" s="20"/>
      <c r="H59" s="20"/>
      <c r="I59" s="20"/>
      <c r="J59" s="20"/>
      <c r="K59" s="20"/>
      <c r="L59" s="20"/>
      <c r="M59" s="20" t="s">
        <v>4735</v>
      </c>
      <c r="N59" s="32"/>
      <c r="O59" s="32"/>
      <c r="P59" s="32"/>
      <c r="Q59" s="32"/>
      <c r="R59" s="21"/>
      <c r="S59" s="21"/>
      <c r="T59" s="21" t="s">
        <v>4680</v>
      </c>
      <c r="U59" s="19"/>
      <c r="V59" s="19"/>
    </row>
    <row r="60" spans="1:22" ht="14.4">
      <c r="A60" s="19">
        <v>128</v>
      </c>
      <c r="B60" s="31" t="s">
        <v>4677</v>
      </c>
      <c r="C60" s="20"/>
      <c r="D60" s="20"/>
      <c r="E60" s="23"/>
      <c r="F60" s="20"/>
      <c r="G60" s="20"/>
      <c r="H60" s="20"/>
      <c r="I60" s="20"/>
      <c r="J60" s="20"/>
      <c r="K60" s="20"/>
      <c r="L60" s="20"/>
      <c r="M60" s="20" t="s">
        <v>4736</v>
      </c>
      <c r="N60" s="32"/>
      <c r="O60" s="32"/>
      <c r="P60" s="32"/>
      <c r="Q60" s="32"/>
      <c r="R60" s="21"/>
      <c r="S60" s="21"/>
      <c r="T60" s="21" t="s">
        <v>4680</v>
      </c>
      <c r="U60" s="19"/>
      <c r="V60" s="19"/>
    </row>
    <row r="61" spans="1:22" ht="13.8" customHeight="1">
      <c r="A61" s="19">
        <v>129</v>
      </c>
      <c r="B61" s="31" t="s">
        <v>4677</v>
      </c>
      <c r="C61" s="20" t="s">
        <v>4737</v>
      </c>
      <c r="D61" s="20"/>
      <c r="E61" s="23" t="s">
        <v>4738</v>
      </c>
      <c r="F61" s="20"/>
      <c r="G61" s="20"/>
      <c r="H61" s="20"/>
      <c r="I61" s="20"/>
      <c r="J61" s="20"/>
      <c r="K61" s="20"/>
      <c r="L61" s="20"/>
      <c r="M61" s="20" t="s">
        <v>1907</v>
      </c>
      <c r="N61" s="32">
        <v>79</v>
      </c>
      <c r="O61" s="32"/>
      <c r="P61" s="32"/>
      <c r="Q61" s="32"/>
      <c r="R61" s="21"/>
      <c r="S61" s="21"/>
      <c r="T61" s="21" t="s">
        <v>4680</v>
      </c>
      <c r="U61" s="19"/>
      <c r="V61" s="19"/>
    </row>
    <row r="62" spans="1:22" ht="14.4">
      <c r="A62" s="19">
        <v>130</v>
      </c>
      <c r="B62" s="31" t="s">
        <v>4677</v>
      </c>
      <c r="C62" s="20"/>
      <c r="D62" s="20"/>
      <c r="E62" s="23"/>
      <c r="F62" s="20"/>
      <c r="G62" s="20"/>
      <c r="H62" s="20"/>
      <c r="I62" s="20"/>
      <c r="J62" s="20"/>
      <c r="K62" s="20"/>
      <c r="L62" s="20"/>
      <c r="M62" s="20" t="s">
        <v>4739</v>
      </c>
      <c r="N62" s="32"/>
      <c r="O62" s="32"/>
      <c r="P62" s="32"/>
      <c r="Q62" s="32"/>
      <c r="R62" s="21"/>
      <c r="S62" s="21"/>
      <c r="T62" s="21" t="s">
        <v>4680</v>
      </c>
      <c r="U62" s="19"/>
      <c r="V62" s="19"/>
    </row>
    <row r="63" spans="1:22" ht="14.4">
      <c r="A63" s="19">
        <v>130</v>
      </c>
      <c r="B63" s="31" t="s">
        <v>4677</v>
      </c>
      <c r="C63" s="20"/>
      <c r="D63" s="20"/>
      <c r="E63" s="23"/>
      <c r="F63" s="20"/>
      <c r="G63" s="20"/>
      <c r="H63" s="20"/>
      <c r="I63" s="20"/>
      <c r="J63" s="20"/>
      <c r="K63" s="20"/>
      <c r="L63" s="20"/>
      <c r="M63" s="20" t="s">
        <v>4740</v>
      </c>
      <c r="N63" s="32"/>
      <c r="O63" s="32"/>
      <c r="P63" s="32"/>
      <c r="Q63" s="32"/>
      <c r="R63" s="21"/>
      <c r="S63" s="21"/>
      <c r="T63" s="21" t="s">
        <v>4680</v>
      </c>
      <c r="U63" s="19"/>
      <c r="V63" s="19"/>
    </row>
    <row r="64" spans="1:22" ht="14.4">
      <c r="A64" s="19">
        <v>130</v>
      </c>
      <c r="B64" s="31" t="s">
        <v>4677</v>
      </c>
      <c r="C64" s="20"/>
      <c r="D64" s="20"/>
      <c r="E64" s="23"/>
      <c r="F64" s="20"/>
      <c r="G64" s="20"/>
      <c r="H64" s="20"/>
      <c r="I64" s="20"/>
      <c r="J64" s="20"/>
      <c r="K64" s="20"/>
      <c r="L64" s="20"/>
      <c r="M64" s="20" t="s">
        <v>4741</v>
      </c>
      <c r="N64" s="32"/>
      <c r="O64" s="32"/>
      <c r="P64" s="32"/>
      <c r="Q64" s="32"/>
      <c r="R64" s="21"/>
      <c r="S64" s="21"/>
      <c r="T64" s="21" t="s">
        <v>4680</v>
      </c>
      <c r="U64" s="19"/>
      <c r="V64" s="19"/>
    </row>
    <row r="65" spans="1:22" ht="14.4">
      <c r="A65" s="19">
        <v>130</v>
      </c>
      <c r="B65" s="31" t="s">
        <v>4677</v>
      </c>
      <c r="C65" s="20"/>
      <c r="D65" s="20"/>
      <c r="E65" s="23"/>
      <c r="F65" s="20"/>
      <c r="G65" s="20"/>
      <c r="H65" s="20"/>
      <c r="I65" s="20"/>
      <c r="J65" s="20"/>
      <c r="K65" s="20"/>
      <c r="L65" s="20"/>
      <c r="M65" s="20" t="s">
        <v>4742</v>
      </c>
      <c r="N65" s="32"/>
      <c r="O65" s="32"/>
      <c r="P65" s="32"/>
      <c r="Q65" s="32"/>
      <c r="R65" s="21"/>
      <c r="S65" s="21"/>
      <c r="T65" s="21" t="s">
        <v>4680</v>
      </c>
      <c r="U65" s="19"/>
      <c r="V65" s="19"/>
    </row>
    <row r="66" spans="1:22" ht="13.8" customHeight="1">
      <c r="A66" s="19">
        <v>131</v>
      </c>
      <c r="B66" s="31" t="s">
        <v>4677</v>
      </c>
      <c r="C66" s="20" t="s">
        <v>4743</v>
      </c>
      <c r="D66" s="20"/>
      <c r="E66" s="23" t="s">
        <v>4744</v>
      </c>
      <c r="F66" s="20"/>
      <c r="G66" s="20"/>
      <c r="H66" s="20"/>
      <c r="I66" s="20"/>
      <c r="J66" s="20"/>
      <c r="K66" s="20"/>
      <c r="L66" s="20"/>
      <c r="M66" s="20" t="s">
        <v>1907</v>
      </c>
      <c r="N66" s="32">
        <v>80</v>
      </c>
      <c r="O66" s="32"/>
      <c r="P66" s="32"/>
      <c r="Q66" s="32"/>
      <c r="R66" s="21"/>
      <c r="S66" s="21"/>
      <c r="T66" s="21" t="s">
        <v>4680</v>
      </c>
      <c r="U66" s="19"/>
      <c r="V66" s="19"/>
    </row>
    <row r="67" spans="1:22" ht="14.4">
      <c r="A67" s="19">
        <v>132</v>
      </c>
      <c r="B67" s="31" t="s">
        <v>4677</v>
      </c>
      <c r="C67" s="20"/>
      <c r="D67" s="20"/>
      <c r="E67" s="23"/>
      <c r="F67" s="23"/>
      <c r="G67" s="23"/>
      <c r="H67" s="23"/>
      <c r="I67" s="23"/>
      <c r="J67" s="23"/>
      <c r="K67" s="23"/>
      <c r="L67" s="23"/>
      <c r="M67" s="23" t="s">
        <v>4745</v>
      </c>
      <c r="N67" s="32"/>
      <c r="O67" s="32"/>
      <c r="P67" s="32"/>
      <c r="Q67" s="32"/>
      <c r="R67" s="21"/>
      <c r="S67" s="21"/>
      <c r="T67" s="21" t="s">
        <v>4680</v>
      </c>
      <c r="U67" s="19"/>
      <c r="V67" s="19"/>
    </row>
    <row r="68" spans="1:22" ht="14.4">
      <c r="A68" s="19">
        <v>132</v>
      </c>
      <c r="B68" s="31" t="s">
        <v>4677</v>
      </c>
      <c r="C68" s="20"/>
      <c r="D68" s="20"/>
      <c r="E68" s="23"/>
      <c r="F68" s="23"/>
      <c r="G68" s="23"/>
      <c r="H68" s="23"/>
      <c r="I68" s="23"/>
      <c r="J68" s="23"/>
      <c r="K68" s="23"/>
      <c r="L68" s="23"/>
      <c r="M68" s="23" t="s">
        <v>4746</v>
      </c>
      <c r="N68" s="32"/>
      <c r="O68" s="32"/>
      <c r="P68" s="32"/>
      <c r="Q68" s="32"/>
      <c r="R68" s="21"/>
      <c r="S68" s="21"/>
      <c r="T68" s="21" t="s">
        <v>4680</v>
      </c>
      <c r="U68" s="19"/>
      <c r="V68" s="19"/>
    </row>
    <row r="69" spans="1:22" ht="13.8" customHeight="1">
      <c r="A69" s="19">
        <v>135</v>
      </c>
      <c r="B69" s="31" t="s">
        <v>4677</v>
      </c>
      <c r="C69" s="20" t="s">
        <v>4747</v>
      </c>
      <c r="D69" s="20"/>
      <c r="E69" s="23" t="s">
        <v>4748</v>
      </c>
      <c r="F69" s="20"/>
      <c r="G69" s="20"/>
      <c r="H69" s="20"/>
      <c r="I69" s="20"/>
      <c r="J69" s="20"/>
      <c r="K69" s="20"/>
      <c r="L69" s="20"/>
      <c r="M69" s="20" t="s">
        <v>1907</v>
      </c>
      <c r="N69" s="32">
        <v>82</v>
      </c>
      <c r="O69" s="32"/>
      <c r="P69" s="32"/>
      <c r="Q69" s="32"/>
      <c r="R69" s="21"/>
      <c r="S69" s="21"/>
      <c r="T69" s="21" t="s">
        <v>4680</v>
      </c>
      <c r="U69" s="19"/>
      <c r="V69" s="19"/>
    </row>
    <row r="70" spans="1:22" ht="14.4">
      <c r="A70" s="19">
        <v>128</v>
      </c>
      <c r="B70" s="31" t="s">
        <v>4677</v>
      </c>
      <c r="C70" s="20"/>
      <c r="D70" s="20"/>
      <c r="E70" s="23"/>
      <c r="F70" s="20"/>
      <c r="G70" s="20"/>
      <c r="H70" s="20"/>
      <c r="I70" s="20"/>
      <c r="J70" s="20"/>
      <c r="K70" s="20"/>
      <c r="L70" s="20"/>
      <c r="M70" s="20" t="s">
        <v>4749</v>
      </c>
      <c r="N70" s="32"/>
      <c r="O70" s="32"/>
      <c r="P70" s="32"/>
      <c r="Q70" s="32"/>
      <c r="R70" s="21"/>
      <c r="S70" s="21"/>
      <c r="T70" s="21" t="s">
        <v>4680</v>
      </c>
      <c r="U70" s="19"/>
      <c r="V70" s="19"/>
    </row>
    <row r="71" spans="1:22" ht="14.4">
      <c r="A71" s="19">
        <v>132</v>
      </c>
      <c r="B71" s="31" t="s">
        <v>4677</v>
      </c>
      <c r="C71" s="20"/>
      <c r="D71" s="20"/>
      <c r="E71" s="23"/>
      <c r="F71" s="23"/>
      <c r="G71" s="23"/>
      <c r="H71" s="23"/>
      <c r="I71" s="23"/>
      <c r="J71" s="23"/>
      <c r="K71" s="23"/>
      <c r="L71" s="23"/>
      <c r="M71" s="23" t="s">
        <v>4750</v>
      </c>
      <c r="N71" s="32"/>
      <c r="O71" s="32"/>
      <c r="P71" s="32"/>
      <c r="Q71" s="32"/>
      <c r="R71" s="21"/>
      <c r="S71" s="21"/>
      <c r="T71" s="21" t="s">
        <v>4680</v>
      </c>
      <c r="U71" s="19"/>
      <c r="V71" s="19"/>
    </row>
    <row r="72" spans="1:22" ht="13.8" customHeight="1">
      <c r="A72" s="19">
        <v>133</v>
      </c>
      <c r="B72" s="31" t="s">
        <v>4677</v>
      </c>
      <c r="C72" s="20" t="s">
        <v>4751</v>
      </c>
      <c r="D72" s="20"/>
      <c r="E72" s="23" t="s">
        <v>4752</v>
      </c>
      <c r="F72" s="20"/>
      <c r="G72" s="20"/>
      <c r="H72" s="20"/>
      <c r="I72" s="20"/>
      <c r="J72" s="20"/>
      <c r="K72" s="20"/>
      <c r="L72" s="20"/>
      <c r="M72" s="20" t="s">
        <v>1907</v>
      </c>
      <c r="N72" s="32">
        <v>81</v>
      </c>
      <c r="O72" s="32"/>
      <c r="P72" s="32"/>
      <c r="Q72" s="32"/>
      <c r="R72" s="21"/>
      <c r="S72" s="21"/>
      <c r="T72" s="21" t="s">
        <v>4680</v>
      </c>
      <c r="U72" s="19"/>
      <c r="V72" s="19"/>
    </row>
    <row r="73" spans="1:22" ht="14.4">
      <c r="A73" s="19">
        <v>134</v>
      </c>
      <c r="B73" s="31" t="s">
        <v>4677</v>
      </c>
      <c r="C73" s="20"/>
      <c r="D73" s="20"/>
      <c r="E73" s="23"/>
      <c r="F73" s="20"/>
      <c r="G73" s="20"/>
      <c r="H73" s="20"/>
      <c r="I73" s="20"/>
      <c r="J73" s="20"/>
      <c r="K73" s="20"/>
      <c r="L73" s="20"/>
      <c r="M73" s="20" t="s">
        <v>4753</v>
      </c>
      <c r="N73" s="32"/>
      <c r="O73" s="32"/>
      <c r="P73" s="32"/>
      <c r="Q73" s="32"/>
      <c r="R73" s="21"/>
      <c r="S73" s="21"/>
      <c r="T73" s="21" t="s">
        <v>4680</v>
      </c>
      <c r="U73" s="19"/>
      <c r="V73" s="19"/>
    </row>
    <row r="74" spans="1:22" ht="14.4">
      <c r="A74" s="19">
        <v>134</v>
      </c>
      <c r="B74" s="31" t="s">
        <v>4677</v>
      </c>
      <c r="C74" s="20"/>
      <c r="D74" s="20"/>
      <c r="E74" s="23"/>
      <c r="F74" s="20"/>
      <c r="G74" s="20"/>
      <c r="H74" s="20"/>
      <c r="I74" s="20"/>
      <c r="J74" s="20"/>
      <c r="K74" s="20"/>
      <c r="L74" s="20"/>
      <c r="M74" s="20" t="s">
        <v>4754</v>
      </c>
      <c r="N74" s="32"/>
      <c r="O74" s="32"/>
      <c r="P74" s="32"/>
      <c r="Q74" s="32"/>
      <c r="R74" s="21"/>
      <c r="S74" s="21"/>
      <c r="T74" s="21" t="s">
        <v>4680</v>
      </c>
      <c r="U74" s="19"/>
      <c r="V74" s="19"/>
    </row>
    <row r="75" spans="1:22" ht="14.4">
      <c r="A75" s="19">
        <v>134</v>
      </c>
      <c r="B75" s="31" t="s">
        <v>4677</v>
      </c>
      <c r="C75" s="20"/>
      <c r="D75" s="20"/>
      <c r="E75" s="23"/>
      <c r="F75" s="20"/>
      <c r="G75" s="20"/>
      <c r="H75" s="20"/>
      <c r="I75" s="20"/>
      <c r="J75" s="20"/>
      <c r="K75" s="20"/>
      <c r="L75" s="20"/>
      <c r="M75" s="20" t="s">
        <v>4755</v>
      </c>
      <c r="N75" s="32"/>
      <c r="O75" s="32"/>
      <c r="P75" s="32"/>
      <c r="Q75" s="32"/>
      <c r="R75" s="21"/>
      <c r="S75" s="21"/>
      <c r="T75" s="21" t="s">
        <v>4680</v>
      </c>
      <c r="U75" s="19"/>
      <c r="V75" s="19"/>
    </row>
    <row r="76" spans="1:22" ht="13.8" customHeight="1">
      <c r="A76" s="19">
        <v>137</v>
      </c>
      <c r="B76" s="31" t="s">
        <v>4677</v>
      </c>
      <c r="C76" s="20" t="s">
        <v>4756</v>
      </c>
      <c r="D76" s="20"/>
      <c r="E76" s="23" t="s">
        <v>4757</v>
      </c>
      <c r="F76" s="20"/>
      <c r="G76" s="20"/>
      <c r="H76" s="20"/>
      <c r="I76" s="20"/>
      <c r="J76" s="20"/>
      <c r="K76" s="20"/>
      <c r="L76" s="20"/>
      <c r="M76" s="20" t="s">
        <v>1907</v>
      </c>
      <c r="N76" s="32">
        <v>85</v>
      </c>
      <c r="O76" s="32"/>
      <c r="P76" s="32"/>
      <c r="Q76" s="32"/>
      <c r="R76" s="21"/>
      <c r="S76" s="21"/>
      <c r="T76" s="21" t="s">
        <v>4680</v>
      </c>
      <c r="U76" s="19"/>
      <c r="V76" s="19"/>
    </row>
    <row r="77" spans="1:22" ht="14.4">
      <c r="A77" s="19">
        <v>138</v>
      </c>
      <c r="B77" s="31" t="s">
        <v>4677</v>
      </c>
      <c r="C77" s="20"/>
      <c r="D77" s="20"/>
      <c r="E77" s="23"/>
      <c r="F77" s="20"/>
      <c r="G77" s="20"/>
      <c r="H77" s="20"/>
      <c r="I77" s="20"/>
      <c r="J77" s="20"/>
      <c r="K77" s="20"/>
      <c r="L77" s="20"/>
      <c r="M77" s="20" t="s">
        <v>4758</v>
      </c>
      <c r="N77" s="32"/>
      <c r="O77" s="32"/>
      <c r="P77" s="32"/>
      <c r="Q77" s="32"/>
      <c r="R77" s="21"/>
      <c r="S77" s="21"/>
      <c r="T77" s="21" t="s">
        <v>4680</v>
      </c>
      <c r="U77" s="19"/>
      <c r="V77" s="19"/>
    </row>
    <row r="78" spans="1:22" ht="13.8" customHeight="1">
      <c r="A78" s="19">
        <v>139</v>
      </c>
      <c r="B78" s="31" t="s">
        <v>4677</v>
      </c>
      <c r="C78" s="20" t="s">
        <v>4759</v>
      </c>
      <c r="D78" s="20"/>
      <c r="E78" s="23" t="s">
        <v>4760</v>
      </c>
      <c r="F78" s="20"/>
      <c r="G78" s="20"/>
      <c r="H78" s="20"/>
      <c r="I78" s="20"/>
      <c r="J78" s="20"/>
      <c r="K78" s="20"/>
      <c r="L78" s="20"/>
      <c r="M78" s="20" t="s">
        <v>1907</v>
      </c>
      <c r="N78" s="32">
        <v>86</v>
      </c>
      <c r="O78" s="32"/>
      <c r="P78" s="32"/>
      <c r="Q78" s="32"/>
      <c r="R78" s="21"/>
      <c r="S78" s="21"/>
      <c r="T78" s="21" t="s">
        <v>4680</v>
      </c>
      <c r="U78" s="19"/>
      <c r="V78" s="19"/>
    </row>
    <row r="79" spans="1:22" ht="14.4">
      <c r="A79" s="19">
        <v>140</v>
      </c>
      <c r="B79" s="31" t="s">
        <v>4677</v>
      </c>
      <c r="C79" s="20"/>
      <c r="D79" s="20"/>
      <c r="E79" s="23"/>
      <c r="F79" s="23"/>
      <c r="G79" s="23"/>
      <c r="H79" s="23"/>
      <c r="I79" s="23"/>
      <c r="J79" s="23"/>
      <c r="K79" s="23"/>
      <c r="L79" s="23"/>
      <c r="M79" s="23" t="s">
        <v>4761</v>
      </c>
      <c r="N79" s="32"/>
      <c r="O79" s="32"/>
      <c r="P79" s="32"/>
      <c r="Q79" s="32"/>
      <c r="R79" s="21"/>
      <c r="S79" s="21"/>
      <c r="T79" s="21" t="s">
        <v>4680</v>
      </c>
      <c r="U79" s="19"/>
      <c r="V79" s="19"/>
    </row>
    <row r="80" spans="1:22" ht="13.8" customHeight="1">
      <c r="A80" s="19">
        <v>141</v>
      </c>
      <c r="B80" s="31" t="s">
        <v>4677</v>
      </c>
      <c r="C80" s="20" t="s">
        <v>4762</v>
      </c>
      <c r="D80" s="20"/>
      <c r="E80" s="23" t="s">
        <v>4763</v>
      </c>
      <c r="F80" s="20"/>
      <c r="G80" s="20"/>
      <c r="H80" s="20"/>
      <c r="I80" s="20"/>
      <c r="J80" s="20"/>
      <c r="K80" s="20"/>
      <c r="L80" s="20"/>
      <c r="M80" s="20" t="s">
        <v>1907</v>
      </c>
      <c r="N80" s="32">
        <v>87</v>
      </c>
      <c r="O80" s="32"/>
      <c r="P80" s="32"/>
      <c r="Q80" s="32"/>
      <c r="R80" s="21"/>
      <c r="S80" s="21"/>
      <c r="T80" s="21" t="s">
        <v>4680</v>
      </c>
      <c r="U80" s="19"/>
      <c r="V80" s="19"/>
    </row>
    <row r="81" spans="1:22" ht="14.4">
      <c r="A81" s="19">
        <v>142</v>
      </c>
      <c r="B81" s="31" t="s">
        <v>4677</v>
      </c>
      <c r="C81" s="20"/>
      <c r="D81" s="20"/>
      <c r="E81" s="23"/>
      <c r="F81" s="20"/>
      <c r="G81" s="20"/>
      <c r="H81" s="20"/>
      <c r="I81" s="20"/>
      <c r="J81" s="20"/>
      <c r="K81" s="20"/>
      <c r="L81" s="20"/>
      <c r="M81" s="20"/>
      <c r="N81" s="32"/>
      <c r="O81" s="32"/>
      <c r="P81" s="32"/>
      <c r="Q81" s="32"/>
      <c r="R81" s="21"/>
      <c r="S81" s="21"/>
      <c r="T81" s="21" t="s">
        <v>4680</v>
      </c>
      <c r="U81" s="19"/>
      <c r="V81" s="19"/>
    </row>
    <row r="82" spans="1:22" ht="13.8" customHeight="1">
      <c r="A82" s="19">
        <v>143</v>
      </c>
      <c r="B82" s="31" t="s">
        <v>4677</v>
      </c>
      <c r="C82" s="20" t="s">
        <v>4764</v>
      </c>
      <c r="D82" s="20"/>
      <c r="E82" s="23" t="s">
        <v>4765</v>
      </c>
      <c r="F82" s="20"/>
      <c r="G82" s="20"/>
      <c r="H82" s="20"/>
      <c r="I82" s="20"/>
      <c r="J82" s="20"/>
      <c r="K82" s="20"/>
      <c r="L82" s="20"/>
      <c r="M82" s="20" t="s">
        <v>1907</v>
      </c>
      <c r="N82" s="32">
        <v>88</v>
      </c>
      <c r="O82" s="32"/>
      <c r="P82" s="32"/>
      <c r="Q82" s="32"/>
      <c r="R82" s="21"/>
      <c r="S82" s="21"/>
      <c r="T82" s="21" t="s">
        <v>4680</v>
      </c>
      <c r="U82" s="19"/>
      <c r="V82" s="19"/>
    </row>
    <row r="83" spans="1:22" ht="14.4">
      <c r="A83" s="19">
        <v>144</v>
      </c>
      <c r="B83" s="31" t="s">
        <v>4677</v>
      </c>
      <c r="C83" s="20"/>
      <c r="D83" s="20"/>
      <c r="E83" s="23"/>
      <c r="F83" s="20"/>
      <c r="G83" s="20"/>
      <c r="H83" s="20"/>
      <c r="I83" s="20"/>
      <c r="J83" s="20"/>
      <c r="K83" s="20"/>
      <c r="L83" s="20"/>
      <c r="M83" s="20" t="s">
        <v>4766</v>
      </c>
      <c r="N83" s="32"/>
      <c r="O83" s="32"/>
      <c r="P83" s="32"/>
      <c r="Q83" s="32"/>
      <c r="R83" s="21"/>
      <c r="S83" s="21"/>
      <c r="T83" s="21" t="s">
        <v>4680</v>
      </c>
      <c r="U83" s="19"/>
      <c r="V83" s="19"/>
    </row>
    <row r="84" spans="1:22" ht="14.4">
      <c r="A84" s="19">
        <v>144</v>
      </c>
      <c r="B84" s="31" t="s">
        <v>4677</v>
      </c>
      <c r="C84" s="20"/>
      <c r="D84" s="20"/>
      <c r="E84" s="23"/>
      <c r="F84" s="20"/>
      <c r="G84" s="20"/>
      <c r="H84" s="20"/>
      <c r="I84" s="20"/>
      <c r="J84" s="20"/>
      <c r="K84" s="20"/>
      <c r="L84" s="20"/>
      <c r="M84" s="20" t="s">
        <v>4767</v>
      </c>
      <c r="N84" s="32"/>
      <c r="O84" s="32"/>
      <c r="P84" s="32"/>
      <c r="Q84" s="32"/>
      <c r="R84" s="21"/>
      <c r="S84" s="21"/>
      <c r="T84" s="21" t="s">
        <v>4680</v>
      </c>
      <c r="U84" s="19"/>
      <c r="V84" s="19"/>
    </row>
    <row r="85" spans="1:22" ht="13.8" customHeight="1">
      <c r="A85" s="19">
        <v>145</v>
      </c>
      <c r="B85" s="31" t="s">
        <v>4677</v>
      </c>
      <c r="C85" s="20" t="s">
        <v>4768</v>
      </c>
      <c r="D85" s="20"/>
      <c r="E85" s="23" t="s">
        <v>4769</v>
      </c>
      <c r="F85" s="20"/>
      <c r="G85" s="20"/>
      <c r="H85" s="20"/>
      <c r="I85" s="20"/>
      <c r="J85" s="20"/>
      <c r="K85" s="20"/>
      <c r="L85" s="20"/>
      <c r="M85" s="20" t="s">
        <v>1907</v>
      </c>
      <c r="N85" s="19">
        <v>89</v>
      </c>
      <c r="O85" s="19"/>
      <c r="P85" s="19"/>
      <c r="Q85" s="19"/>
      <c r="R85" s="21"/>
      <c r="S85" s="21"/>
      <c r="T85" s="21" t="s">
        <v>4680</v>
      </c>
      <c r="U85" s="19"/>
      <c r="V85" s="19"/>
    </row>
    <row r="86" spans="1:22" ht="14.4">
      <c r="A86" s="19">
        <v>150</v>
      </c>
      <c r="B86" s="31" t="s">
        <v>4677</v>
      </c>
      <c r="C86" s="20"/>
      <c r="D86" s="20"/>
      <c r="E86" s="23"/>
      <c r="F86" s="23"/>
      <c r="G86" s="23"/>
      <c r="H86" s="23"/>
      <c r="I86" s="23"/>
      <c r="J86" s="23"/>
      <c r="K86" s="23"/>
      <c r="L86" s="23"/>
      <c r="M86" s="23" t="s">
        <v>4770</v>
      </c>
      <c r="N86" s="21"/>
      <c r="O86" s="21"/>
      <c r="P86" s="21"/>
      <c r="Q86" s="21"/>
      <c r="R86" s="21"/>
      <c r="S86" s="21"/>
      <c r="T86" s="21" t="s">
        <v>4680</v>
      </c>
      <c r="U86" s="19"/>
      <c r="V86" s="19"/>
    </row>
    <row r="87" spans="1:22" ht="13.8" customHeight="1">
      <c r="A87" s="19">
        <v>177</v>
      </c>
      <c r="B87" s="31" t="s">
        <v>4677</v>
      </c>
      <c r="C87" s="20" t="s">
        <v>4771</v>
      </c>
      <c r="D87" s="20"/>
      <c r="E87" s="23" t="s">
        <v>4772</v>
      </c>
      <c r="F87" s="20"/>
      <c r="G87" s="20"/>
      <c r="H87" s="20"/>
      <c r="I87" s="20"/>
      <c r="J87" s="20"/>
      <c r="K87" s="20"/>
      <c r="L87" s="20"/>
      <c r="M87" s="20" t="s">
        <v>1907</v>
      </c>
      <c r="N87" s="21">
        <v>90</v>
      </c>
      <c r="O87" s="21"/>
      <c r="P87" s="21"/>
      <c r="Q87" s="21"/>
      <c r="R87" s="21"/>
      <c r="S87" s="21"/>
      <c r="T87" s="21"/>
      <c r="U87" s="19"/>
      <c r="V87" s="19"/>
    </row>
    <row r="88" spans="1:22" ht="14.4">
      <c r="A88" s="19">
        <v>178</v>
      </c>
      <c r="B88" s="31" t="s">
        <v>4677</v>
      </c>
      <c r="C88" s="20"/>
      <c r="D88" s="20"/>
      <c r="E88" s="23"/>
      <c r="F88" s="20"/>
      <c r="G88" s="20"/>
      <c r="H88" s="20"/>
      <c r="I88" s="20"/>
      <c r="J88" s="20"/>
      <c r="K88" s="20"/>
      <c r="L88" s="20"/>
      <c r="M88" s="20"/>
      <c r="N88" s="21"/>
      <c r="O88" s="21"/>
      <c r="P88" s="21"/>
      <c r="Q88" s="21"/>
      <c r="R88" s="21"/>
      <c r="S88" s="21"/>
      <c r="T88" s="21"/>
      <c r="U88" s="19"/>
      <c r="V88" s="19"/>
    </row>
  </sheetData>
  <phoneticPr fontId="1" type="noConversion"/>
  <conditionalFormatting sqref="O1">
    <cfRule type="cellIs" dxfId="1" priority="15" operator="equal">
      <formula>"화면"</formula>
    </cfRule>
  </conditionalFormatting>
  <conditionalFormatting sqref="P1">
    <cfRule type="cellIs" dxfId="0" priority="14" operator="equal">
      <formula>"화면"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1"/>
  <sheetViews>
    <sheetView workbookViewId="0">
      <selection activeCell="A19" sqref="A19"/>
    </sheetView>
  </sheetViews>
  <sheetFormatPr defaultRowHeight="17.399999999999999"/>
  <cols>
    <col min="1" max="1" width="8.796875" style="1"/>
  </cols>
  <sheetData>
    <row r="1" spans="1:1">
      <c r="A1" s="1" t="s">
        <v>38</v>
      </c>
    </row>
    <row r="2" spans="1:1">
      <c r="A2" s="1" t="s">
        <v>46</v>
      </c>
    </row>
    <row r="3" spans="1:1">
      <c r="A3" s="1" t="s">
        <v>33</v>
      </c>
    </row>
    <row r="4" spans="1:1">
      <c r="A4" s="1" t="s">
        <v>40</v>
      </c>
    </row>
    <row r="5" spans="1:1">
      <c r="A5" s="1" t="s">
        <v>34</v>
      </c>
    </row>
    <row r="6" spans="1:1">
      <c r="A6" s="1" t="s">
        <v>37</v>
      </c>
    </row>
    <row r="7" spans="1:1">
      <c r="A7" s="1" t="s">
        <v>43</v>
      </c>
    </row>
    <row r="8" spans="1:1">
      <c r="A8" s="1" t="s">
        <v>39</v>
      </c>
    </row>
    <row r="9" spans="1:1">
      <c r="A9" s="1" t="s">
        <v>23</v>
      </c>
    </row>
    <row r="10" spans="1:1">
      <c r="A10" s="1" t="s">
        <v>48</v>
      </c>
    </row>
    <row r="11" spans="1:1">
      <c r="A11" s="1" t="s">
        <v>45</v>
      </c>
    </row>
    <row r="12" spans="1:1">
      <c r="A12" s="1" t="s">
        <v>41</v>
      </c>
    </row>
    <row r="13" spans="1:1">
      <c r="A13" s="1" t="s">
        <v>44</v>
      </c>
    </row>
    <row r="14" spans="1:1">
      <c r="A14" s="1" t="s">
        <v>35</v>
      </c>
    </row>
    <row r="15" spans="1:1">
      <c r="A15" s="1" t="s">
        <v>31</v>
      </c>
    </row>
    <row r="16" spans="1:1">
      <c r="A16" s="1" t="s">
        <v>36</v>
      </c>
    </row>
    <row r="17" spans="1:1">
      <c r="A17" s="1" t="s">
        <v>47</v>
      </c>
    </row>
    <row r="18" spans="1:1">
      <c r="A18" s="1" t="s">
        <v>27</v>
      </c>
    </row>
    <row r="19" spans="1:1">
      <c r="A19" s="1" t="s">
        <v>28</v>
      </c>
    </row>
    <row r="20" spans="1:1">
      <c r="A20" s="1" t="s">
        <v>30</v>
      </c>
    </row>
    <row r="21" spans="1:1">
      <c r="A21" s="1" t="s">
        <v>42</v>
      </c>
    </row>
    <row r="22" spans="1:1">
      <c r="A22" s="1" t="s">
        <v>32</v>
      </c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</sheetData>
  <sortState ref="A1:A132">
    <sortCondition ref="A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일정</vt:lpstr>
      <vt:lpstr>프로그램목록</vt:lpstr>
      <vt:lpstr>new_dic</vt:lpstr>
      <vt:lpstr>화면정의서_정리목록</vt:lpstr>
      <vt:lpstr>프로그램목록_back</vt:lpstr>
      <vt:lpstr>포털및모바일-임신출산모바일앱</vt:lpstr>
      <vt:lpstr>프로그램목록_신고서</vt:lpstr>
      <vt:lpstr>Data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2020-10-06T11:31:49Z</dcterms:created>
  <dcterms:modified xsi:type="dcterms:W3CDTF">2021-12-30T15:36:49Z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32cb2f6e-894c-4b6f-9cdd-93ce7c434a85</vt:lpwstr>
  </property>
</Properties>
</file>