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work\"/>
    </mc:Choice>
  </mc:AlternateContent>
  <xr:revisionPtr revIDLastSave="0" documentId="13_ncr:1_{A218CB8C-FC4B-4352-B529-A1B6E0264035}" xr6:coauthVersionLast="45" xr6:coauthVersionMax="45" xr10:uidLastSave="{00000000-0000-0000-0000-000000000000}"/>
  <bookViews>
    <workbookView xWindow="-120" yWindow="-120" windowWidth="29040" windowHeight="15840" tabRatio="612" xr2:uid="{AB2F2F1F-2ECC-43EE-9D50-D924D159D5EE}"/>
  </bookViews>
  <sheets>
    <sheet name="기능정의" sheetId="1" r:id="rId1"/>
    <sheet name="참고.컬럼" sheetId="4" r:id="rId2"/>
    <sheet name="화면캡처" sheetId="2" r:id="rId3"/>
    <sheet name="카멜" sheetId="5" r:id="rId4"/>
    <sheet name="data  structure" sheetId="3" r:id="rId5"/>
  </sheets>
  <functionGroups builtInGroupCount="19"/>
  <definedNames>
    <definedName name="_xlnm._FilterDatabase" localSheetId="0" hidden="1">기능정의!$B$2:$AG$2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3" i="5" l="1"/>
  <c r="B52" i="5"/>
  <c r="B51" i="5"/>
  <c r="B50" i="5"/>
  <c r="B49" i="5"/>
  <c r="B48" i="5"/>
  <c r="B42" i="5"/>
  <c r="B41" i="5"/>
  <c r="B40" i="5"/>
  <c r="B39" i="5"/>
  <c r="B38" i="5"/>
  <c r="B43" i="5"/>
  <c r="B45" i="5"/>
  <c r="B44" i="5"/>
  <c r="B32" i="5"/>
  <c r="B31" i="5"/>
  <c r="B30" i="5"/>
  <c r="B36" i="5"/>
  <c r="B35" i="5"/>
  <c r="B34" i="5"/>
  <c r="B33" i="5"/>
  <c r="AA7" i="1"/>
  <c r="AC68" i="1"/>
  <c r="AB62" i="1"/>
  <c r="AA64" i="1"/>
  <c r="AB67" i="1"/>
  <c r="AA61" i="1"/>
  <c r="U65" i="1"/>
  <c r="U63" i="1"/>
  <c r="AA59" i="1"/>
  <c r="O7" i="1"/>
  <c r="U51" i="1"/>
  <c r="U50" i="1"/>
  <c r="S65" i="1"/>
  <c r="S57" i="1"/>
  <c r="S68" i="1"/>
  <c r="U68" i="1"/>
  <c r="S55" i="1"/>
  <c r="S58" i="1"/>
  <c r="AB60" i="1"/>
  <c r="U69" i="1"/>
  <c r="AB7" i="1"/>
  <c r="AB5" i="1"/>
  <c r="U61" i="1"/>
  <c r="AB57" i="1"/>
  <c r="U58" i="1"/>
  <c r="U67" i="1"/>
  <c r="AB55" i="1"/>
  <c r="AA68" i="1"/>
  <c r="AB64" i="1"/>
  <c r="AA62" i="1"/>
  <c r="AC66" i="1"/>
  <c r="AB50" i="1"/>
  <c r="AB61" i="1"/>
  <c r="AA63" i="1"/>
  <c r="AA66" i="1"/>
  <c r="U66" i="1"/>
  <c r="AA55" i="1"/>
  <c r="U55" i="1"/>
  <c r="AA50" i="1"/>
  <c r="S50" i="1"/>
  <c r="O54" i="1"/>
  <c r="S63" i="1"/>
  <c r="AA65" i="1"/>
  <c r="AA60" i="1"/>
  <c r="AB69" i="1"/>
  <c r="AA67" i="1"/>
  <c r="S66" i="1"/>
  <c r="U7" i="1"/>
  <c r="AB63" i="1"/>
  <c r="U60" i="1"/>
  <c r="AB59" i="1"/>
  <c r="AA58" i="1"/>
  <c r="S69" i="1"/>
  <c r="S67" i="1"/>
  <c r="AB66" i="1"/>
  <c r="AB58" i="1"/>
  <c r="S53" i="1"/>
  <c r="AA57" i="1"/>
  <c r="AA51" i="1"/>
  <c r="U62" i="1"/>
  <c r="AA53" i="1"/>
  <c r="S60" i="1"/>
  <c r="S64" i="1"/>
  <c r="U57" i="1"/>
  <c r="AB51" i="1"/>
  <c r="U53" i="1"/>
  <c r="AB65" i="1"/>
  <c r="S62" i="1"/>
  <c r="AB53" i="1"/>
  <c r="S51" i="1"/>
  <c r="S59" i="1"/>
  <c r="U59" i="1"/>
  <c r="U64" i="1"/>
  <c r="AA69" i="1"/>
  <c r="AB68" i="1"/>
  <c r="S7" i="1"/>
  <c r="S61" i="1"/>
  <c r="AB20" i="1"/>
  <c r="S46" i="1"/>
  <c r="AB6" i="1"/>
  <c r="AA46" i="1"/>
  <c r="AB21" i="1"/>
  <c r="AB34" i="1"/>
  <c r="AB12" i="1"/>
  <c r="U46" i="1"/>
  <c r="AB30" i="1"/>
  <c r="AB44" i="1"/>
  <c r="AB32" i="1"/>
  <c r="AB33" i="1"/>
  <c r="AB27" i="1"/>
  <c r="AC45" i="1"/>
  <c r="AB38" i="1"/>
  <c r="O46" i="1"/>
  <c r="AB31" i="1"/>
  <c r="AD68" i="1" l="1"/>
  <c r="AD53" i="1"/>
  <c r="AD65" i="1"/>
  <c r="AD51" i="1"/>
  <c r="AD58" i="1"/>
  <c r="AD66" i="1"/>
  <c r="AD59" i="1"/>
  <c r="AD63" i="1"/>
  <c r="AD69" i="1"/>
  <c r="AD61" i="1"/>
  <c r="AD50" i="1"/>
  <c r="AD64" i="1"/>
  <c r="AD55" i="1"/>
  <c r="AD57" i="1"/>
  <c r="AD7" i="1"/>
  <c r="T7" i="1"/>
  <c r="AD60" i="1"/>
  <c r="AD67" i="1"/>
  <c r="AD62" i="1"/>
  <c r="T46" i="1"/>
  <c r="AD46" i="1"/>
  <c r="B25" i="5"/>
  <c r="B24" i="5"/>
  <c r="B23" i="5"/>
  <c r="B28" i="5"/>
  <c r="B26" i="5"/>
  <c r="B27" i="5"/>
  <c r="B19" i="5"/>
  <c r="B18" i="5"/>
  <c r="B16" i="5"/>
  <c r="B21" i="5"/>
  <c r="B20" i="5"/>
  <c r="B17" i="5"/>
  <c r="AE60" i="1"/>
  <c r="S44" i="1"/>
  <c r="AE64" i="1"/>
  <c r="AE61" i="1"/>
  <c r="AE59" i="1"/>
  <c r="AE7" i="1"/>
  <c r="O45" i="1"/>
  <c r="AE69" i="1"/>
  <c r="AE55" i="1"/>
  <c r="AE46" i="1"/>
  <c r="AE65" i="1"/>
  <c r="AE53" i="1"/>
  <c r="AE66" i="1"/>
  <c r="T12" i="1"/>
  <c r="S45" i="1"/>
  <c r="AA44" i="1"/>
  <c r="O50" i="1"/>
  <c r="AE68" i="1"/>
  <c r="O44" i="1"/>
  <c r="AE50" i="1"/>
  <c r="AE57" i="1"/>
  <c r="AE63" i="1"/>
  <c r="AE62" i="1"/>
  <c r="AE51" i="1"/>
  <c r="AB45" i="1"/>
  <c r="AE67" i="1"/>
  <c r="AE58" i="1"/>
  <c r="U44" i="1"/>
  <c r="AD44" i="1" l="1"/>
  <c r="T44" i="1"/>
  <c r="T50" i="1"/>
  <c r="T45" i="1"/>
  <c r="AE44" i="1"/>
  <c r="S31" i="1"/>
  <c r="S32" i="1"/>
  <c r="AA32" i="1"/>
  <c r="U32" i="1"/>
  <c r="U31" i="1"/>
  <c r="O31" i="1"/>
  <c r="AA31" i="1"/>
  <c r="O32" i="1"/>
  <c r="T31" i="1" l="1"/>
  <c r="T32" i="1"/>
  <c r="AD32" i="1"/>
  <c r="AD31" i="1"/>
  <c r="B5" i="5"/>
  <c r="B4" i="5"/>
  <c r="B3" i="5"/>
  <c r="B2" i="5"/>
  <c r="B1" i="5"/>
  <c r="B13" i="5"/>
  <c r="B12" i="5"/>
  <c r="B11" i="5"/>
  <c r="B10" i="5"/>
  <c r="B9" i="5"/>
  <c r="B8" i="5"/>
  <c r="B7" i="5"/>
  <c r="K69" i="1"/>
  <c r="K63" i="1"/>
  <c r="K66" i="1"/>
  <c r="O12" i="1"/>
  <c r="J30" i="1"/>
  <c r="J9" i="1"/>
  <c r="L59" i="1"/>
  <c r="L67" i="1"/>
  <c r="L23" i="1"/>
  <c r="L6" i="1"/>
  <c r="K22" i="1"/>
  <c r="S30" i="1"/>
  <c r="K5" i="1"/>
  <c r="O61" i="1"/>
  <c r="K58" i="1"/>
  <c r="O57" i="1"/>
  <c r="AA30" i="1"/>
  <c r="O6" i="1"/>
  <c r="J68" i="1"/>
  <c r="AA27" i="1"/>
  <c r="O30" i="1"/>
  <c r="J10" i="1"/>
  <c r="U21" i="1"/>
  <c r="J6" i="1"/>
  <c r="K45" i="1"/>
  <c r="J51" i="1"/>
  <c r="K67" i="1"/>
  <c r="L69" i="1"/>
  <c r="U30" i="1"/>
  <c r="O38" i="1"/>
  <c r="H8" i="1"/>
  <c r="AD12" i="1"/>
  <c r="K59" i="1"/>
  <c r="K27" i="1"/>
  <c r="J63" i="1"/>
  <c r="U27" i="1"/>
  <c r="L65" i="1"/>
  <c r="L38" i="1"/>
  <c r="J53" i="1"/>
  <c r="O64" i="1"/>
  <c r="U34" i="1"/>
  <c r="J7" i="1"/>
  <c r="K60" i="1"/>
  <c r="U38" i="1"/>
  <c r="L24" i="1"/>
  <c r="J62" i="1"/>
  <c r="J58" i="1"/>
  <c r="K62" i="1"/>
  <c r="J45" i="1"/>
  <c r="O27" i="1"/>
  <c r="AA45" i="1"/>
  <c r="AA21" i="1"/>
  <c r="J67" i="1"/>
  <c r="J52" i="1"/>
  <c r="K7" i="1"/>
  <c r="O62" i="1"/>
  <c r="L26" i="1"/>
  <c r="K44" i="1"/>
  <c r="S12" i="1"/>
  <c r="O63" i="1"/>
  <c r="J44" i="1"/>
  <c r="K19" i="1"/>
  <c r="U5" i="1"/>
  <c r="K26" i="1"/>
  <c r="K52" i="1"/>
  <c r="S27" i="1"/>
  <c r="K6" i="1"/>
  <c r="L45" i="1"/>
  <c r="J38" i="1"/>
  <c r="O60" i="1"/>
  <c r="K30" i="1"/>
  <c r="J27" i="1"/>
  <c r="K20" i="1"/>
  <c r="L10" i="1"/>
  <c r="J61" i="1"/>
  <c r="J66" i="1"/>
  <c r="AE32" i="1"/>
  <c r="J59" i="1"/>
  <c r="J65" i="1"/>
  <c r="J16" i="1"/>
  <c r="AA6" i="1"/>
  <c r="L50" i="1"/>
  <c r="L34" i="1"/>
  <c r="J26" i="1"/>
  <c r="J49" i="1"/>
  <c r="K68" i="1"/>
  <c r="S5" i="1"/>
  <c r="O58" i="1"/>
  <c r="K10" i="1"/>
  <c r="AA34" i="1"/>
  <c r="L63" i="1"/>
  <c r="L61" i="1"/>
  <c r="L62" i="1"/>
  <c r="J33" i="1"/>
  <c r="J69" i="1"/>
  <c r="L25" i="1"/>
  <c r="L68" i="1"/>
  <c r="K23" i="1"/>
  <c r="L27" i="1"/>
  <c r="L66" i="1"/>
  <c r="K24" i="1"/>
  <c r="K9" i="1"/>
  <c r="H37" i="1"/>
  <c r="O68" i="1"/>
  <c r="J37" i="1"/>
  <c r="J24" i="1"/>
  <c r="U26" i="1"/>
  <c r="L44" i="1"/>
  <c r="S6" i="1"/>
  <c r="L4" i="1"/>
  <c r="J23" i="1"/>
  <c r="O67" i="1"/>
  <c r="O26" i="1"/>
  <c r="S38" i="1"/>
  <c r="S34" i="1"/>
  <c r="AA5" i="1"/>
  <c r="H36" i="1"/>
  <c r="L7" i="1"/>
  <c r="J60" i="1"/>
  <c r="L19" i="1"/>
  <c r="O55" i="1"/>
  <c r="J19" i="1"/>
  <c r="K34" i="1"/>
  <c r="U12" i="1"/>
  <c r="O5" i="1"/>
  <c r="L52" i="1"/>
  <c r="AA38" i="1"/>
  <c r="S21" i="1"/>
  <c r="K4" i="1"/>
  <c r="H3" i="1"/>
  <c r="J50" i="1"/>
  <c r="L64" i="1"/>
  <c r="J34" i="1"/>
  <c r="O53" i="1"/>
  <c r="O66" i="1"/>
  <c r="J5" i="1"/>
  <c r="S33" i="1"/>
  <c r="K38" i="1"/>
  <c r="K53" i="1"/>
  <c r="J22" i="1"/>
  <c r="O59" i="1"/>
  <c r="K29" i="1"/>
  <c r="J20" i="1"/>
  <c r="H29" i="1"/>
  <c r="O51" i="1"/>
  <c r="L20" i="1"/>
  <c r="H28" i="1"/>
  <c r="L60" i="1"/>
  <c r="U33" i="1"/>
  <c r="L30" i="1"/>
  <c r="J25" i="1"/>
  <c r="L51" i="1"/>
  <c r="J64" i="1"/>
  <c r="U6" i="1"/>
  <c r="L53" i="1"/>
  <c r="AA12" i="1"/>
  <c r="O69" i="1"/>
  <c r="K33" i="1"/>
  <c r="L22" i="1"/>
  <c r="U20" i="1"/>
  <c r="K16" i="1"/>
  <c r="AE31" i="1"/>
  <c r="K37" i="1"/>
  <c r="S20" i="1"/>
  <c r="L16" i="1"/>
  <c r="K25" i="1"/>
  <c r="K65" i="1"/>
  <c r="J4" i="1"/>
  <c r="L5" i="1"/>
  <c r="K49" i="1"/>
  <c r="H9" i="1"/>
  <c r="O65" i="1"/>
  <c r="L58" i="1"/>
  <c r="H48" i="1"/>
  <c r="O33" i="1"/>
  <c r="K51" i="1"/>
  <c r="AA20" i="1"/>
  <c r="U45" i="1"/>
  <c r="K61" i="1"/>
  <c r="H49" i="1"/>
  <c r="J29" i="1"/>
  <c r="K64" i="1"/>
  <c r="AA33" i="1"/>
  <c r="O20" i="1"/>
  <c r="O34" i="1"/>
  <c r="L33" i="1"/>
  <c r="K50" i="1"/>
  <c r="AD5" i="1" l="1"/>
  <c r="T5" i="1"/>
  <c r="T6" i="1"/>
  <c r="AD6" i="1"/>
  <c r="AD30" i="1"/>
  <c r="T65" i="1"/>
  <c r="AD34" i="1"/>
  <c r="T58" i="1"/>
  <c r="AD27" i="1"/>
  <c r="T66" i="1"/>
  <c r="AD38" i="1"/>
  <c r="AD33" i="1"/>
  <c r="T20" i="1"/>
  <c r="T38" i="1"/>
  <c r="T59" i="1"/>
  <c r="AD20" i="1"/>
  <c r="T53" i="1"/>
  <c r="T55" i="1"/>
  <c r="AD21" i="1"/>
  <c r="T33" i="1"/>
  <c r="T67" i="1"/>
  <c r="T68" i="1"/>
  <c r="T21" i="1"/>
  <c r="T62" i="1"/>
  <c r="T61" i="1"/>
  <c r="T27" i="1"/>
  <c r="T69" i="1"/>
  <c r="T60" i="1"/>
  <c r="T57" i="1"/>
  <c r="T63" i="1"/>
  <c r="T30" i="1"/>
  <c r="T64" i="1"/>
  <c r="T51" i="1"/>
  <c r="AD45" i="1"/>
  <c r="T34" i="1"/>
  <c r="AE27" i="1"/>
  <c r="AE12" i="1"/>
  <c r="AE34" i="1"/>
  <c r="AE38" i="1"/>
  <c r="AE33" i="1"/>
  <c r="AE30" i="1"/>
  <c r="AE21" i="1"/>
  <c r="AE20" i="1"/>
  <c r="AE45" i="1"/>
  <c r="AE6" i="1"/>
  <c r="AE5" i="1"/>
</calcChain>
</file>

<file path=xl/sharedStrings.xml><?xml version="1.0" encoding="utf-8"?>
<sst xmlns="http://schemas.openxmlformats.org/spreadsheetml/2006/main" count="873" uniqueCount="375">
  <si>
    <t>Nodes</t>
    <phoneticPr fontId="1" type="noConversion"/>
  </si>
  <si>
    <t>Dashboard</t>
    <phoneticPr fontId="1" type="noConversion"/>
  </si>
  <si>
    <t>Main</t>
    <phoneticPr fontId="1" type="noConversion"/>
  </si>
  <si>
    <t xml:space="preserve">Cluster       </t>
  </si>
  <si>
    <t xml:space="preserve">Nodes         </t>
  </si>
  <si>
    <t xml:space="preserve">Segment       </t>
  </si>
  <si>
    <t xml:space="preserve">Batch Job     </t>
  </si>
  <si>
    <t xml:space="preserve">Alert         </t>
  </si>
  <si>
    <t xml:space="preserve">Error         </t>
  </si>
  <si>
    <t xml:space="preserve">Session       </t>
  </si>
  <si>
    <t xml:space="preserve">Lock          </t>
  </si>
  <si>
    <t>Resource Group</t>
  </si>
  <si>
    <t>비고</t>
    <phoneticPr fontId="1" type="noConversion"/>
  </si>
  <si>
    <t>{</t>
    <phoneticPr fontId="1" type="noConversion"/>
  </si>
  <si>
    <t>}</t>
    <phoneticPr fontId="1" type="noConversion"/>
  </si>
  <si>
    <t>data:</t>
    <phoneticPr fontId="1" type="noConversion"/>
  </si>
  <si>
    <t xml:space="preserve">value1 : </t>
    <phoneticPr fontId="1" type="noConversion"/>
  </si>
  <si>
    <t>""</t>
    <phoneticPr fontId="1" type="noConversion"/>
  </si>
  <si>
    <t xml:space="preserve">value2 : </t>
    <phoneticPr fontId="1" type="noConversion"/>
  </si>
  <si>
    <t>,</t>
    <phoneticPr fontId="1" type="noConversion"/>
  </si>
  <si>
    <t>items:</t>
    <phoneticPr fontId="1" type="noConversion"/>
  </si>
  <si>
    <t>[</t>
    <phoneticPr fontId="1" type="noConversion"/>
  </si>
  <si>
    <t>]</t>
    <phoneticPr fontId="1" type="noConversion"/>
  </si>
  <si>
    <t>{ .. }</t>
    <phoneticPr fontId="1" type="noConversion"/>
  </si>
  <si>
    <t>info</t>
  </si>
  <si>
    <t>info</t>
    <phoneticPr fontId="1" type="noConversion"/>
  </si>
  <si>
    <t>vvvvItems:</t>
    <phoneticPr fontId="1" type="noConversion"/>
  </si>
  <si>
    <t>aaaaItems:</t>
    <phoneticPr fontId="1" type="noConversion"/>
  </si>
  <si>
    <t>N/A</t>
    <phoneticPr fontId="1" type="noConversion"/>
  </si>
  <si>
    <t>rackId</t>
  </si>
  <si>
    <t>rackId</t>
    <phoneticPr fontId="1" type="noConversion"/>
  </si>
  <si>
    <t>기능1</t>
    <phoneticPr fontId="1" type="noConversion"/>
  </si>
  <si>
    <t>기능2</t>
    <phoneticPr fontId="1" type="noConversion"/>
  </si>
  <si>
    <t>Resource</t>
    <phoneticPr fontId="1" type="noConversion"/>
  </si>
  <si>
    <t>save value</t>
    <phoneticPr fontId="1" type="noConversion"/>
  </si>
  <si>
    <t>Search Condition</t>
    <phoneticPr fontId="1" type="noConversion"/>
  </si>
  <si>
    <t>"Go"이후 화면 미정의</t>
    <phoneticPr fontId="1" type="noConversion"/>
  </si>
  <si>
    <t>금일 00~현재까지만 조회</t>
    <phoneticPr fontId="1" type="noConversion"/>
  </si>
  <si>
    <t>Log</t>
    <phoneticPr fontId="1" type="noConversion"/>
  </si>
  <si>
    <t>Notice</t>
    <phoneticPr fontId="1" type="noConversion"/>
  </si>
  <si>
    <t>Warning</t>
    <phoneticPr fontId="1" type="noConversion"/>
  </si>
  <si>
    <t>Alert</t>
    <phoneticPr fontId="1" type="noConversion"/>
  </si>
  <si>
    <t>Error</t>
    <phoneticPr fontId="1" type="noConversion"/>
  </si>
  <si>
    <t>Critical</t>
    <phoneticPr fontId="1" type="noConversion"/>
  </si>
  <si>
    <t>Emergency</t>
    <phoneticPr fontId="1" type="noConversion"/>
  </si>
  <si>
    <t>30일이전 ~ 오늘 : 페이징</t>
    <phoneticPr fontId="1" type="noConversion"/>
  </si>
  <si>
    <t>http://localhost:48080/greenplum/query/query-x-view</t>
    <phoneticPr fontId="1" type="noConversion"/>
  </si>
  <si>
    <t>좌측메뉴</t>
    <phoneticPr fontId="1" type="noConversion"/>
  </si>
  <si>
    <t>-</t>
    <phoneticPr fontId="1" type="noConversion"/>
  </si>
  <si>
    <t>nodeId</t>
  </si>
  <si>
    <t>nodeId</t>
    <phoneticPr fontId="1" type="noConversion"/>
  </si>
  <si>
    <t>nodeName, osHostName, osIpAddr</t>
    <phoneticPr fontId="1" type="noConversion"/>
  </si>
  <si>
    <t>Memory</t>
    <phoneticPr fontId="1" type="noConversion"/>
  </si>
  <si>
    <t>Disk</t>
    <phoneticPr fontId="1" type="noConversion"/>
  </si>
  <si>
    <t>Network</t>
    <phoneticPr fontId="1" type="noConversion"/>
  </si>
  <si>
    <t>Cpu</t>
    <phoneticPr fontId="1" type="noConversion"/>
  </si>
  <si>
    <t>Process</t>
    <phoneticPr fontId="1" type="noConversion"/>
  </si>
  <si>
    <t>node_id</t>
  </si>
  <si>
    <t>rack_id</t>
  </si>
  <si>
    <t>node_name</t>
  </si>
  <si>
    <t>node_type_cd</t>
  </si>
  <si>
    <t>os_host_name</t>
  </si>
  <si>
    <t>os_ip_addr</t>
  </si>
  <si>
    <t>os_mac_addr</t>
  </si>
  <si>
    <t>os_version_name</t>
  </si>
  <si>
    <t>os_kernal_info</t>
  </si>
  <si>
    <t>os_uuid</t>
  </si>
  <si>
    <t>chassis_model</t>
  </si>
  <si>
    <t>chassis_lock</t>
  </si>
  <si>
    <t>chassis_service_tag</t>
  </si>
  <si>
    <t>memory_installed_capacity_size</t>
  </si>
  <si>
    <t>memory_installed_capacity_size_type</t>
  </si>
  <si>
    <t>cpu_total_count</t>
  </si>
  <si>
    <t>cpu_core_total_count</t>
  </si>
  <si>
    <t>cpu_health</t>
  </si>
  <si>
    <t>memory_health</t>
  </si>
  <si>
    <t>java_version</t>
  </si>
  <si>
    <t>java_vm_vendor</t>
  </si>
  <si>
    <t>java_vm_name</t>
  </si>
  <si>
    <t>display_order_no</t>
  </si>
  <si>
    <t>comment</t>
  </si>
  <si>
    <t>delete_yn</t>
  </si>
  <si>
    <t>process_count</t>
  </si>
  <si>
    <t>zombie_count</t>
  </si>
  <si>
    <t>alive_yn</t>
  </si>
  <si>
    <t>virtual_machine_yn</t>
  </si>
  <si>
    <t>virtual_name</t>
  </si>
  <si>
    <t>omreport_yn</t>
  </si>
  <si>
    <t>app_version</t>
  </si>
  <si>
    <t>app_setup_date</t>
  </si>
  <si>
    <t>app_process_id</t>
  </si>
  <si>
    <t>app_status</t>
  </si>
  <si>
    <t>app_console_public_ip</t>
  </si>
  <si>
    <t>create_user_id</t>
  </si>
  <si>
    <t>create_date</t>
  </si>
  <si>
    <t>update_user_id</t>
  </si>
  <si>
    <t>update_date</t>
  </si>
  <si>
    <t>nodeName</t>
  </si>
  <si>
    <t>nodeTypeCd</t>
  </si>
  <si>
    <t>osHostName</t>
  </si>
  <si>
    <t>osIpAddr</t>
  </si>
  <si>
    <t>osMacAddr</t>
  </si>
  <si>
    <t>osVersionName</t>
  </si>
  <si>
    <t>osKernalInfo</t>
  </si>
  <si>
    <t>osUuid</t>
  </si>
  <si>
    <t>chassisModel</t>
  </si>
  <si>
    <t>chassisLock</t>
  </si>
  <si>
    <t>chassisServiceTag</t>
  </si>
  <si>
    <t>memoryInstalledCapacitySize</t>
  </si>
  <si>
    <t>memoryInstalledCapacitySizeType</t>
  </si>
  <si>
    <t>cpuTotalCount</t>
  </si>
  <si>
    <t>cpuCoreTotalCount</t>
  </si>
  <si>
    <t>cpuHealth</t>
  </si>
  <si>
    <t>memoryHealth</t>
  </si>
  <si>
    <t>javaVersion</t>
  </si>
  <si>
    <t>javaVmVendor</t>
  </si>
  <si>
    <t>javaVmName</t>
  </si>
  <si>
    <t>displayOrderNo</t>
  </si>
  <si>
    <t>deleteYn</t>
  </si>
  <si>
    <t>processCount</t>
  </si>
  <si>
    <t>zombieCount</t>
  </si>
  <si>
    <t>aliveYn</t>
  </si>
  <si>
    <t>virtualMachineYn</t>
  </si>
  <si>
    <t>virtualName</t>
  </si>
  <si>
    <t>omreportYn</t>
  </si>
  <si>
    <t>appVersion</t>
  </si>
  <si>
    <t>appSetupDate</t>
  </si>
  <si>
    <t>appProcessId</t>
  </si>
  <si>
    <t>appStatus</t>
  </si>
  <si>
    <t>appConsolePublicIp</t>
  </si>
  <si>
    <t>createUserId</t>
  </si>
  <si>
    <t>createDate</t>
  </si>
  <si>
    <t>updateUserId</t>
  </si>
  <si>
    <t>updateDate</t>
  </si>
  <si>
    <t>upTimeDay, upTime</t>
    <phoneticPr fontId="1" type="noConversion"/>
  </si>
  <si>
    <t>loadAvg1Percent, loadAvg5Percent, loadAvg15Percent</t>
    <phoneticPr fontId="1" type="noConversion"/>
  </si>
  <si>
    <t>processCount, zombieCount</t>
    <phoneticPr fontId="1" type="noConversion"/>
  </si>
  <si>
    <t>errorCount</t>
    <phoneticPr fontId="1" type="noConversion"/>
  </si>
  <si>
    <t>fileSystemPath, readPerSec, writePerSec, busyPercent, 
readChartItem ,writeChartItem, busyChartItem</t>
    <phoneticPr fontId="1" type="noConversion"/>
  </si>
  <si>
    <t>receivePerSec, transPerSec, receiveChartItem, transChartItem</t>
    <phoneticPr fontId="1" type="noConversion"/>
  </si>
  <si>
    <t>pid, ppid, userName, cpuPercent, memoryPercent, command</t>
    <phoneticPr fontId="1" type="noConversion"/>
  </si>
  <si>
    <t>fileSystemPath, fileSystemType, totalSize, useSize, freeSize, usePercent</t>
    <phoneticPr fontId="1" type="noConversion"/>
  </si>
  <si>
    <t>osHostName, osVersionName, chassisModel, cpuProcessorBrand, memoryInstalledCapacitySize, osIpAddr, chassisServiceTag</t>
    <phoneticPr fontId="1" type="noConversion"/>
  </si>
  <si>
    <t>Common</t>
    <phoneticPr fontId="1" type="noConversion"/>
  </si>
  <si>
    <t>systemTime</t>
    <phoneticPr fontId="1" type="noConversion"/>
  </si>
  <si>
    <t>Check Time에서  보여줄때 이용</t>
    <phoneticPr fontId="1" type="noConversion"/>
  </si>
  <si>
    <t>fromYmd, toYmd, 
rackId, nodeId</t>
    <phoneticPr fontId="1" type="noConversion"/>
  </si>
  <si>
    <t>processZombieId, resourceDate, nodeId, userName, pid, ppid, cpuPercent, memoryPercent, command, aliveYn, killYn, killDate</t>
    <phoneticPr fontId="1" type="noConversion"/>
  </si>
  <si>
    <t>paging</t>
    <phoneticPr fontId="1" type="noConversion"/>
  </si>
  <si>
    <t xml:space="preserve">정의 </t>
    <phoneticPr fontId="1" type="noConversion"/>
  </si>
  <si>
    <t>이원영차장</t>
    <phoneticPr fontId="1" type="noConversion"/>
  </si>
  <si>
    <t>기능3</t>
    <phoneticPr fontId="1" type="noConversion"/>
  </si>
  <si>
    <t>Zombie</t>
    <phoneticPr fontId="1" type="noConversion"/>
  </si>
  <si>
    <t>kill</t>
    <phoneticPr fontId="1" type="noConversion"/>
  </si>
  <si>
    <t>no, logId, logDate, logLevel, command, message</t>
    <phoneticPr fontId="1" type="noConversion"/>
  </si>
  <si>
    <t>fromYmd, toYmd, nodeId</t>
    <phoneticPr fontId="1" type="noConversion"/>
  </si>
  <si>
    <r>
      <rPr>
        <b/>
        <sz val="8"/>
        <color theme="1"/>
        <rFont val="맑은 고딕"/>
        <family val="3"/>
        <charset val="129"/>
        <scheme val="minor"/>
      </rPr>
      <t>fileSystemPath</t>
    </r>
    <r>
      <rPr>
        <sz val="8"/>
        <color theme="1"/>
        <rFont val="맑은 고딕"/>
        <family val="3"/>
        <charset val="129"/>
        <scheme val="minor"/>
      </rPr>
      <t xml:space="preserve">, </t>
    </r>
    <r>
      <rPr>
        <b/>
        <sz val="8"/>
        <color theme="1"/>
        <rFont val="맑은 고딕"/>
        <family val="3"/>
        <charset val="129"/>
        <scheme val="minor"/>
      </rPr>
      <t>usePercent</t>
    </r>
    <phoneticPr fontId="1" type="noConversion"/>
  </si>
  <si>
    <t>array</t>
    <phoneticPr fontId="1" type="noConversion"/>
  </si>
  <si>
    <t>up, down, sync, notSync
2. Segment Info(Down &amp; Not Sync )
dbid, contentId, preferredRole(P/M), alive, sync</t>
    <phoneticPr fontId="1" type="noConversion"/>
  </si>
  <si>
    <t>Total : 등록디잡, Down : 24시간 잡,
Run : 현재 돌고있는것.
Fail : 실패한 잡</t>
    <phoneticPr fontId="1" type="noConversion"/>
  </si>
  <si>
    <t>total, done, run, fail
2. Run &amp; Fail Job Info
jobId, jobName, status</t>
    <phoneticPr fontId="1" type="noConversion"/>
  </si>
  <si>
    <t>errorCount
2. Error Type
logLevel, count</t>
  </si>
  <si>
    <t>alertCount
2. Alert Type
ruleName, conditionVal, sendCount</t>
    <phoneticPr fontId="1" type="noConversion"/>
  </si>
  <si>
    <t>array == items</t>
    <phoneticPr fontId="1" type="noConversion"/>
  </si>
  <si>
    <t>rackId, nodeId, cpuPercent, memoryPercent, useDataVolume, totalDataVolume, errorCount</t>
    <phoneticPr fontId="1" type="noConversion"/>
  </si>
  <si>
    <t>fromYmd, toYmd, 
rackId, nodeId,
 logLevel, message</t>
    <phoneticPr fontId="1" type="noConversion"/>
  </si>
  <si>
    <t>processZombieId, 
resourceDate,
nodeId</t>
    <phoneticPr fontId="1" type="noConversion"/>
  </si>
  <si>
    <t>rackId, rackName</t>
    <phoneticPr fontId="1" type="noConversion"/>
  </si>
  <si>
    <t>array == items : rack정보 조회, 한줄만나옴 : Condition컬럼에, displayValue : rackName , id : rackId</t>
    <phoneticPr fontId="1" type="noConversion"/>
  </si>
  <si>
    <t>jui</t>
    <phoneticPr fontId="1" type="noConversion"/>
  </si>
  <si>
    <t>billboard</t>
    <phoneticPr fontId="1" type="noConversion"/>
  </si>
  <si>
    <t>30일이전 ~ 오늘
 array    참고 : Cluster - CPU Chart 돋보기 팝업 눌러서 조회된 차트</t>
    <phoneticPr fontId="1" type="noConversion"/>
  </si>
  <si>
    <t>no, logId, logDate, nodeId, nodeName, logLevel, command, message</t>
    <phoneticPr fontId="1" type="noConversion"/>
  </si>
  <si>
    <t>consoleUrl</t>
    <phoneticPr fontId="1" type="noConversion"/>
  </si>
  <si>
    <t>array == items
Error 사용안함.</t>
    <phoneticPr fontId="1" type="noConversion"/>
  </si>
  <si>
    <t>array == items
참고 : Cluster - CPU Chart 돋보기 팝업 눌러서 조회된 차트</t>
    <phoneticPr fontId="1" type="noConversion"/>
  </si>
  <si>
    <t>array == items
paging</t>
    <phoneticPr fontId="1" type="noConversion"/>
  </si>
  <si>
    <t>successYn, message</t>
    <phoneticPr fontId="1" type="noConversion"/>
  </si>
  <si>
    <t>successYn == 'N'이면 에러 message 출력되는구조로 공통을 사용함.</t>
    <phoneticPr fontId="1" type="noConversion"/>
  </si>
  <si>
    <t>alertCount</t>
    <phoneticPr fontId="1" type="noConversion"/>
  </si>
  <si>
    <t>lock : {count, db, user, total, chartItem  : 1,2,3, (CSV)}</t>
    <phoneticPr fontId="1" type="noConversion"/>
  </si>
  <si>
    <t>resourceGroup: {count, items : { [groupName, percent1, percent2 ] }, chartItem  : 1,2,3, (CSV)}</t>
    <phoneticPr fontId="1" type="noConversion"/>
  </si>
  <si>
    <t>noticeCount</t>
    <phoneticPr fontId="1" type="noConversion"/>
  </si>
  <si>
    <t>waringCount</t>
    <phoneticPr fontId="1" type="noConversion"/>
  </si>
  <si>
    <t>criticalCount</t>
    <phoneticPr fontId="1" type="noConversion"/>
  </si>
  <si>
    <t>emergencyCount</t>
    <phoneticPr fontId="1" type="noConversion"/>
  </si>
  <si>
    <t>Cluster</t>
    <phoneticPr fontId="1" type="noConversion"/>
  </si>
  <si>
    <t>Segment</t>
    <phoneticPr fontId="1" type="noConversion"/>
  </si>
  <si>
    <t>Alert</t>
    <phoneticPr fontId="1" type="noConversion"/>
  </si>
  <si>
    <t>Error</t>
    <phoneticPr fontId="1" type="noConversion"/>
  </si>
  <si>
    <t>RealTimeResource</t>
  </si>
  <si>
    <t>RealTimeResource</t>
    <phoneticPr fontId="1" type="noConversion"/>
  </si>
  <si>
    <t>ConfigSetting</t>
    <phoneticPr fontId="1" type="noConversion"/>
  </si>
  <si>
    <t>NodeInfo</t>
    <phoneticPr fontId="1" type="noConversion"/>
  </si>
  <si>
    <t>UpTime</t>
    <phoneticPr fontId="1" type="noConversion"/>
  </si>
  <si>
    <t>LoadAvg</t>
    <phoneticPr fontId="1" type="noConversion"/>
  </si>
  <si>
    <t>TopProcess10</t>
    <phoneticPr fontId="1" type="noConversion"/>
  </si>
  <si>
    <t>DiskUsage</t>
    <phoneticPr fontId="1" type="noConversion"/>
  </si>
  <si>
    <t>FileExract</t>
    <phoneticPr fontId="1" type="noConversion"/>
  </si>
  <si>
    <t>nodeAliveCount, nodeFailCount
2. Greenplum port Connect : nodeName, portNo, status
3. Greenplum process : nodeName, process, pid, status</t>
    <phoneticPr fontId="1" type="noConversion"/>
  </si>
  <si>
    <t>SearchCondition</t>
    <phoneticPr fontId="1" type="noConversion"/>
  </si>
  <si>
    <r>
      <t>값없으면</t>
    </r>
    <r>
      <rPr>
        <sz val="8"/>
        <color theme="1"/>
        <rFont val="맑은 고딕"/>
        <family val="3"/>
        <charset val="129"/>
        <scheme val="minor"/>
      </rPr>
      <t xml:space="preserve">, 기존처럼 툴팁으로 안내,  </t>
    </r>
    <r>
      <rPr>
        <sz val="8"/>
        <color theme="1"/>
        <rFont val="맑은 고딕"/>
        <family val="2"/>
        <charset val="129"/>
        <scheme val="minor"/>
      </rPr>
      <t xml:space="preserve">아이피 포트 로 window.open("_blank", </t>
    </r>
    <r>
      <rPr>
        <b/>
        <sz val="8"/>
        <color theme="1"/>
        <rFont val="맑은 고딕"/>
        <family val="3"/>
        <charset val="129"/>
        <scheme val="minor"/>
      </rPr>
      <t>consoleUrl</t>
    </r>
    <r>
      <rPr>
        <sz val="8"/>
        <color theme="1"/>
        <rFont val="맑은 고딕"/>
        <family val="2"/>
        <charset val="129"/>
        <scheme val="minor"/>
      </rPr>
      <t>)</t>
    </r>
    <phoneticPr fontId="1" type="noConversion"/>
  </si>
  <si>
    <r>
      <t>Load Ave --&gt; Load Av</t>
    </r>
    <r>
      <rPr>
        <b/>
        <sz val="8"/>
        <color theme="1"/>
        <rFont val="Segoe UI"/>
        <family val="2"/>
      </rPr>
      <t xml:space="preserve">g </t>
    </r>
    <r>
      <rPr>
        <b/>
        <sz val="8"/>
        <color theme="1"/>
        <rFont val="돋움"/>
        <family val="3"/>
        <charset val="129"/>
      </rPr>
      <t>변경하자</t>
    </r>
    <r>
      <rPr>
        <b/>
        <sz val="8"/>
        <color theme="1"/>
        <rFont val="Segoe UI"/>
        <family val="2"/>
      </rPr>
      <t>.</t>
    </r>
    <phoneticPr fontId="1" type="noConversion"/>
  </si>
  <si>
    <t>그룹</t>
    <phoneticPr fontId="1" type="noConversion"/>
  </si>
  <si>
    <t>구분</t>
    <phoneticPr fontId="1" type="noConversion"/>
  </si>
  <si>
    <t>In</t>
    <phoneticPr fontId="1" type="noConversion"/>
  </si>
  <si>
    <t>Out</t>
    <phoneticPr fontId="1" type="noConversion"/>
  </si>
  <si>
    <t>rackId, nodeId</t>
    <phoneticPr fontId="1" type="noConversion"/>
  </si>
  <si>
    <t>Batch_Job</t>
    <phoneticPr fontId="1" type="noConversion"/>
  </si>
  <si>
    <t>URL Constant</t>
    <phoneticPr fontId="1" type="noConversion"/>
  </si>
  <si>
    <t>URL</t>
    <phoneticPr fontId="1" type="noConversion"/>
  </si>
  <si>
    <t>Monitoring</t>
    <phoneticPr fontId="1" type="noConversion"/>
  </si>
  <si>
    <t>DbMonitoring</t>
    <phoneticPr fontId="1" type="noConversion"/>
  </si>
  <si>
    <t>ErrorOfNodes</t>
    <phoneticPr fontId="1" type="noConversion"/>
  </si>
  <si>
    <t>OsLogs</t>
    <phoneticPr fontId="1" type="noConversion"/>
  </si>
  <si>
    <t>Menu</t>
    <phoneticPr fontId="1" type="noConversion"/>
  </si>
  <si>
    <t>Console</t>
    <phoneticPr fontId="1" type="noConversion"/>
  </si>
  <si>
    <t>java / jsp</t>
    <phoneticPr fontId="1" type="noConversion"/>
  </si>
  <si>
    <t>usagePercent, chartItem, userPercent(used), sysPercent, iowaitPercent, idlePercent</t>
    <phoneticPr fontId="1" type="noConversion"/>
  </si>
  <si>
    <t>memCalcUsedPercent, chartItem, memTotalSize, memCalcUsedSize, memCalcFreeSize, swapFreeSize</t>
    <phoneticPr fontId="1" type="noConversion"/>
  </si>
  <si>
    <t>Main</t>
  </si>
  <si>
    <t>Rack_Info</t>
    <phoneticPr fontId="1" type="noConversion"/>
  </si>
  <si>
    <t>Node_Info</t>
    <phoneticPr fontId="1" type="noConversion"/>
  </si>
  <si>
    <t>nodeId, nodeName</t>
    <phoneticPr fontId="1" type="noConversion"/>
  </si>
  <si>
    <t>errorLevelId, errorLevelName</t>
    <phoneticPr fontId="1" type="noConversion"/>
  </si>
  <si>
    <t>NodeResourceStatus</t>
    <phoneticPr fontId="1" type="noConversion"/>
  </si>
  <si>
    <t>Query_Xview</t>
    <phoneticPr fontId="1" type="noConversion"/>
  </si>
  <si>
    <t>SystemTime</t>
    <phoneticPr fontId="1" type="noConversion"/>
  </si>
  <si>
    <t>clusterOk</t>
  </si>
  <si>
    <t>segmentOk, segmentCount</t>
    <phoneticPr fontId="1" type="noConversion"/>
  </si>
  <si>
    <t>batchJobCount</t>
  </si>
  <si>
    <t>alertCount</t>
  </si>
  <si>
    <t>errorCount</t>
  </si>
  <si>
    <t>nodesOk, nodesCount</t>
    <phoneticPr fontId="1" type="noConversion"/>
  </si>
  <si>
    <t>대시보드 메인</t>
    <phoneticPr fontId="1" type="noConversion"/>
  </si>
  <si>
    <t>대시보드 리소스</t>
    <phoneticPr fontId="1" type="noConversion"/>
  </si>
  <si>
    <t>대시보드 로그</t>
    <phoneticPr fontId="1" type="noConversion"/>
  </si>
  <si>
    <t>대시보드 메인 모티터링</t>
    <phoneticPr fontId="1" type="noConversion"/>
  </si>
  <si>
    <t>대시보드 메인 디비 모니터링</t>
    <phoneticPr fontId="1" type="noConversion"/>
  </si>
  <si>
    <t>대시보드 메인 클러스터 정보</t>
    <phoneticPr fontId="1" type="noConversion"/>
  </si>
  <si>
    <t>대시보드 메인 노드 정보</t>
    <phoneticPr fontId="1" type="noConversion"/>
  </si>
  <si>
    <t>대시보드 메인 세그먼트 정보</t>
    <phoneticPr fontId="1" type="noConversion"/>
  </si>
  <si>
    <t>대시보드 메인 배치잡 정보</t>
    <phoneticPr fontId="1" type="noConversion"/>
  </si>
  <si>
    <t>대시보드 메인 얼럿 정보</t>
    <phoneticPr fontId="1" type="noConversion"/>
  </si>
  <si>
    <t>대시보드 메인 에러 정보</t>
    <phoneticPr fontId="1" type="noConversion"/>
  </si>
  <si>
    <t>대시보드 메인 뷕 엑스 뷰</t>
    <phoneticPr fontId="1" type="noConversion"/>
  </si>
  <si>
    <t>대시보드 메인 노드 리소스 상태</t>
    <phoneticPr fontId="1" type="noConversion"/>
  </si>
  <si>
    <t>대시보드 리소스 실시간 리소스</t>
    <phoneticPr fontId="1" type="noConversion"/>
  </si>
  <si>
    <t>대시보드 리소스 실시간 리소스 셋팅 설정</t>
    <phoneticPr fontId="1" type="noConversion"/>
  </si>
  <si>
    <t>대시보드 리소스 실시간 리소스 셋팅 저장</t>
    <phoneticPr fontId="1" type="noConversion"/>
  </si>
  <si>
    <t>대시보드 로그 모니터링</t>
    <phoneticPr fontId="1" type="noConversion"/>
  </si>
  <si>
    <t>대시보드 로그 노드 에러</t>
    <phoneticPr fontId="1" type="noConversion"/>
  </si>
  <si>
    <t>대시보드 로그 오에스 에러</t>
    <phoneticPr fontId="1" type="noConversion"/>
  </si>
  <si>
    <t>노드 메인</t>
    <phoneticPr fontId="1" type="noConversion"/>
  </si>
  <si>
    <t>노드 메인 메뉴</t>
    <phoneticPr fontId="1" type="noConversion"/>
  </si>
  <si>
    <t>노드 메인 콘솔</t>
    <phoneticPr fontId="1" type="noConversion"/>
  </si>
  <si>
    <t>노드 메인 파일 추출</t>
    <phoneticPr fontId="1" type="noConversion"/>
  </si>
  <si>
    <t>노드 메인 모니터링</t>
    <phoneticPr fontId="1" type="noConversion"/>
  </si>
  <si>
    <t>노드 메인 씨피유</t>
    <phoneticPr fontId="1" type="noConversion"/>
  </si>
  <si>
    <t>노드 메인 메모리</t>
    <phoneticPr fontId="1" type="noConversion"/>
  </si>
  <si>
    <t>노드 메인 디스크</t>
    <phoneticPr fontId="1" type="noConversion"/>
  </si>
  <si>
    <t>노드 메인 네트워크</t>
    <phoneticPr fontId="1" type="noConversion"/>
  </si>
  <si>
    <t>노드 메인 탑프로세스10</t>
    <phoneticPr fontId="1" type="noConversion"/>
  </si>
  <si>
    <t>노드 메인 디스크사용량</t>
    <phoneticPr fontId="1" type="noConversion"/>
  </si>
  <si>
    <t>Node</t>
    <phoneticPr fontId="1" type="noConversion"/>
  </si>
  <si>
    <t>노드 메인 로드평균 정보</t>
    <phoneticPr fontId="1" type="noConversion"/>
  </si>
  <si>
    <t>노드 메인 노드 정보</t>
    <phoneticPr fontId="1" type="noConversion"/>
  </si>
  <si>
    <t>노드 메인 좀비 프로세스 정보</t>
    <phoneticPr fontId="1" type="noConversion"/>
  </si>
  <si>
    <t>노드 메인 좀비 프로세스 킬</t>
    <phoneticPr fontId="1" type="noConversion"/>
  </si>
  <si>
    <t>노드 메인 좀비 디스크사용 정보</t>
    <phoneticPr fontId="1" type="noConversion"/>
  </si>
  <si>
    <t>N/A</t>
  </si>
  <si>
    <t>공통 시스템 시간</t>
    <phoneticPr fontId="1" type="noConversion"/>
  </si>
  <si>
    <t>공통 랙 정보</t>
    <phoneticPr fontId="1" type="noConversion"/>
  </si>
  <si>
    <t>공통 노드 정보</t>
    <phoneticPr fontId="1" type="noConversion"/>
  </si>
  <si>
    <t>공통 에러레벨 정보</t>
    <phoneticPr fontId="1" type="noConversion"/>
  </si>
  <si>
    <t>대시보드 메인 Controller</t>
    <phoneticPr fontId="1" type="noConversion"/>
  </si>
  <si>
    <t>대시보드 리소스 Controller</t>
    <phoneticPr fontId="1" type="noConversion"/>
  </si>
  <si>
    <t>대시보드 로그 Controller</t>
    <phoneticPr fontId="1" type="noConversion"/>
  </si>
  <si>
    <t>노드 메인 Controller</t>
    <phoneticPr fontId="1" type="noConversion"/>
  </si>
  <si>
    <t>공통 Controller</t>
    <phoneticPr fontId="1" type="noConversion"/>
  </si>
  <si>
    <t>cpu, memory, diskBusy</t>
    <phoneticPr fontId="1" type="noConversion"/>
  </si>
  <si>
    <t>Info</t>
    <phoneticPr fontId="1" type="noConversion"/>
  </si>
  <si>
    <t>Save</t>
    <phoneticPr fontId="1" type="noConversion"/>
  </si>
  <si>
    <t>작업자</t>
    <phoneticPr fontId="1" type="noConversion"/>
  </si>
  <si>
    <t>김지훈</t>
    <phoneticPr fontId="1" type="noConversion"/>
  </si>
  <si>
    <t xml:space="preserve">ALL
Notice
Warning
Alert
ERROR
Critical
Emergency
</t>
    <phoneticPr fontId="1" type="noConversion"/>
  </si>
  <si>
    <t>이원영</t>
    <phoneticPr fontId="1" type="noConversion"/>
  </si>
  <si>
    <t>nodeAliveCount, nodeFailCount</t>
    <phoneticPr fontId="1" type="noConversion"/>
  </si>
  <si>
    <t>2. Node Info : nodeName, osName cpuName, memoryName</t>
    <phoneticPr fontId="1" type="noConversion"/>
  </si>
  <si>
    <t>Model</t>
    <phoneticPr fontId="1" type="noConversion"/>
  </si>
  <si>
    <t>Repository</t>
    <phoneticPr fontId="1" type="noConversion"/>
  </si>
  <si>
    <t>select</t>
  </si>
  <si>
    <t>select</t>
    <phoneticPr fontId="1" type="noConversion"/>
  </si>
  <si>
    <t>select</t>
    <phoneticPr fontId="1" type="noConversion"/>
  </si>
  <si>
    <t>List</t>
    <phoneticPr fontId="1" type="noConversion"/>
  </si>
  <si>
    <t>R-Type</t>
    <phoneticPr fontId="1" type="noConversion"/>
  </si>
  <si>
    <t>Service method</t>
    <phoneticPr fontId="1" type="noConversion"/>
  </si>
  <si>
    <t>R-기능</t>
    <phoneticPr fontId="1" type="noConversion"/>
  </si>
  <si>
    <t>Node_alive</t>
    <phoneticPr fontId="1" type="noConversion"/>
  </si>
  <si>
    <t>Node_info</t>
    <phoneticPr fontId="1" type="noConversion"/>
  </si>
  <si>
    <t>R-Method</t>
    <phoneticPr fontId="1" type="noConversion"/>
  </si>
  <si>
    <t>R-List</t>
    <phoneticPr fontId="1" type="noConversion"/>
  </si>
  <si>
    <t>NodeResourceStatus</t>
  </si>
  <si>
    <t>update</t>
    <phoneticPr fontId="1" type="noConversion"/>
  </si>
  <si>
    <t>RealTimeResource_ConfigSetting</t>
    <phoneticPr fontId="1" type="noConversion"/>
  </si>
  <si>
    <t xml:space="preserve">{items:
    [
        {
            rackName:"Rack-01",subItem:[
                {nodeName:"sdw1",nodeId:"1"},
                {nodeName:"sdw2",nodeId:"2"}
                    .
                    .
            ] 
        },
        {
            rackName:"Rack-02",subItem:[
                {nodeName"sdw",nodeId"sdw2"},
                {nodeName"sdw",nodeId"sdw2"}
                    .
                    .
            ] 
        }
    ]
}
</t>
    <phoneticPr fontId="1" type="noConversion"/>
  </si>
  <si>
    <t>Monitoring_nodeInfo</t>
    <phoneticPr fontId="1" type="noConversion"/>
  </si>
  <si>
    <t>Monitoring_errorCount</t>
    <phoneticPr fontId="1" type="noConversion"/>
  </si>
  <si>
    <t>Process_Zombie_info</t>
    <phoneticPr fontId="1" type="noConversion"/>
  </si>
  <si>
    <t>Process_Zombie_kill</t>
    <phoneticPr fontId="1" type="noConversion"/>
  </si>
  <si>
    <t>LoadAvg_info</t>
    <phoneticPr fontId="1" type="noConversion"/>
  </si>
  <si>
    <t>Error_info</t>
    <phoneticPr fontId="1" type="noConversion"/>
  </si>
  <si>
    <t>DiskUsage_info</t>
    <phoneticPr fontId="1" type="noConversion"/>
  </si>
  <si>
    <t>rack</t>
    <phoneticPr fontId="1" type="noConversion"/>
  </si>
  <si>
    <t>tbl</t>
    <phoneticPr fontId="1" type="noConversion"/>
  </si>
  <si>
    <t>column</t>
    <phoneticPr fontId="1" type="noConversion"/>
  </si>
  <si>
    <t>rack_id</t>
    <phoneticPr fontId="1" type="noConversion"/>
  </si>
  <si>
    <t>node</t>
    <phoneticPr fontId="1" type="noConversion"/>
  </si>
  <si>
    <t>node_id</t>
    <phoneticPr fontId="1" type="noConversion"/>
  </si>
  <si>
    <t>R-sql</t>
    <phoneticPr fontId="1" type="noConversion"/>
  </si>
  <si>
    <t>oslog_message</t>
  </si>
  <si>
    <t>oslog_message</t>
    <phoneticPr fontId="1" type="noConversion"/>
  </si>
  <si>
    <t>log_level</t>
  </si>
  <si>
    <t>log_level</t>
    <phoneticPr fontId="1" type="noConversion"/>
  </si>
  <si>
    <t>Monitoring_count</t>
    <phoneticPr fontId="1" type="noConversion"/>
  </si>
  <si>
    <t>Service</t>
    <phoneticPr fontId="1" type="noConversion"/>
  </si>
  <si>
    <t>S-Type</t>
    <phoneticPr fontId="1" type="noConversion"/>
  </si>
  <si>
    <t>get</t>
  </si>
  <si>
    <t>get</t>
    <phoneticPr fontId="1" type="noConversion"/>
  </si>
  <si>
    <t>S-Method</t>
    <phoneticPr fontId="1" type="noConversion"/>
  </si>
  <si>
    <t>S-List</t>
    <phoneticPr fontId="1" type="noConversion"/>
  </si>
  <si>
    <t>S-기능</t>
    <phoneticPr fontId="1" type="noConversion"/>
  </si>
  <si>
    <t>mem_calc_used_percent</t>
  </si>
  <si>
    <t>usage_percent</t>
  </si>
  <si>
    <t>total_size</t>
  </si>
  <si>
    <t>use_size</t>
  </si>
  <si>
    <t>nodeId, nodeName, cpuPercent, cupChartItem, cpuCount, cpuCoreCount, memoryPercent, memoryChartItem, memoryUsageSize, memoryTotalSize</t>
    <phoneticPr fontId="1" type="noConversion"/>
  </si>
  <si>
    <t xml:space="preserve">fileSystemPath, read, write, busyPercent </t>
    <phoneticPr fontId="1" type="noConversion"/>
  </si>
  <si>
    <t>interfaceName, networkIo, receivePacket, transPacket</t>
    <phoneticPr fontId="1" type="noConversion"/>
  </si>
  <si>
    <t>RealTimeResourceForDisk</t>
    <phoneticPr fontId="1" type="noConversion"/>
  </si>
  <si>
    <t>RealTimeResourceForNetwork</t>
    <phoneticPr fontId="1" type="noConversion"/>
  </si>
  <si>
    <t>RealTimeResource_ConfigSetting_Modify</t>
    <phoneticPr fontId="1" type="noConversion"/>
  </si>
  <si>
    <t>RealTimeResource_ConfigSetting_Select</t>
    <phoneticPr fontId="1" type="noConversion"/>
  </si>
  <si>
    <t>save</t>
    <phoneticPr fontId="1" type="noConversion"/>
  </si>
  <si>
    <t>device_name</t>
  </si>
  <si>
    <t>read_per_sec</t>
  </si>
  <si>
    <t>write_per_sec</t>
  </si>
  <si>
    <t>util_percent</t>
  </si>
  <si>
    <t>interface_name</t>
  </si>
  <si>
    <t>receive_packet_per_sec</t>
  </si>
  <si>
    <t>trans_packet_per_sec</t>
  </si>
  <si>
    <t>error_count</t>
  </si>
  <si>
    <t>Search-Model</t>
    <phoneticPr fontId="1" type="noConversion"/>
  </si>
  <si>
    <t>log_date</t>
  </si>
  <si>
    <t>command</t>
  </si>
  <si>
    <t>message</t>
  </si>
  <si>
    <t>rowid</t>
  </si>
  <si>
    <t>node_error_count</t>
  </si>
  <si>
    <t>notice_count</t>
  </si>
  <si>
    <t>warning_count</t>
  </si>
  <si>
    <t>alert_count</t>
  </si>
  <si>
    <t>critical_count</t>
  </si>
  <si>
    <t>emergency_count</t>
  </si>
  <si>
    <t>OsLogsCount</t>
    <phoneticPr fontId="1" type="noConversion"/>
  </si>
  <si>
    <t>int</t>
  </si>
  <si>
    <t>LogLevel_Info</t>
    <phoneticPr fontId="1" type="noConversion"/>
  </si>
  <si>
    <t>Log_Level_Info</t>
    <phoneticPr fontId="1" type="noConversion"/>
  </si>
  <si>
    <t>List</t>
  </si>
  <si>
    <t>resource_load.boot_days</t>
    <phoneticPr fontId="1" type="noConversion"/>
  </si>
  <si>
    <t xml:space="preserve">  select /* Web.ProcessRepository.selectProcessZombiePaginationList */
         a.node_id
       , a.process_zombie_id
       , (select node_name from node b where a.node_id = b.node_id) as node_name
       , a.user_name
       , a.pid
       , a.ppid
       , a.cpu_percent
       , a.memory_percent
       , a.command
       , a.kill_yn
       , a.kill_date
       , a.alive_yn
       , a.create_date
    from process_zombie a
         where a.resource_date between str_to_date(concat(#{fromYmd}, ' 00:00:00'), '%Y-%m-%d %H:%i:%s')
                                   and str_to_date(concat(#{toYmd}, ' 23:59:59'), '%Y-%m-%d %H:%i:%s')
   &lt;if test="searchNodeId != null and searchNodeId != ''"&gt;
    and a.node_id = #{searchNodeId}
   &lt;/if&gt;
   &lt;if test="searchUserName != null and searchUserName != ''"&gt;
    and a.user_name like concat('%', #{searchUserName}, '%')
   &lt;/if&gt;
   &lt;if test="searchPid != null and searchPid != ''"&gt;
    and a.pid like concat('%', #{searchPid}, '%')
   &lt;/if&gt;
   &lt;if test="searchPpid != null and searchPpid != ''"&gt;
    and a.ppid like concat('%', #{searchPpid}, '%')
   &lt;/if&gt;
   &lt;if test="searchCommand != null and searchCommand != ''"&gt;
    and a.command like concat('%', #{searchCommand}, '%')
   &lt;/if&gt;
   &lt;if test="searchAliveYn != null and searchAliveYn != ''"&gt;
    and a.alive_yn = #{searchAliveYn}
   &lt;/if&gt;
   order by a.resource_date desc
   limit #{startIndex}, #{endIndex}</t>
    <phoneticPr fontId="1" type="noConversion"/>
  </si>
  <si>
    <t xml:space="preserve">resource_load.load_avg_1_percent
load_avg_5_percent
load_avg_15_percent
</t>
  </si>
  <si>
    <t>3개 표시</t>
    <phoneticPr fontId="1" type="noConversion"/>
  </si>
  <si>
    <t>resource_process_top</t>
  </si>
  <si>
    <t>Monitoring_load</t>
    <phoneticPr fontId="1" type="noConversion"/>
  </si>
  <si>
    <t>노드 메인 에러 정보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</si>
</sst>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trike/>
      <sz val="9"/>
      <color theme="1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  <font>
      <strike/>
      <sz val="8"/>
      <color theme="1"/>
      <name val="맑은 고딕"/>
      <family val="3"/>
      <charset val="129"/>
      <scheme val="minor"/>
    </font>
    <font>
      <b/>
      <sz val="8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9"/>
      <color theme="1"/>
      <name val="Segoe UI"/>
      <family val="2"/>
    </font>
    <font>
      <b/>
      <sz val="9"/>
      <color theme="1"/>
      <name val="맑은 고딕"/>
      <family val="2"/>
      <charset val="129"/>
      <scheme val="minor"/>
    </font>
    <font>
      <sz val="8"/>
      <color theme="1"/>
      <name val="맑은 고딕"/>
      <family val="2"/>
      <charset val="129"/>
      <scheme val="minor"/>
    </font>
    <font>
      <sz val="8"/>
      <color theme="1"/>
      <name val="Segoe UI"/>
      <family val="2"/>
    </font>
    <font>
      <strike/>
      <sz val="8"/>
      <color theme="1"/>
      <name val="맑은 고딕"/>
      <family val="2"/>
      <charset val="129"/>
      <scheme val="minor"/>
    </font>
    <font>
      <b/>
      <sz val="8"/>
      <color theme="1"/>
      <name val="Segoe UI"/>
      <family val="2"/>
    </font>
    <font>
      <b/>
      <sz val="8"/>
      <color theme="1"/>
      <name val="맑은 고딕"/>
      <family val="2"/>
      <charset val="129"/>
      <scheme val="minor"/>
    </font>
    <font>
      <b/>
      <sz val="8"/>
      <color theme="1"/>
      <name val="돋움"/>
      <family val="3"/>
      <charset val="129"/>
    </font>
    <font>
      <b/>
      <sz val="11"/>
      <color theme="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224">
    <xf numFmtId="0" fontId="0" fillId="0" borderId="0" xfId="0">
      <alignment vertical="center"/>
    </xf>
    <xf numFmtId="0" fontId="7" fillId="0" borderId="0" xfId="0" applyFont="1">
      <alignment vertical="center"/>
    </xf>
    <xf numFmtId="0" fontId="7" fillId="0" borderId="1" xfId="0" applyFont="1" applyBorder="1" applyAlignment="1">
      <alignment horizontal="center" vertical="top"/>
    </xf>
    <xf numFmtId="0" fontId="7" fillId="0" borderId="0" xfId="0" applyFont="1" applyAlignment="1">
      <alignment vertical="top"/>
    </xf>
    <xf numFmtId="0" fontId="3" fillId="0" borderId="0" xfId="0" applyFont="1" applyAlignment="1">
      <alignment vertical="top"/>
    </xf>
    <xf numFmtId="0" fontId="8" fillId="0" borderId="0" xfId="0" applyFont="1" applyAlignment="1">
      <alignment horizontal="center" vertical="center"/>
    </xf>
    <xf numFmtId="0" fontId="8" fillId="0" borderId="0" xfId="0" applyFont="1">
      <alignment vertical="center"/>
    </xf>
    <xf numFmtId="0" fontId="7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left" vertical="top" wrapText="1"/>
    </xf>
    <xf numFmtId="0" fontId="6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7" fillId="0" borderId="0" xfId="0" applyFont="1" applyAlignment="1">
      <alignment vertical="center"/>
    </xf>
    <xf numFmtId="0" fontId="10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left" vertical="center"/>
    </xf>
    <xf numFmtId="0" fontId="8" fillId="0" borderId="1" xfId="0" applyFont="1" applyBorder="1" applyAlignment="1">
      <alignment horizontal="center" vertical="top"/>
    </xf>
    <xf numFmtId="0" fontId="8" fillId="0" borderId="0" xfId="0" applyFont="1" applyAlignment="1">
      <alignment vertical="center"/>
    </xf>
    <xf numFmtId="0" fontId="11" fillId="0" borderId="1" xfId="0" applyFont="1" applyBorder="1" applyAlignment="1">
      <alignment horizontal="center" vertical="top"/>
    </xf>
    <xf numFmtId="0" fontId="13" fillId="0" borderId="1" xfId="0" applyFont="1" applyBorder="1" applyAlignment="1">
      <alignment horizontal="center" vertical="top"/>
    </xf>
    <xf numFmtId="0" fontId="12" fillId="0" borderId="1" xfId="0" applyFont="1" applyBorder="1" applyAlignment="1">
      <alignment horizontal="center" vertical="top"/>
    </xf>
    <xf numFmtId="0" fontId="14" fillId="0" borderId="1" xfId="0" applyFont="1" applyBorder="1" applyAlignment="1">
      <alignment horizontal="center" vertical="top"/>
    </xf>
    <xf numFmtId="0" fontId="15" fillId="0" borderId="1" xfId="0" applyFont="1" applyBorder="1" applyAlignment="1">
      <alignment horizontal="center" vertical="top"/>
    </xf>
    <xf numFmtId="0" fontId="12" fillId="0" borderId="1" xfId="0" applyFont="1" applyBorder="1" applyAlignment="1">
      <alignment horizontal="center" vertical="center"/>
    </xf>
    <xf numFmtId="0" fontId="11" fillId="0" borderId="0" xfId="0" applyFont="1" applyAlignment="1">
      <alignment vertical="top"/>
    </xf>
    <xf numFmtId="0" fontId="11" fillId="0" borderId="0" xfId="0" applyFont="1" applyAlignment="1">
      <alignment vertical="top" wrapText="1"/>
    </xf>
    <xf numFmtId="0" fontId="5" fillId="0" borderId="0" xfId="0" applyFont="1" applyAlignment="1">
      <alignment vertical="top"/>
    </xf>
    <xf numFmtId="0" fontId="12" fillId="0" borderId="1" xfId="0" applyFont="1" applyBorder="1" applyAlignment="1">
      <alignment vertical="top"/>
    </xf>
    <xf numFmtId="0" fontId="11" fillId="0" borderId="1" xfId="0" applyFont="1" applyBorder="1" applyAlignment="1">
      <alignment vertical="top" wrapText="1"/>
    </xf>
    <xf numFmtId="0" fontId="11" fillId="0" borderId="1" xfId="0" applyFont="1" applyBorder="1" applyAlignment="1">
      <alignment horizontal="center" vertical="top" wrapText="1"/>
    </xf>
    <xf numFmtId="0" fontId="6" fillId="0" borderId="1" xfId="0" applyFont="1" applyBorder="1" applyAlignment="1">
      <alignment horizontal="center" vertical="top"/>
    </xf>
    <xf numFmtId="0" fontId="8" fillId="0" borderId="1" xfId="0" applyFont="1" applyBorder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8" fillId="0" borderId="1" xfId="0" applyFont="1" applyBorder="1" applyAlignment="1">
      <alignment horizontal="left" vertical="center" wrapText="1"/>
    </xf>
    <xf numFmtId="0" fontId="10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top" wrapText="1"/>
    </xf>
    <xf numFmtId="0" fontId="9" fillId="0" borderId="1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top"/>
    </xf>
    <xf numFmtId="0" fontId="17" fillId="2" borderId="1" xfId="0" applyFont="1" applyFill="1" applyBorder="1" applyAlignment="1">
      <alignment horizontal="center" vertical="center"/>
    </xf>
    <xf numFmtId="0" fontId="18" fillId="0" borderId="0" xfId="0" applyFont="1">
      <alignment vertical="center"/>
    </xf>
    <xf numFmtId="0" fontId="11" fillId="0" borderId="2" xfId="0" applyFont="1" applyBorder="1" applyAlignment="1">
      <alignment horizontal="center" vertical="top"/>
    </xf>
    <xf numFmtId="0" fontId="6" fillId="0" borderId="2" xfId="0" applyFont="1" applyBorder="1" applyAlignment="1">
      <alignment horizontal="center" vertical="top"/>
    </xf>
    <xf numFmtId="0" fontId="4" fillId="0" borderId="2" xfId="0" applyFont="1" applyBorder="1" applyAlignment="1">
      <alignment horizontal="center" vertical="top"/>
    </xf>
    <xf numFmtId="0" fontId="4" fillId="0" borderId="1" xfId="0" applyFont="1" applyBorder="1" applyAlignment="1">
      <alignment horizontal="center" vertical="top" wrapText="1"/>
    </xf>
    <xf numFmtId="0" fontId="4" fillId="0" borderId="2" xfId="0" applyFont="1" applyBorder="1" applyAlignment="1">
      <alignment horizontal="left" vertical="top" wrapText="1"/>
    </xf>
    <xf numFmtId="0" fontId="8" fillId="0" borderId="1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4" fillId="0" borderId="2" xfId="0" applyFont="1" applyBorder="1" applyAlignment="1">
      <alignment horizontal="center" vertical="top" wrapText="1"/>
    </xf>
    <xf numFmtId="0" fontId="17" fillId="2" borderId="1" xfId="0" applyFont="1" applyFill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top" wrapText="1"/>
    </xf>
    <xf numFmtId="0" fontId="5" fillId="0" borderId="1" xfId="0" applyFont="1" applyBorder="1" applyAlignment="1">
      <alignment horizontal="center" vertical="top" wrapText="1"/>
    </xf>
    <xf numFmtId="0" fontId="12" fillId="0" borderId="1" xfId="0" applyFont="1" applyBorder="1" applyAlignment="1">
      <alignment horizontal="center" vertical="top" wrapText="1"/>
    </xf>
    <xf numFmtId="0" fontId="8" fillId="0" borderId="2" xfId="0" applyFont="1" applyBorder="1" applyAlignment="1">
      <alignment vertical="top" wrapText="1"/>
    </xf>
    <xf numFmtId="0" fontId="11" fillId="0" borderId="2" xfId="0" applyFont="1" applyBorder="1" applyAlignment="1">
      <alignment vertical="top" wrapText="1"/>
    </xf>
    <xf numFmtId="0" fontId="10" fillId="0" borderId="2" xfId="0" applyFont="1" applyBorder="1" applyAlignment="1">
      <alignment horizontal="left" vertical="center" wrapText="1"/>
    </xf>
    <xf numFmtId="0" fontId="10" fillId="0" borderId="1" xfId="0" applyFont="1" applyBorder="1" applyAlignment="1">
      <alignment horizontal="left" vertical="center" wrapText="1"/>
    </xf>
    <xf numFmtId="0" fontId="6" fillId="0" borderId="1" xfId="0" applyFont="1" applyBorder="1" applyAlignment="1">
      <alignment vertical="top" wrapText="1"/>
    </xf>
    <xf numFmtId="0" fontId="2" fillId="0" borderId="1" xfId="1" applyBorder="1" applyAlignment="1">
      <alignment vertical="top" wrapText="1"/>
    </xf>
    <xf numFmtId="0" fontId="5" fillId="0" borderId="1" xfId="0" applyFont="1" applyBorder="1" applyAlignment="1">
      <alignment vertical="top" wrapText="1"/>
    </xf>
    <xf numFmtId="0" fontId="13" fillId="0" borderId="1" xfId="0" applyFont="1" applyBorder="1" applyAlignment="1">
      <alignment horizontal="center" vertical="top" wrapText="1"/>
    </xf>
    <xf numFmtId="0" fontId="5" fillId="0" borderId="1" xfId="0" applyFont="1" applyBorder="1" applyAlignment="1">
      <alignment horizontal="left" vertical="top" wrapText="1"/>
    </xf>
    <xf numFmtId="0" fontId="13" fillId="0" borderId="1" xfId="0" applyFont="1" applyBorder="1" applyAlignment="1">
      <alignment vertical="top" wrapText="1"/>
    </xf>
    <xf numFmtId="0" fontId="15" fillId="0" borderId="1" xfId="0" applyFont="1" applyBorder="1" applyAlignment="1">
      <alignment horizontal="center" vertical="top" wrapText="1"/>
    </xf>
    <xf numFmtId="0" fontId="6" fillId="0" borderId="1" xfId="0" applyFont="1" applyBorder="1" applyAlignment="1">
      <alignment horizontal="left" vertical="top" wrapText="1"/>
    </xf>
    <xf numFmtId="0" fontId="14" fillId="0" borderId="1" xfId="0" applyFont="1" applyBorder="1" applyAlignment="1">
      <alignment horizontal="left" vertical="top" wrapText="1"/>
    </xf>
    <xf numFmtId="0" fontId="7" fillId="0" borderId="1" xfId="0" applyFont="1" applyBorder="1" applyAlignment="1">
      <alignment vertical="top" wrapText="1"/>
    </xf>
    <xf numFmtId="0" fontId="7" fillId="0" borderId="1" xfId="0" applyFont="1" applyBorder="1" applyAlignment="1">
      <alignment horizontal="center" vertical="top" wrapText="1"/>
    </xf>
    <xf numFmtId="0" fontId="17" fillId="2" borderId="1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top" wrapText="1"/>
    </xf>
    <xf numFmtId="0" fontId="4" fillId="0" borderId="2" xfId="0" applyFont="1" applyBorder="1" applyAlignment="1">
      <alignment horizontal="left" vertical="top" wrapText="1"/>
    </xf>
    <xf numFmtId="0" fontId="17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center" vertical="top"/>
    </xf>
    <xf numFmtId="0" fontId="10" fillId="3" borderId="1" xfId="0" applyFont="1" applyFill="1" applyBorder="1" applyAlignment="1">
      <alignment vertical="center" wrapText="1"/>
    </xf>
    <xf numFmtId="0" fontId="11" fillId="3" borderId="2" xfId="0" applyFont="1" applyFill="1" applyBorder="1" applyAlignment="1">
      <alignment vertical="top" wrapText="1"/>
    </xf>
    <xf numFmtId="0" fontId="4" fillId="3" borderId="1" xfId="0" applyFont="1" applyFill="1" applyBorder="1" applyAlignment="1">
      <alignment horizontal="center" vertical="top" wrapText="1"/>
    </xf>
    <xf numFmtId="0" fontId="8" fillId="3" borderId="1" xfId="0" applyFont="1" applyFill="1" applyBorder="1" applyAlignment="1">
      <alignment horizontal="left" vertical="center" wrapText="1"/>
    </xf>
    <xf numFmtId="0" fontId="8" fillId="3" borderId="1" xfId="0" applyFont="1" applyFill="1" applyBorder="1" applyAlignment="1">
      <alignment horizontal="center" vertical="center" wrapText="1"/>
    </xf>
    <xf numFmtId="0" fontId="10" fillId="3" borderId="1" xfId="0" applyFont="1" applyFill="1" applyBorder="1" applyAlignment="1">
      <alignment horizontal="left" vertical="center" wrapText="1"/>
    </xf>
    <xf numFmtId="0" fontId="10" fillId="3" borderId="0" xfId="0" applyFont="1" applyFill="1" applyAlignment="1">
      <alignment horizontal="left" vertical="center"/>
    </xf>
    <xf numFmtId="0" fontId="11" fillId="3" borderId="1" xfId="0" applyFont="1" applyFill="1" applyBorder="1" applyAlignment="1">
      <alignment horizontal="center" vertical="top"/>
    </xf>
    <xf numFmtId="0" fontId="6" fillId="3" borderId="1" xfId="0" applyFont="1" applyFill="1" applyBorder="1" applyAlignment="1">
      <alignment horizontal="center" vertical="top"/>
    </xf>
    <xf numFmtId="0" fontId="11" fillId="3" borderId="3" xfId="0" applyFont="1" applyFill="1" applyBorder="1" applyAlignment="1">
      <alignment vertical="top"/>
    </xf>
    <xf numFmtId="0" fontId="11" fillId="3" borderId="3" xfId="0" applyFont="1" applyFill="1" applyBorder="1" applyAlignment="1">
      <alignment vertical="top" wrapText="1"/>
    </xf>
    <xf numFmtId="0" fontId="4" fillId="3" borderId="1" xfId="0" applyFont="1" applyFill="1" applyBorder="1" applyAlignment="1">
      <alignment horizontal="left" vertical="top" wrapText="1"/>
    </xf>
    <xf numFmtId="0" fontId="4" fillId="3" borderId="2" xfId="0" applyFont="1" applyFill="1" applyBorder="1" applyAlignment="1">
      <alignment horizontal="center" vertical="top" wrapText="1"/>
    </xf>
    <xf numFmtId="0" fontId="6" fillId="3" borderId="1" xfId="0" applyFont="1" applyFill="1" applyBorder="1" applyAlignment="1">
      <alignment horizontal="center" vertical="top" wrapText="1"/>
    </xf>
    <xf numFmtId="0" fontId="4" fillId="3" borderId="2" xfId="0" applyFont="1" applyFill="1" applyBorder="1" applyAlignment="1">
      <alignment horizontal="left" vertical="top" wrapText="1"/>
    </xf>
    <xf numFmtId="0" fontId="11" fillId="3" borderId="1" xfId="0" applyFont="1" applyFill="1" applyBorder="1" applyAlignment="1">
      <alignment vertical="top" wrapText="1"/>
    </xf>
    <xf numFmtId="0" fontId="11" fillId="3" borderId="0" xfId="0" applyFont="1" applyFill="1" applyAlignment="1">
      <alignment vertical="top"/>
    </xf>
    <xf numFmtId="0" fontId="7" fillId="3" borderId="0" xfId="0" applyFont="1" applyFill="1" applyAlignment="1">
      <alignment vertical="top"/>
    </xf>
    <xf numFmtId="0" fontId="9" fillId="3" borderId="1" xfId="0" applyFont="1" applyFill="1" applyBorder="1" applyAlignment="1">
      <alignment horizontal="center" vertical="center"/>
    </xf>
    <xf numFmtId="0" fontId="10" fillId="3" borderId="2" xfId="0" applyFont="1" applyFill="1" applyBorder="1" applyAlignment="1">
      <alignment vertical="center" wrapText="1"/>
    </xf>
    <xf numFmtId="0" fontId="6" fillId="3" borderId="2" xfId="0" applyFont="1" applyFill="1" applyBorder="1" applyAlignment="1">
      <alignment vertical="top" wrapText="1"/>
    </xf>
    <xf numFmtId="0" fontId="10" fillId="3" borderId="2" xfId="0" applyFont="1" applyFill="1" applyBorder="1" applyAlignment="1">
      <alignment horizontal="left" vertical="center" wrapText="1"/>
    </xf>
    <xf numFmtId="0" fontId="9" fillId="3" borderId="0" xfId="0" applyFont="1" applyFill="1" applyAlignment="1">
      <alignment horizontal="center" vertical="center"/>
    </xf>
    <xf numFmtId="0" fontId="10" fillId="3" borderId="1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vertical="top"/>
    </xf>
    <xf numFmtId="0" fontId="11" fillId="3" borderId="2" xfId="0" applyFont="1" applyFill="1" applyBorder="1" applyAlignment="1">
      <alignment horizontal="center" vertical="top"/>
    </xf>
    <xf numFmtId="0" fontId="11" fillId="3" borderId="1" xfId="0" applyFont="1" applyFill="1" applyBorder="1" applyAlignment="1">
      <alignment horizontal="center" vertical="top" wrapText="1"/>
    </xf>
    <xf numFmtId="0" fontId="4" fillId="3" borderId="2" xfId="0" applyFont="1" applyFill="1" applyBorder="1" applyAlignment="1">
      <alignment horizontal="center" vertical="top" wrapText="1"/>
    </xf>
    <xf numFmtId="0" fontId="11" fillId="4" borderId="2" xfId="0" applyFont="1" applyFill="1" applyBorder="1" applyAlignment="1">
      <alignment vertical="top"/>
    </xf>
    <xf numFmtId="0" fontId="6" fillId="4" borderId="2" xfId="0" applyFont="1" applyFill="1" applyBorder="1" applyAlignment="1">
      <alignment vertical="top"/>
    </xf>
    <xf numFmtId="0" fontId="11" fillId="4" borderId="2" xfId="0" applyFont="1" applyFill="1" applyBorder="1" applyAlignment="1">
      <alignment horizontal="center" vertical="top"/>
    </xf>
    <xf numFmtId="0" fontId="11" fillId="4" borderId="1" xfId="0" applyFont="1" applyFill="1" applyBorder="1" applyAlignment="1">
      <alignment horizontal="left" vertical="top" wrapText="1"/>
    </xf>
    <xf numFmtId="0" fontId="4" fillId="4" borderId="2" xfId="0" applyFont="1" applyFill="1" applyBorder="1" applyAlignment="1">
      <alignment horizontal="center" vertical="top" wrapText="1"/>
    </xf>
    <xf numFmtId="0" fontId="14" fillId="4" borderId="1" xfId="0" applyFont="1" applyFill="1" applyBorder="1" applyAlignment="1">
      <alignment horizontal="center" vertical="top" wrapText="1"/>
    </xf>
    <xf numFmtId="0" fontId="4" fillId="4" borderId="1" xfId="0" applyFont="1" applyFill="1" applyBorder="1" applyAlignment="1">
      <alignment horizontal="center" vertical="top" wrapText="1"/>
    </xf>
    <xf numFmtId="0" fontId="4" fillId="4" borderId="1" xfId="0" applyFont="1" applyFill="1" applyBorder="1" applyAlignment="1">
      <alignment horizontal="left" vertical="top" wrapText="1"/>
    </xf>
    <xf numFmtId="0" fontId="4" fillId="4" borderId="2" xfId="0" applyFont="1" applyFill="1" applyBorder="1" applyAlignment="1">
      <alignment horizontal="left" vertical="top" wrapText="1"/>
    </xf>
    <xf numFmtId="0" fontId="6" fillId="4" borderId="1" xfId="0" applyFont="1" applyFill="1" applyBorder="1" applyAlignment="1">
      <alignment vertical="top" wrapText="1"/>
    </xf>
    <xf numFmtId="0" fontId="11" fillId="4" borderId="0" xfId="0" applyFont="1" applyFill="1" applyBorder="1" applyAlignment="1">
      <alignment vertical="top"/>
    </xf>
    <xf numFmtId="0" fontId="7" fillId="4" borderId="0" xfId="0" applyFont="1" applyFill="1" applyBorder="1" applyAlignment="1">
      <alignment vertical="top"/>
    </xf>
    <xf numFmtId="0" fontId="11" fillId="4" borderId="1" xfId="0" applyFont="1" applyFill="1" applyBorder="1" applyAlignment="1">
      <alignment horizontal="center" vertical="top" wrapText="1"/>
    </xf>
    <xf numFmtId="0" fontId="4" fillId="4" borderId="2" xfId="0" applyFont="1" applyFill="1" applyBorder="1" applyAlignment="1">
      <alignment horizontal="center" vertical="top" wrapText="1"/>
    </xf>
    <xf numFmtId="0" fontId="4" fillId="4" borderId="4" xfId="0" applyFont="1" applyFill="1" applyBorder="1" applyAlignment="1">
      <alignment horizontal="center" vertical="top" wrapText="1"/>
    </xf>
    <xf numFmtId="0" fontId="11" fillId="4" borderId="0" xfId="0" applyFont="1" applyFill="1" applyAlignment="1">
      <alignment vertical="top"/>
    </xf>
    <xf numFmtId="0" fontId="7" fillId="4" borderId="0" xfId="0" applyFont="1" applyFill="1" applyAlignment="1">
      <alignment vertical="top"/>
    </xf>
    <xf numFmtId="0" fontId="11" fillId="4" borderId="3" xfId="0" applyFont="1" applyFill="1" applyBorder="1" applyAlignment="1">
      <alignment horizontal="center" vertical="top"/>
    </xf>
    <xf numFmtId="0" fontId="6" fillId="4" borderId="3" xfId="0" applyFont="1" applyFill="1" applyBorder="1" applyAlignment="1">
      <alignment horizontal="center" vertical="top"/>
    </xf>
    <xf numFmtId="0" fontId="11" fillId="4" borderId="1" xfId="0" applyFont="1" applyFill="1" applyBorder="1" applyAlignment="1">
      <alignment vertical="top"/>
    </xf>
    <xf numFmtId="0" fontId="11" fillId="4" borderId="1" xfId="0" applyFont="1" applyFill="1" applyBorder="1" applyAlignment="1">
      <alignment vertical="top" wrapText="1"/>
    </xf>
    <xf numFmtId="0" fontId="11" fillId="4" borderId="2" xfId="0" applyFont="1" applyFill="1" applyBorder="1" applyAlignment="1">
      <alignment vertical="top" wrapText="1"/>
    </xf>
    <xf numFmtId="0" fontId="11" fillId="4" borderId="3" xfId="0" applyFont="1" applyFill="1" applyBorder="1" applyAlignment="1">
      <alignment horizontal="center" vertical="top" wrapText="1"/>
    </xf>
    <xf numFmtId="0" fontId="4" fillId="4" borderId="3" xfId="0" applyFont="1" applyFill="1" applyBorder="1" applyAlignment="1">
      <alignment horizontal="left" vertical="top" wrapText="1"/>
    </xf>
    <xf numFmtId="0" fontId="4" fillId="4" borderId="3" xfId="0" applyFont="1" applyFill="1" applyBorder="1" applyAlignment="1">
      <alignment horizontal="center" vertical="top" wrapText="1"/>
    </xf>
    <xf numFmtId="0" fontId="11" fillId="4" borderId="3" xfId="0" applyFont="1" applyFill="1" applyBorder="1" applyAlignment="1">
      <alignment vertical="top" wrapText="1"/>
    </xf>
    <xf numFmtId="0" fontId="4" fillId="3" borderId="2" xfId="0" applyFont="1" applyFill="1" applyBorder="1" applyAlignment="1">
      <alignment vertical="top" wrapText="1"/>
    </xf>
    <xf numFmtId="0" fontId="11" fillId="5" borderId="3" xfId="0" applyFont="1" applyFill="1" applyBorder="1" applyAlignment="1">
      <alignment horizontal="center" vertical="top"/>
    </xf>
    <xf numFmtId="0" fontId="11" fillId="5" borderId="1" xfId="0" applyFont="1" applyFill="1" applyBorder="1" applyAlignment="1">
      <alignment horizontal="center" vertical="top"/>
    </xf>
    <xf numFmtId="0" fontId="6" fillId="5" borderId="1" xfId="0" applyFont="1" applyFill="1" applyBorder="1" applyAlignment="1">
      <alignment horizontal="center" vertical="top"/>
    </xf>
    <xf numFmtId="0" fontId="11" fillId="5" borderId="1" xfId="0" applyFont="1" applyFill="1" applyBorder="1" applyAlignment="1">
      <alignment vertical="top"/>
    </xf>
    <xf numFmtId="0" fontId="11" fillId="5" borderId="1" xfId="0" applyFont="1" applyFill="1" applyBorder="1" applyAlignment="1">
      <alignment vertical="top" wrapText="1"/>
    </xf>
    <xf numFmtId="0" fontId="11" fillId="5" borderId="2" xfId="0" applyFont="1" applyFill="1" applyBorder="1" applyAlignment="1">
      <alignment vertical="top" wrapText="1"/>
    </xf>
    <xf numFmtId="0" fontId="11" fillId="5" borderId="1" xfId="0" applyFont="1" applyFill="1" applyBorder="1" applyAlignment="1">
      <alignment horizontal="center" vertical="top" wrapText="1"/>
    </xf>
    <xf numFmtId="0" fontId="4" fillId="5" borderId="1" xfId="0" applyFont="1" applyFill="1" applyBorder="1" applyAlignment="1">
      <alignment horizontal="left" vertical="top" wrapText="1"/>
    </xf>
    <xf numFmtId="0" fontId="4" fillId="5" borderId="1" xfId="0" applyFont="1" applyFill="1" applyBorder="1" applyAlignment="1">
      <alignment horizontal="center" vertical="top" wrapText="1"/>
    </xf>
    <xf numFmtId="0" fontId="11" fillId="5" borderId="0" xfId="0" applyFont="1" applyFill="1" applyAlignment="1">
      <alignment vertical="top"/>
    </xf>
    <xf numFmtId="0" fontId="7" fillId="5" borderId="0" xfId="0" applyFont="1" applyFill="1" applyAlignment="1">
      <alignment vertical="top"/>
    </xf>
    <xf numFmtId="0" fontId="11" fillId="5" borderId="0" xfId="0" applyFont="1" applyFill="1" applyAlignment="1">
      <alignment vertical="top" wrapText="1"/>
    </xf>
    <xf numFmtId="0" fontId="4" fillId="3" borderId="1" xfId="0" applyFont="1" applyFill="1" applyBorder="1" applyAlignment="1">
      <alignment vertical="top" wrapText="1"/>
    </xf>
    <xf numFmtId="0" fontId="8" fillId="3" borderId="2" xfId="0" applyFont="1" applyFill="1" applyBorder="1" applyAlignment="1">
      <alignment vertical="top" wrapText="1"/>
    </xf>
    <xf numFmtId="0" fontId="4" fillId="3" borderId="3" xfId="0" applyFont="1" applyFill="1" applyBorder="1" applyAlignment="1">
      <alignment vertical="top" wrapText="1"/>
    </xf>
    <xf numFmtId="0" fontId="4" fillId="3" borderId="4" xfId="0" applyFont="1" applyFill="1" applyBorder="1" applyAlignment="1">
      <alignment vertical="top" wrapText="1"/>
    </xf>
    <xf numFmtId="0" fontId="4" fillId="3" borderId="2" xfId="0" applyFont="1" applyFill="1" applyBorder="1" applyAlignment="1">
      <alignment horizontal="center" vertical="top" wrapText="1"/>
    </xf>
    <xf numFmtId="0" fontId="14" fillId="3" borderId="1" xfId="0" applyFont="1" applyFill="1" applyBorder="1" applyAlignment="1">
      <alignment horizontal="center" vertical="top"/>
    </xf>
    <xf numFmtId="0" fontId="14" fillId="3" borderId="1" xfId="0" applyFont="1" applyFill="1" applyBorder="1" applyAlignment="1">
      <alignment horizontal="center" vertical="top" wrapText="1"/>
    </xf>
    <xf numFmtId="0" fontId="11" fillId="3" borderId="1" xfId="0" applyFont="1" applyFill="1" applyBorder="1" applyAlignment="1">
      <alignment vertical="top"/>
    </xf>
    <xf numFmtId="0" fontId="4" fillId="3" borderId="2" xfId="0" applyFont="1" applyFill="1" applyBorder="1" applyAlignment="1">
      <alignment horizontal="left" vertical="top" wrapText="1"/>
    </xf>
    <xf numFmtId="0" fontId="12" fillId="3" borderId="1" xfId="0" applyFont="1" applyFill="1" applyBorder="1" applyAlignment="1">
      <alignment vertical="top" wrapText="1"/>
    </xf>
    <xf numFmtId="0" fontId="4" fillId="3" borderId="4" xfId="0" applyFont="1" applyFill="1" applyBorder="1" applyAlignment="1">
      <alignment horizontal="left" vertical="top" wrapText="1"/>
    </xf>
    <xf numFmtId="0" fontId="4" fillId="3" borderId="3" xfId="0" applyFont="1" applyFill="1" applyBorder="1" applyAlignment="1">
      <alignment horizontal="left" vertical="top" wrapText="1"/>
    </xf>
    <xf numFmtId="0" fontId="4" fillId="3" borderId="2" xfId="0" applyFont="1" applyFill="1" applyBorder="1" applyAlignment="1">
      <alignment horizontal="left" vertical="top" wrapText="1"/>
    </xf>
    <xf numFmtId="0" fontId="7" fillId="0" borderId="0" xfId="0" applyFont="1" applyAlignment="1">
      <alignment vertical="top" wrapText="1"/>
    </xf>
    <xf numFmtId="0" fontId="11" fillId="0" borderId="2" xfId="0" applyFont="1" applyBorder="1" applyAlignment="1">
      <alignment horizontal="center" vertical="top"/>
    </xf>
    <xf numFmtId="0" fontId="4" fillId="3" borderId="2" xfId="0" applyFont="1" applyFill="1" applyBorder="1" applyAlignment="1">
      <alignment horizontal="center" vertical="top" wrapText="1"/>
    </xf>
    <xf numFmtId="0" fontId="4" fillId="3" borderId="3" xfId="0" applyFont="1" applyFill="1" applyBorder="1" applyAlignment="1">
      <alignment horizontal="center" vertical="top" wrapText="1"/>
    </xf>
    <xf numFmtId="0" fontId="14" fillId="0" borderId="2" xfId="0" applyFont="1" applyBorder="1" applyAlignment="1">
      <alignment horizontal="center" vertical="top" wrapText="1"/>
    </xf>
    <xf numFmtId="0" fontId="14" fillId="0" borderId="3" xfId="0" applyFont="1" applyBorder="1" applyAlignment="1">
      <alignment horizontal="center" vertical="top" wrapText="1"/>
    </xf>
    <xf numFmtId="0" fontId="4" fillId="0" borderId="2" xfId="0" applyFont="1" applyBorder="1" applyAlignment="1">
      <alignment horizontal="center" vertical="top" wrapText="1"/>
    </xf>
    <xf numFmtId="0" fontId="4" fillId="0" borderId="3" xfId="0" applyFont="1" applyBorder="1" applyAlignment="1">
      <alignment horizontal="center" vertical="top" wrapText="1"/>
    </xf>
    <xf numFmtId="0" fontId="17" fillId="2" borderId="5" xfId="0" applyFont="1" applyFill="1" applyBorder="1" applyAlignment="1">
      <alignment horizontal="center" vertical="center"/>
    </xf>
    <xf numFmtId="0" fontId="17" fillId="2" borderId="6" xfId="0" applyFont="1" applyFill="1" applyBorder="1" applyAlignment="1">
      <alignment horizontal="center" vertical="center"/>
    </xf>
    <xf numFmtId="0" fontId="17" fillId="2" borderId="7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top" wrapText="1"/>
    </xf>
    <xf numFmtId="0" fontId="4" fillId="4" borderId="4" xfId="0" applyFont="1" applyFill="1" applyBorder="1" applyAlignment="1">
      <alignment horizontal="center" vertical="top" wrapText="1"/>
    </xf>
    <xf numFmtId="0" fontId="4" fillId="4" borderId="3" xfId="0" applyFont="1" applyFill="1" applyBorder="1" applyAlignment="1">
      <alignment horizontal="center" vertical="top" wrapText="1"/>
    </xf>
    <xf numFmtId="0" fontId="4" fillId="4" borderId="2" xfId="0" applyFont="1" applyFill="1" applyBorder="1" applyAlignment="1">
      <alignment horizontal="left" vertical="top" wrapText="1"/>
    </xf>
    <xf numFmtId="0" fontId="4" fillId="4" borderId="4" xfId="0" applyFont="1" applyFill="1" applyBorder="1" applyAlignment="1">
      <alignment horizontal="left" vertical="top" wrapText="1"/>
    </xf>
    <xf numFmtId="0" fontId="4" fillId="4" borderId="3" xfId="0" applyFont="1" applyFill="1" applyBorder="1" applyAlignment="1">
      <alignment horizontal="left" vertical="top" wrapText="1"/>
    </xf>
    <xf numFmtId="0" fontId="17" fillId="2" borderId="8" xfId="0" applyFont="1" applyFill="1" applyBorder="1" applyAlignment="1">
      <alignment horizontal="center" vertical="center"/>
    </xf>
    <xf numFmtId="0" fontId="17" fillId="2" borderId="9" xfId="0" applyFont="1" applyFill="1" applyBorder="1" applyAlignment="1">
      <alignment horizontal="center" vertical="center"/>
    </xf>
    <xf numFmtId="0" fontId="17" fillId="2" borderId="10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top" wrapText="1"/>
    </xf>
    <xf numFmtId="0" fontId="6" fillId="4" borderId="4" xfId="0" applyFont="1" applyFill="1" applyBorder="1" applyAlignment="1">
      <alignment horizontal="center" vertical="top" wrapText="1"/>
    </xf>
    <xf numFmtId="0" fontId="6" fillId="4" borderId="3" xfId="0" applyFont="1" applyFill="1" applyBorder="1" applyAlignment="1">
      <alignment horizontal="center" vertical="top" wrapText="1"/>
    </xf>
    <xf numFmtId="0" fontId="6" fillId="4" borderId="4" xfId="0" applyFont="1" applyFill="1" applyBorder="1" applyAlignment="1">
      <alignment horizontal="center" vertical="top"/>
    </xf>
    <xf numFmtId="0" fontId="6" fillId="4" borderId="3" xfId="0" applyFont="1" applyFill="1" applyBorder="1" applyAlignment="1">
      <alignment horizontal="center" vertical="top"/>
    </xf>
    <xf numFmtId="0" fontId="4" fillId="3" borderId="2" xfId="0" applyFont="1" applyFill="1" applyBorder="1" applyAlignment="1">
      <alignment horizontal="left" vertical="top" wrapText="1"/>
    </xf>
    <xf numFmtId="0" fontId="4" fillId="3" borderId="4" xfId="0" applyFont="1" applyFill="1" applyBorder="1" applyAlignment="1">
      <alignment horizontal="left" vertical="top" wrapText="1"/>
    </xf>
    <xf numFmtId="0" fontId="4" fillId="3" borderId="3" xfId="0" applyFont="1" applyFill="1" applyBorder="1" applyAlignment="1">
      <alignment horizontal="left" vertical="top" wrapText="1"/>
    </xf>
    <xf numFmtId="0" fontId="15" fillId="3" borderId="2" xfId="0" applyFont="1" applyFill="1" applyBorder="1" applyAlignment="1">
      <alignment horizontal="center" vertical="top" wrapText="1"/>
    </xf>
    <xf numFmtId="0" fontId="15" fillId="3" borderId="4" xfId="0" applyFont="1" applyFill="1" applyBorder="1" applyAlignment="1">
      <alignment horizontal="center" vertical="top" wrapText="1"/>
    </xf>
    <xf numFmtId="0" fontId="15" fillId="3" borderId="3" xfId="0" applyFont="1" applyFill="1" applyBorder="1" applyAlignment="1">
      <alignment horizontal="center" vertical="top" wrapText="1"/>
    </xf>
    <xf numFmtId="0" fontId="4" fillId="3" borderId="4" xfId="0" applyFont="1" applyFill="1" applyBorder="1" applyAlignment="1">
      <alignment horizontal="center" vertical="top" wrapText="1"/>
    </xf>
    <xf numFmtId="0" fontId="11" fillId="4" borderId="2" xfId="0" applyFont="1" applyFill="1" applyBorder="1" applyAlignment="1">
      <alignment horizontal="center" vertical="top" wrapText="1"/>
    </xf>
    <xf numFmtId="0" fontId="11" fillId="4" borderId="4" xfId="0" applyFont="1" applyFill="1" applyBorder="1" applyAlignment="1">
      <alignment horizontal="center" vertical="top" wrapText="1"/>
    </xf>
    <xf numFmtId="0" fontId="11" fillId="4" borderId="3" xfId="0" applyFont="1" applyFill="1" applyBorder="1" applyAlignment="1">
      <alignment horizontal="center" vertical="top" wrapText="1"/>
    </xf>
    <xf numFmtId="0" fontId="11" fillId="3" borderId="2" xfId="0" applyFont="1" applyFill="1" applyBorder="1" applyAlignment="1">
      <alignment horizontal="center" vertical="top" wrapText="1"/>
    </xf>
    <xf numFmtId="0" fontId="11" fillId="3" borderId="4" xfId="0" applyFont="1" applyFill="1" applyBorder="1" applyAlignment="1">
      <alignment horizontal="center" vertical="top" wrapText="1"/>
    </xf>
    <xf numFmtId="0" fontId="11" fillId="3" borderId="3" xfId="0" applyFont="1" applyFill="1" applyBorder="1" applyAlignment="1">
      <alignment horizontal="center" vertical="top" wrapText="1"/>
    </xf>
    <xf numFmtId="0" fontId="11" fillId="3" borderId="2" xfId="0" applyFont="1" applyFill="1" applyBorder="1" applyAlignment="1">
      <alignment horizontal="center" vertical="top"/>
    </xf>
    <xf numFmtId="0" fontId="11" fillId="3" borderId="4" xfId="0" applyFont="1" applyFill="1" applyBorder="1" applyAlignment="1">
      <alignment horizontal="center" vertical="top"/>
    </xf>
    <xf numFmtId="0" fontId="11" fillId="3" borderId="3" xfId="0" applyFont="1" applyFill="1" applyBorder="1" applyAlignment="1">
      <alignment horizontal="center" vertical="top"/>
    </xf>
    <xf numFmtId="0" fontId="15" fillId="3" borderId="2" xfId="0" applyFont="1" applyFill="1" applyBorder="1" applyAlignment="1">
      <alignment horizontal="center" vertical="top"/>
    </xf>
    <xf numFmtId="0" fontId="15" fillId="3" borderId="4" xfId="0" applyFont="1" applyFill="1" applyBorder="1" applyAlignment="1">
      <alignment horizontal="center" vertical="top"/>
    </xf>
    <xf numFmtId="0" fontId="15" fillId="3" borderId="3" xfId="0" applyFont="1" applyFill="1" applyBorder="1" applyAlignment="1">
      <alignment horizontal="center" vertical="top"/>
    </xf>
    <xf numFmtId="0" fontId="11" fillId="4" borderId="2" xfId="0" applyFont="1" applyFill="1" applyBorder="1" applyAlignment="1">
      <alignment horizontal="center" vertical="top"/>
    </xf>
    <xf numFmtId="0" fontId="11" fillId="4" borderId="4" xfId="0" applyFont="1" applyFill="1" applyBorder="1" applyAlignment="1">
      <alignment horizontal="center" vertical="top"/>
    </xf>
    <xf numFmtId="0" fontId="11" fillId="4" borderId="3" xfId="0" applyFont="1" applyFill="1" applyBorder="1" applyAlignment="1">
      <alignment horizontal="center" vertical="top"/>
    </xf>
    <xf numFmtId="0" fontId="6" fillId="4" borderId="2" xfId="0" applyFont="1" applyFill="1" applyBorder="1" applyAlignment="1">
      <alignment horizontal="center" vertical="top"/>
    </xf>
    <xf numFmtId="0" fontId="11" fillId="0" borderId="2" xfId="0" applyFont="1" applyBorder="1" applyAlignment="1">
      <alignment horizontal="left" vertical="top" wrapText="1"/>
    </xf>
    <xf numFmtId="0" fontId="11" fillId="0" borderId="4" xfId="0" applyFont="1" applyBorder="1" applyAlignment="1">
      <alignment horizontal="left" vertical="top" wrapText="1"/>
    </xf>
    <xf numFmtId="0" fontId="11" fillId="0" borderId="3" xfId="0" applyFont="1" applyBorder="1" applyAlignment="1">
      <alignment horizontal="left" vertical="top" wrapText="1"/>
    </xf>
    <xf numFmtId="0" fontId="11" fillId="3" borderId="2" xfId="0" applyFont="1" applyFill="1" applyBorder="1" applyAlignment="1">
      <alignment horizontal="left" vertical="top" wrapText="1"/>
    </xf>
    <xf numFmtId="0" fontId="11" fillId="3" borderId="4" xfId="0" applyFont="1" applyFill="1" applyBorder="1" applyAlignment="1">
      <alignment horizontal="left" vertical="top" wrapText="1"/>
    </xf>
    <xf numFmtId="0" fontId="11" fillId="3" borderId="3" xfId="0" applyFont="1" applyFill="1" applyBorder="1" applyAlignment="1">
      <alignment horizontal="left" vertical="top" wrapText="1"/>
    </xf>
    <xf numFmtId="0" fontId="11" fillId="3" borderId="2" xfId="0" applyFont="1" applyFill="1" applyBorder="1" applyAlignment="1">
      <alignment vertical="top" wrapText="1"/>
    </xf>
    <xf numFmtId="0" fontId="11" fillId="3" borderId="3" xfId="0" applyFont="1" applyFill="1" applyBorder="1" applyAlignment="1">
      <alignment vertical="top" wrapText="1"/>
    </xf>
    <xf numFmtId="0" fontId="11" fillId="4" borderId="2" xfId="0" applyFont="1" applyFill="1" applyBorder="1" applyAlignment="1">
      <alignment horizontal="left" vertical="top" wrapText="1"/>
    </xf>
    <xf numFmtId="0" fontId="11" fillId="4" borderId="4" xfId="0" applyFont="1" applyFill="1" applyBorder="1" applyAlignment="1">
      <alignment horizontal="left" vertical="top" wrapText="1"/>
    </xf>
    <xf numFmtId="0" fontId="11" fillId="4" borderId="3" xfId="0" applyFont="1" applyFill="1" applyBorder="1" applyAlignment="1">
      <alignment horizontal="left" vertical="top" wrapText="1"/>
    </xf>
    <xf numFmtId="0" fontId="11" fillId="0" borderId="2" xfId="0" applyFont="1" applyBorder="1" applyAlignment="1">
      <alignment horizontal="center" vertical="top"/>
    </xf>
    <xf numFmtId="0" fontId="11" fillId="0" borderId="4" xfId="0" applyFont="1" applyBorder="1" applyAlignment="1">
      <alignment horizontal="center" vertical="top"/>
    </xf>
    <xf numFmtId="0" fontId="11" fillId="0" borderId="3" xfId="0" applyFont="1" applyBorder="1" applyAlignment="1">
      <alignment horizontal="center" vertical="top"/>
    </xf>
    <xf numFmtId="0" fontId="11" fillId="0" borderId="2" xfId="0" applyFont="1" applyBorder="1" applyAlignment="1">
      <alignment horizontal="center" vertical="top" wrapText="1"/>
    </xf>
    <xf numFmtId="0" fontId="11" fillId="0" borderId="4" xfId="0" applyFont="1" applyBorder="1" applyAlignment="1">
      <alignment horizontal="center" vertical="top" wrapText="1"/>
    </xf>
    <xf numFmtId="0" fontId="11" fillId="0" borderId="3" xfId="0" applyFont="1" applyBorder="1" applyAlignment="1">
      <alignment horizontal="center" vertical="top" wrapText="1"/>
    </xf>
    <xf numFmtId="0" fontId="6" fillId="3" borderId="2" xfId="0" applyFont="1" applyFill="1" applyBorder="1" applyAlignment="1">
      <alignment horizontal="center" vertical="top"/>
    </xf>
    <xf numFmtId="0" fontId="6" fillId="3" borderId="3" xfId="0" applyFont="1" applyFill="1" applyBorder="1" applyAlignment="1">
      <alignment horizontal="center" vertical="top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22</xdr:col>
      <xdr:colOff>647700</xdr:colOff>
      <xdr:row>99</xdr:row>
      <xdr:rowOff>19050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9FCD50CA-E2C5-464B-B787-9A41CA8FA8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5735300" cy="20764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localhost:48080/greenplum/query/query-x-view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AF752D-9050-493A-9AD6-095A6A7456D7}">
  <sheetPr codeName="Sheet1"/>
  <dimension ref="B1:AI74"/>
  <sheetViews>
    <sheetView tabSelected="1" zoomScale="85" zoomScaleNormal="85" workbookViewId="0">
      <pane xSplit="10" ySplit="2" topLeftCell="T48" activePane="bottomRight" state="frozen"/>
      <selection activeCell="B20" sqref="B20:B21"/>
      <selection pane="topRight" activeCell="B20" sqref="B20:B21"/>
      <selection pane="bottomLeft" activeCell="B20" sqref="B20:B21"/>
      <selection pane="bottomRight" activeCell="AE68" sqref="AE68"/>
    </sheetView>
  </sheetViews>
  <sheetFormatPr defaultRowHeight="12" outlineLevelCol="1" x14ac:dyDescent="0.3"/>
  <cols>
    <col min="1" max="1" width="3.25" style="1" customWidth="1"/>
    <col min="2" max="2" width="8.625" style="7" hidden="1" customWidth="1" outlineLevel="1"/>
    <col min="3" max="3" width="8.875" style="7" hidden="1" customWidth="1" outlineLevel="1"/>
    <col min="4" max="4" width="13.25" style="7" hidden="1" customWidth="1" outlineLevel="1"/>
    <col min="5" max="5" width="11" style="7" hidden="1" customWidth="1" outlineLevel="1"/>
    <col min="6" max="6" width="5.375" style="7" hidden="1" customWidth="1" outlineLevel="1"/>
    <col min="7" max="7" width="7.375" style="7" bestFit="1" customWidth="1" collapsed="1"/>
    <col min="8" max="8" width="24.375" style="11" customWidth="1"/>
    <col min="9" max="9" width="20" style="11" customWidth="1"/>
    <col min="10" max="10" width="21.5" style="11" customWidth="1" outlineLevel="1"/>
    <col min="11" max="11" width="22.875" style="11" customWidth="1" outlineLevel="1"/>
    <col min="12" max="12" width="23.75" style="11" customWidth="1" outlineLevel="1"/>
    <col min="13" max="13" width="10.625" style="7" customWidth="1"/>
    <col min="14" max="14" width="14.125" style="10" customWidth="1"/>
    <col min="15" max="15" width="13" style="47" customWidth="1"/>
    <col min="16" max="16" width="12.125" style="47" customWidth="1"/>
    <col min="17" max="17" width="7.75" style="47" bestFit="1" customWidth="1"/>
    <col min="18" max="18" width="6.125" style="47" customWidth="1"/>
    <col min="19" max="19" width="9.75" style="10" customWidth="1"/>
    <col min="20" max="20" width="10.5" style="10" customWidth="1"/>
    <col min="21" max="21" width="11.375" style="10" customWidth="1"/>
    <col min="22" max="22" width="17.25" style="47" customWidth="1"/>
    <col min="23" max="23" width="8" style="47" bestFit="1" customWidth="1"/>
    <col min="24" max="24" width="5.625" style="47" customWidth="1"/>
    <col min="25" max="25" width="4.25" style="10" bestFit="1" customWidth="1"/>
    <col min="26" max="26" width="5.75" style="10" customWidth="1"/>
    <col min="27" max="27" width="10.5" style="10" customWidth="1"/>
    <col min="28" max="28" width="12.875" style="10" customWidth="1"/>
    <col min="29" max="29" width="14" style="10" customWidth="1"/>
    <col min="30" max="30" width="11.25" style="10" customWidth="1"/>
    <col min="31" max="31" width="9.25" style="10" customWidth="1"/>
    <col min="32" max="32" width="70.125" style="1" bestFit="1" customWidth="1"/>
    <col min="33" max="33" width="25" style="1" bestFit="1" customWidth="1"/>
    <col min="34" max="16384" width="9" style="1"/>
  </cols>
  <sheetData>
    <row r="1" spans="2:33" ht="16.5" x14ac:dyDescent="0.3">
      <c r="O1" s="174" t="s">
        <v>325</v>
      </c>
      <c r="P1" s="175"/>
      <c r="Q1" s="175"/>
      <c r="R1" s="175"/>
      <c r="S1" s="175"/>
      <c r="T1" s="176"/>
      <c r="U1" s="165" t="s">
        <v>290</v>
      </c>
      <c r="V1" s="166"/>
      <c r="W1" s="166"/>
      <c r="X1" s="166"/>
      <c r="Y1" s="166"/>
      <c r="Z1" s="166"/>
      <c r="AA1" s="167"/>
    </row>
    <row r="2" spans="2:33" s="40" customFormat="1" ht="27.75" customHeight="1" x14ac:dyDescent="0.3">
      <c r="B2" s="39" t="s">
        <v>203</v>
      </c>
      <c r="C2" s="39" t="s">
        <v>204</v>
      </c>
      <c r="D2" s="39" t="s">
        <v>31</v>
      </c>
      <c r="E2" s="39" t="s">
        <v>32</v>
      </c>
      <c r="F2" s="39" t="s">
        <v>151</v>
      </c>
      <c r="G2" s="39" t="s">
        <v>283</v>
      </c>
      <c r="H2" s="39" t="s">
        <v>217</v>
      </c>
      <c r="I2" s="39" t="s">
        <v>210</v>
      </c>
      <c r="J2" s="39" t="s">
        <v>210</v>
      </c>
      <c r="K2" s="39" t="s">
        <v>296</v>
      </c>
      <c r="L2" s="39" t="s">
        <v>209</v>
      </c>
      <c r="M2" s="39" t="s">
        <v>205</v>
      </c>
      <c r="N2" s="39" t="s">
        <v>206</v>
      </c>
      <c r="O2" s="39" t="s">
        <v>325</v>
      </c>
      <c r="P2" s="50" t="s">
        <v>331</v>
      </c>
      <c r="Q2" s="39" t="s">
        <v>326</v>
      </c>
      <c r="R2" s="39" t="s">
        <v>330</v>
      </c>
      <c r="S2" s="39" t="s">
        <v>329</v>
      </c>
      <c r="T2" s="69" t="s">
        <v>325</v>
      </c>
      <c r="U2" s="39" t="s">
        <v>290</v>
      </c>
      <c r="V2" s="50" t="s">
        <v>297</v>
      </c>
      <c r="W2" s="39" t="s">
        <v>295</v>
      </c>
      <c r="X2" s="39" t="s">
        <v>301</v>
      </c>
      <c r="Y2" s="39" t="s">
        <v>314</v>
      </c>
      <c r="Z2" s="39" t="s">
        <v>315</v>
      </c>
      <c r="AA2" s="39" t="s">
        <v>300</v>
      </c>
      <c r="AB2" s="69" t="s">
        <v>289</v>
      </c>
      <c r="AC2" s="72" t="s">
        <v>352</v>
      </c>
      <c r="AD2" s="39" t="s">
        <v>290</v>
      </c>
      <c r="AE2" s="39" t="s">
        <v>319</v>
      </c>
      <c r="AF2" s="39" t="s">
        <v>12</v>
      </c>
    </row>
    <row r="3" spans="2:33" s="30" customFormat="1" ht="24.95" customHeight="1" x14ac:dyDescent="0.3">
      <c r="B3" s="29" t="s">
        <v>143</v>
      </c>
      <c r="C3" s="29"/>
      <c r="D3" s="29"/>
      <c r="E3" s="13"/>
      <c r="F3" s="13"/>
      <c r="G3" s="38" t="s">
        <v>284</v>
      </c>
      <c r="H3" s="32" t="str">
        <f>ToCamel($B3,"","")&amp;"Controller"&amp;".java" &amp; CHAR(10)</f>
        <v xml:space="preserve">CommonController.java
</v>
      </c>
      <c r="I3" s="54" t="s">
        <v>279</v>
      </c>
      <c r="J3" s="55"/>
      <c r="K3" s="56"/>
      <c r="L3" s="56"/>
      <c r="M3" s="57"/>
      <c r="N3" s="31"/>
      <c r="O3" s="46"/>
      <c r="P3" s="46"/>
      <c r="Q3" s="46"/>
      <c r="R3" s="46"/>
      <c r="S3" s="31"/>
      <c r="T3" s="31"/>
      <c r="U3" s="31"/>
      <c r="V3" s="46"/>
      <c r="W3" s="46"/>
      <c r="X3" s="46"/>
      <c r="Y3" s="31"/>
      <c r="Z3" s="31"/>
      <c r="AA3" s="31"/>
      <c r="AB3" s="31"/>
      <c r="AC3" s="31"/>
      <c r="AD3" s="31"/>
      <c r="AE3" s="31"/>
      <c r="AF3" s="57"/>
    </row>
    <row r="4" spans="2:33" s="83" customFormat="1" ht="24.95" customHeight="1" x14ac:dyDescent="0.3">
      <c r="B4" s="73" t="s">
        <v>143</v>
      </c>
      <c r="C4" s="74"/>
      <c r="D4" s="74" t="s">
        <v>227</v>
      </c>
      <c r="E4" s="75"/>
      <c r="F4" s="75"/>
      <c r="G4" s="76" t="s">
        <v>284</v>
      </c>
      <c r="H4" s="77"/>
      <c r="I4" s="78" t="s">
        <v>271</v>
      </c>
      <c r="J4" s="78" t="str">
        <f>"/rest"&amp;ToCamelLower($B4,"/","")&amp;ToCamelLower($C4,"/","")&amp;ToCamelLower($D4,"/","")&amp;ToCamelLower($E4,"/","")&amp;ToCamelLower($F4,"/","")</f>
        <v>/rest/common/systemTime</v>
      </c>
      <c r="K4" s="78" t="str">
        <f>ToCamelLower($B4,"","") &amp; ToCamel($C4,"","") &amp; ToCamel($D4,"","") &amp; ToCamel($E4,"","") &amp; ToCamel($F4,"","")</f>
        <v>commonSystemTime</v>
      </c>
      <c r="L4" s="78" t="str">
        <f>"Url" &amp; "." &amp; ToCamelLower($B4,"","") &amp; "." &amp; ToCamelLower($C4,"","") &amp; ToCamel($D4,"","") &amp; ToCamel($E4,"","") &amp; ToCamel($F4,"","")</f>
        <v>Url.common.SystemTime</v>
      </c>
      <c r="M4" s="79" t="s">
        <v>28</v>
      </c>
      <c r="N4" s="80" t="s">
        <v>144</v>
      </c>
      <c r="O4" s="81"/>
      <c r="P4" s="81"/>
      <c r="Q4" s="81"/>
      <c r="R4" s="81"/>
      <c r="S4" s="80"/>
      <c r="T4" s="80"/>
      <c r="U4" s="80"/>
      <c r="V4" s="81"/>
      <c r="W4" s="81"/>
      <c r="X4" s="81"/>
      <c r="Y4" s="80"/>
      <c r="Z4" s="80"/>
      <c r="AA4" s="80"/>
      <c r="AB4" s="80"/>
      <c r="AC4" s="80"/>
      <c r="AD4" s="80"/>
      <c r="AE4" s="80"/>
      <c r="AF4" s="82" t="s">
        <v>145</v>
      </c>
    </row>
    <row r="5" spans="2:33" s="94" customFormat="1" ht="24.95" customHeight="1" x14ac:dyDescent="0.3">
      <c r="B5" s="73" t="s">
        <v>143</v>
      </c>
      <c r="C5" s="84"/>
      <c r="D5" s="85" t="s">
        <v>221</v>
      </c>
      <c r="E5" s="85"/>
      <c r="F5" s="86"/>
      <c r="G5" s="76" t="s">
        <v>284</v>
      </c>
      <c r="H5" s="87"/>
      <c r="I5" s="78" t="s">
        <v>272</v>
      </c>
      <c r="J5" s="78" t="str">
        <f>"/rest"&amp;ToCamelLower($B5,"/","")&amp;ToCamelLower($C5,"/","")&amp;ToCamelLower($D5,"/","")&amp;ToCamelLower($E5,"/","")&amp;ToCamelLower($F5,"/","")</f>
        <v>/rest/common/rackInfo</v>
      </c>
      <c r="K5" s="78" t="str">
        <f>ToCamelLower($B5,"","") &amp; ToCamel($C5,"","") &amp; ToCamel($D5,"","") &amp; ToCamel($E5,"","") &amp; ToCamel($F5,"","")</f>
        <v>commonRackInfo</v>
      </c>
      <c r="L5" s="78" t="str">
        <f>"Url" &amp; "." &amp; ToCamelLower($B5,"","") &amp; "." &amp; ToCamelLower($C5,"","") &amp; ToCamel($D5,"","") &amp; ToCamel($E5,"","") &amp; ToCamel($F5,"","")</f>
        <v>Url.common.RackInfo</v>
      </c>
      <c r="M5" s="79" t="s">
        <v>28</v>
      </c>
      <c r="N5" s="88" t="s">
        <v>167</v>
      </c>
      <c r="O5" s="89" t="str">
        <f>ToCamel($B5,"","") &amp;"Service"</f>
        <v>CommonService</v>
      </c>
      <c r="P5" s="90" t="s">
        <v>221</v>
      </c>
      <c r="Q5" s="79" t="s">
        <v>328</v>
      </c>
      <c r="R5" s="79" t="s">
        <v>294</v>
      </c>
      <c r="S5" s="88" t="str">
        <f>$Q5 &amp; ToCamel($B5,"","") &amp;ToCamel($C5,"","") &amp;ToCamel($P5,"","")&amp;$R5</f>
        <v>getCommonRackInfoList</v>
      </c>
      <c r="T5" s="88" t="str">
        <f>IF(ISBLANK($X5),"",$X5&amp;"&lt;")&amp;$AB5&amp;IF(ISBLANK($X5)," ","&gt; ")&amp; S5&amp;"(String " &amp; $M5 &amp;");"</f>
        <v>List&lt;CommonRackInfoModel&gt; getCommonRackInfoList(String N/A);</v>
      </c>
      <c r="U5" s="91" t="str">
        <f>ToCamel($B5,"","") &amp;"Repository"</f>
        <v>CommonRepository</v>
      </c>
      <c r="V5" s="90" t="s">
        <v>221</v>
      </c>
      <c r="W5" s="79" t="s">
        <v>293</v>
      </c>
      <c r="X5" s="79" t="s">
        <v>294</v>
      </c>
      <c r="Y5" s="88" t="s">
        <v>313</v>
      </c>
      <c r="Z5" s="88" t="s">
        <v>316</v>
      </c>
      <c r="AA5" s="88" t="str">
        <f>$W5 &amp; ToCamel($B5,"","") &amp;ToCamel($C5,"","") &amp;ToCamel($V5,"","")&amp;$X5</f>
        <v>selectCommonRackInfoList</v>
      </c>
      <c r="AB5" s="88" t="str">
        <f>ToCamel($B5,"","") &amp;ToCamel($C5,"","") &amp;ToCamel($V5,"","")&amp;"Model"</f>
        <v>CommonRackInfoModel</v>
      </c>
      <c r="AC5" s="88"/>
      <c r="AD5" s="88" t="str">
        <f>IF(ISBLANK($X5),"",$X5&amp;"&lt;")&amp;$AB5&amp;IF(ISBLANK($X5),"","&gt; ")&amp;AA5&amp; "(Map&lt;String, Object&gt; param);"</f>
        <v>List&lt;CommonRackInfoModel&gt; selectCommonRackInfoList(Map&lt;String, Object&gt; param);</v>
      </c>
      <c r="AE5" s="88" t="str">
        <f>"select /* web."&amp;$U5&amp;"."&amp;$W5 &amp; ToCamel($B5,"","") &amp;ToCamel($C5,"","") &amp;ToCamel($V5,"","")&amp;$X5&amp;" */" &amp; CHAR(10) &amp; "       a." &amp;$N5 &amp; CHAR(10) &amp; "     , a." &amp;N5 &amp; CHAR(10) &amp; "  from " &amp; $Y5 &amp;" a" &amp; CHAR(10) &amp; " where "&amp;$Z5&amp;" = #{"&amp;ToCamel($Z5,"","")&amp;"}"&amp; CHAR(10) &amp; ";"</f>
        <v>select /* web.CommonRepository.selectCommonRackInfoList */
       a.rackId, rackName
     , a.rackId, rackName
  from rack a
 where rack_id = #{rackId}
;</v>
      </c>
      <c r="AF5" s="92" t="s">
        <v>168</v>
      </c>
      <c r="AG5" s="93"/>
    </row>
    <row r="6" spans="2:33" s="94" customFormat="1" ht="24.95" customHeight="1" x14ac:dyDescent="0.3">
      <c r="B6" s="73" t="s">
        <v>143</v>
      </c>
      <c r="C6" s="84"/>
      <c r="D6" s="85" t="s">
        <v>222</v>
      </c>
      <c r="E6" s="85"/>
      <c r="F6" s="86"/>
      <c r="G6" s="76" t="s">
        <v>284</v>
      </c>
      <c r="H6" s="87"/>
      <c r="I6" s="78" t="s">
        <v>273</v>
      </c>
      <c r="J6" s="78" t="str">
        <f>"/rest"&amp;ToCamelLower($B6,"/","")&amp;ToCamelLower($C6,"/","")&amp;ToCamelLower($D6,"/","")&amp;ToCamelLower($E6,"/","")&amp;ToCamelLower($F6,"/","")</f>
        <v>/rest/common/nodeInfo</v>
      </c>
      <c r="K6" s="78" t="str">
        <f>ToCamelLower($B6,"","") &amp; ToCamel($C6,"","") &amp; ToCamel($D6,"","") &amp; ToCamel($E6,"","") &amp; ToCamel($F6,"","")</f>
        <v>commonNodeInfo</v>
      </c>
      <c r="L6" s="78" t="str">
        <f>"Url" &amp; "." &amp; ToCamelLower($B6,"","") &amp; "." &amp; ToCamelLower($C6,"","") &amp; ToCamel($D6,"","") &amp; ToCamel($E6,"","") &amp; ToCamel($F6,"","")</f>
        <v>Url.common.NodeInfo</v>
      </c>
      <c r="M6" s="79" t="s">
        <v>28</v>
      </c>
      <c r="N6" s="88" t="s">
        <v>223</v>
      </c>
      <c r="O6" s="148" t="str">
        <f>ToCamel($B6,"","") &amp;"Service"</f>
        <v>CommonService</v>
      </c>
      <c r="P6" s="90" t="s">
        <v>222</v>
      </c>
      <c r="Q6" s="79" t="s">
        <v>328</v>
      </c>
      <c r="R6" s="79" t="s">
        <v>294</v>
      </c>
      <c r="S6" s="88" t="str">
        <f>$Q6 &amp; ToCamel($B6,"","") &amp;ToCamel($C6,"","") &amp;ToCamel($P6,"","")&amp;$R6</f>
        <v>getCommonNodeInfoList</v>
      </c>
      <c r="T6" s="88" t="str">
        <f>IF(ISBLANK($X6),"",$X6&amp;"&lt;")&amp;$AB6&amp;IF(ISBLANK($X6)," ","&gt; ")&amp; S6&amp;"(String " &amp; $M6 &amp;");"</f>
        <v>List&lt;CommonNodeInfoModel&gt; getCommonNodeInfoList(String N/A);</v>
      </c>
      <c r="U6" s="152" t="str">
        <f>ToCamel($B6,"","") &amp;"Repository"</f>
        <v>CommonRepository</v>
      </c>
      <c r="V6" s="90" t="s">
        <v>222</v>
      </c>
      <c r="W6" s="79" t="s">
        <v>292</v>
      </c>
      <c r="X6" s="79" t="s">
        <v>294</v>
      </c>
      <c r="Y6" s="88" t="s">
        <v>317</v>
      </c>
      <c r="Z6" s="88" t="s">
        <v>318</v>
      </c>
      <c r="AA6" s="88" t="str">
        <f>$W6 &amp; ToCamel($B6,"","") &amp;ToCamel($C6,"","") &amp;ToCamel($V6,"","")&amp;$X6</f>
        <v>selectCommonNodeInfoList</v>
      </c>
      <c r="AB6" s="88" t="str">
        <f>ToCamel($B6,"","") &amp;ToCamel($C6,"","") &amp;ToCamel($V6,"","")&amp;"Model"</f>
        <v>CommonNodeInfoModel</v>
      </c>
      <c r="AC6" s="88"/>
      <c r="AD6" s="88" t="str">
        <f>IF(ISBLANK($X6),"",$X6&amp;"&lt;")&amp;$AB6&amp;IF(ISBLANK($X6),"","&gt; ")&amp;AA6&amp; "(Map&lt;String, Object&gt; param);"</f>
        <v>List&lt;CommonNodeInfoModel&gt; selectCommonNodeInfoList(Map&lt;String, Object&gt; param);</v>
      </c>
      <c r="AE6" s="88" t="str">
        <f>"select /* web."&amp;$U6&amp;"."&amp;$W6 &amp; ToCamel($B6,"","") &amp;ToCamel($C6,"","") &amp;ToCamel($V6,"","")&amp;$X6&amp;" */" &amp; CHAR(10) &amp; "       a." &amp;$N6 &amp; CHAR(10) &amp; "     , a." &amp;N6 &amp; CHAR(10) &amp; "  from " &amp; $Y6 &amp;" a" &amp; CHAR(10) &amp; " where "&amp;$Z6&amp;" = #{"&amp;ToCamel($Z6,"","")&amp;"}"&amp; CHAR(10) &amp; ";"</f>
        <v>select /* web.CommonRepository.selectCommonNodeInfoList */
       a.nodeId, nodeName
     , a.nodeId, nodeName
  from node a
 where node_id = #{nodeId}
;</v>
      </c>
      <c r="AF6" s="92" t="s">
        <v>163</v>
      </c>
      <c r="AG6" s="93"/>
    </row>
    <row r="7" spans="2:33" s="94" customFormat="1" ht="24.95" customHeight="1" x14ac:dyDescent="0.3">
      <c r="B7" s="73" t="s">
        <v>143</v>
      </c>
      <c r="C7" s="84"/>
      <c r="D7" s="85" t="s">
        <v>365</v>
      </c>
      <c r="E7" s="85"/>
      <c r="F7" s="86"/>
      <c r="G7" s="76" t="s">
        <v>284</v>
      </c>
      <c r="H7" s="87"/>
      <c r="I7" s="78" t="s">
        <v>274</v>
      </c>
      <c r="J7" s="78" t="str">
        <f>"/rest"&amp;ToCamelLower($B7,"/","")&amp;ToCamelLower($C7,"/","")&amp;ToCamelLower($D7,"/","")&amp;ToCamelLower($E7,"/","")&amp;ToCamelLower($F7,"/","")</f>
        <v>/rest/common/logLevelInfo</v>
      </c>
      <c r="K7" s="78" t="str">
        <f>ToCamelLower($B7,"","") &amp; ToCamel($C7,"","") &amp; ToCamel($D7,"","") &amp; ToCamel($E7,"","") &amp; ToCamel($F7,"","")</f>
        <v>commonLogLevelInfo</v>
      </c>
      <c r="L7" s="78" t="str">
        <f>"Url" &amp; "." &amp; ToCamelLower($B7,"","") &amp; "." &amp; ToCamelLower($C7,"","") &amp; ToCamel($D7,"","") &amp; ToCamel($E7,"","") &amp; ToCamel($F7,"","")</f>
        <v>Url.common.LogLevelInfo</v>
      </c>
      <c r="M7" s="79" t="s">
        <v>28</v>
      </c>
      <c r="N7" s="88" t="s">
        <v>224</v>
      </c>
      <c r="O7" s="148" t="str">
        <f>ToCamel($B7,"","") &amp;"Service"</f>
        <v>CommonService</v>
      </c>
      <c r="P7" s="90" t="s">
        <v>366</v>
      </c>
      <c r="Q7" s="79" t="s">
        <v>328</v>
      </c>
      <c r="R7" s="79" t="s">
        <v>294</v>
      </c>
      <c r="S7" s="88" t="str">
        <f>$Q7 &amp; ToCamel($B7,"","") &amp;ToCamel($C7,"","") &amp;ToCamel($P7,"","")&amp;$R7</f>
        <v>getCommonLogLevelInfoList</v>
      </c>
      <c r="T7" s="88" t="str">
        <f>IF(ISBLANK($X7),"",$X7&amp;"&lt;")&amp;$AB7&amp;IF(ISBLANK($X7)," ","&gt; ")&amp; S7&amp;"(String " &amp; $M7 &amp;");"</f>
        <v>List&lt;CommonLogLevelInfoModel&gt; getCommonLogLevelInfoList(String N/A);</v>
      </c>
      <c r="U7" s="152" t="str">
        <f>ToCamel($B7,"","") &amp;"Repository"</f>
        <v>CommonRepository</v>
      </c>
      <c r="V7" s="90" t="s">
        <v>366</v>
      </c>
      <c r="W7" s="79" t="s">
        <v>292</v>
      </c>
      <c r="X7" s="79" t="s">
        <v>294</v>
      </c>
      <c r="Y7" s="88" t="s">
        <v>317</v>
      </c>
      <c r="Z7" s="88" t="s">
        <v>318</v>
      </c>
      <c r="AA7" s="88" t="str">
        <f>$W7 &amp; ToCamel($B7,"","") &amp;ToCamel($C7,"","") &amp;ToCamel($V7,"","")&amp;$X7</f>
        <v>selectCommonLogLevelInfoList</v>
      </c>
      <c r="AB7" s="88" t="str">
        <f>ToCamel($B7,"","") &amp;ToCamel($C7,"","") &amp;ToCamel($V7,"","")&amp;"Model"</f>
        <v>CommonLogLevelInfoModel</v>
      </c>
      <c r="AC7" s="88"/>
      <c r="AD7" s="88" t="str">
        <f>IF(ISBLANK($X7),"",$X7&amp;"&lt;")&amp;$AB7&amp;IF(ISBLANK($X7),"","&gt; ")&amp;AA7&amp; "(Map&lt;String, Object&gt; param);"</f>
        <v>List&lt;CommonLogLevelInfoModel&gt; selectCommonLogLevelInfoList(Map&lt;String, Object&gt; param);</v>
      </c>
      <c r="AE7" s="88" t="str">
        <f>"select /* web."&amp;$U7&amp;"."&amp;$W7 &amp; ToCamel($B7,"","") &amp;ToCamel($C7,"","") &amp;ToCamel($V7,"","")&amp;$X7&amp;" */" &amp; CHAR(10) &amp; "       a." &amp;$N7 &amp; CHAR(10) &amp; "     , a." &amp;N7 &amp; CHAR(10) &amp; "  from " &amp; $Y7 &amp;" a" &amp; CHAR(10) &amp; " where "&amp;$Z7&amp;" = #{"&amp;ToCamel($Z7,"","")&amp;"}"&amp; CHAR(10) &amp; ";"</f>
        <v>select /* web.CommonRepository.selectCommonLogLevelInfoList */
       a.errorLevelId, errorLevelName
     , a.errorLevelId, errorLevelName
  from node a
 where node_id = #{nodeId}
;</v>
      </c>
      <c r="AF7" s="92" t="s">
        <v>163</v>
      </c>
      <c r="AG7" s="93" t="s">
        <v>285</v>
      </c>
    </row>
    <row r="8" spans="2:33" s="83" customFormat="1" ht="24.95" customHeight="1" x14ac:dyDescent="0.3">
      <c r="B8" s="74" t="s">
        <v>1</v>
      </c>
      <c r="C8" s="74" t="s">
        <v>2</v>
      </c>
      <c r="D8" s="95"/>
      <c r="E8" s="75"/>
      <c r="F8" s="75"/>
      <c r="G8" s="76" t="s">
        <v>284</v>
      </c>
      <c r="H8" s="96" t="str">
        <f>ToCamel($B8,"","")&amp;ToCamel($C8,"","")&amp;"Controller"&amp;".java" &amp; CHAR(10)</f>
        <v xml:space="preserve">DashboardMainController.java
</v>
      </c>
      <c r="I8" s="97" t="s">
        <v>275</v>
      </c>
      <c r="J8" s="98"/>
      <c r="K8" s="98"/>
      <c r="L8" s="98"/>
      <c r="M8" s="82"/>
      <c r="N8" s="80"/>
      <c r="O8" s="81"/>
      <c r="P8" s="81"/>
      <c r="Q8" s="81"/>
      <c r="R8" s="81"/>
      <c r="S8" s="80"/>
      <c r="T8" s="80"/>
      <c r="U8" s="80"/>
      <c r="V8" s="81"/>
      <c r="W8" s="81"/>
      <c r="X8" s="81"/>
      <c r="Y8" s="80"/>
      <c r="Z8" s="80"/>
      <c r="AA8" s="80"/>
      <c r="AB8" s="80"/>
      <c r="AC8" s="80"/>
      <c r="AD8" s="80"/>
      <c r="AE8" s="80"/>
      <c r="AF8" s="82"/>
    </row>
    <row r="9" spans="2:33" s="83" customFormat="1" ht="24.95" customHeight="1" x14ac:dyDescent="0.3">
      <c r="B9" s="74" t="s">
        <v>1</v>
      </c>
      <c r="C9" s="74" t="s">
        <v>2</v>
      </c>
      <c r="D9" s="99"/>
      <c r="E9" s="100"/>
      <c r="F9" s="75"/>
      <c r="G9" s="76" t="s">
        <v>284</v>
      </c>
      <c r="H9" s="98" t="str">
        <f>ToCamelLower($B9,"/","/")&amp;ToCamelLower($B9,"","_")&amp;ToCamelLower($C9,"","")&amp;".jsp"</f>
        <v>/dashboard/dashboard_main.jsp</v>
      </c>
      <c r="I9" s="78" t="s">
        <v>234</v>
      </c>
      <c r="J9" s="78" t="str">
        <f>ToCamelLower($B9,"/","")&amp;ToCamelLower($C9,"/","")&amp;ToCamelLower($D9,"/","")&amp;ToCamelLower($E9,"/","")&amp;ToCamelLower($F9,"/","")</f>
        <v>/dashboard/main</v>
      </c>
      <c r="K9" s="78" t="str">
        <f>ToCamelLower($B9,"","") &amp; ToCamel($C9,"","") &amp; ToCamel($D9,"","") &amp; ToCamel($E9,"","") &amp; ToCamel($F9,"","")</f>
        <v>dashboardMain</v>
      </c>
      <c r="L9" s="78"/>
      <c r="M9" s="82"/>
      <c r="N9" s="80"/>
      <c r="O9" s="81"/>
      <c r="P9" s="81"/>
      <c r="Q9" s="81"/>
      <c r="R9" s="81"/>
      <c r="S9" s="80"/>
      <c r="T9" s="80"/>
      <c r="U9" s="80"/>
      <c r="V9" s="81"/>
      <c r="W9" s="81"/>
      <c r="X9" s="81"/>
      <c r="Y9" s="80"/>
      <c r="Z9" s="80"/>
      <c r="AA9" s="80"/>
      <c r="AB9" s="80"/>
      <c r="AC9" s="80"/>
      <c r="AD9" s="80"/>
      <c r="AE9" s="80"/>
      <c r="AF9" s="82"/>
    </row>
    <row r="10" spans="2:33" s="116" customFormat="1" ht="24.95" customHeight="1" x14ac:dyDescent="0.3">
      <c r="B10" s="105" t="s">
        <v>1</v>
      </c>
      <c r="C10" s="105" t="s">
        <v>2</v>
      </c>
      <c r="D10" s="106" t="s">
        <v>211</v>
      </c>
      <c r="E10" s="204"/>
      <c r="F10" s="201"/>
      <c r="G10" s="107" t="s">
        <v>286</v>
      </c>
      <c r="H10" s="189"/>
      <c r="I10" s="213" t="s">
        <v>237</v>
      </c>
      <c r="J10" s="213" t="str">
        <f>"/rest"&amp;ToCamelLower($B10,"/","")&amp;ToCamelLower($C10,"/","")&amp;ToCamelLower($D10,"/","")&amp;ToCamelLower($E10,"/","")&amp;ToCamelLower($F10,"/","")</f>
        <v>/rest/dashboard/main/monitoring</v>
      </c>
      <c r="K10" s="213" t="str">
        <f>ToCamelLower($B10,"","") &amp; ToCamel($C10,"","") &amp; ToCamel($D10,"","") &amp; ToCamel($E10,"","") &amp; ToCamel($F10,"","")</f>
        <v>dashboardMainMonitoring</v>
      </c>
      <c r="L10" s="213" t="str">
        <f>"Url" &amp; "." &amp; ToCamelLower($B10,"","") &amp; "." &amp; ToCamelLower($C10,"","") &amp; ToCamel($D10,"","") &amp; ToCamel($E10,"","") &amp; ToCamel($F10,"","")</f>
        <v>Url.dashboard.mainMonitoring</v>
      </c>
      <c r="M10" s="189" t="s">
        <v>28</v>
      </c>
      <c r="N10" s="108" t="s">
        <v>228</v>
      </c>
      <c r="O10" s="109"/>
      <c r="P10" s="110"/>
      <c r="Q10" s="111"/>
      <c r="R10" s="111"/>
      <c r="S10" s="112"/>
      <c r="T10" s="112"/>
      <c r="U10" s="113"/>
      <c r="V10" s="110"/>
      <c r="W10" s="111"/>
      <c r="X10" s="111"/>
      <c r="Y10" s="112"/>
      <c r="Z10" s="112"/>
      <c r="AA10" s="112"/>
      <c r="AB10" s="112"/>
      <c r="AC10" s="112"/>
      <c r="AD10" s="112"/>
      <c r="AE10" s="112"/>
      <c r="AF10" s="114" t="s">
        <v>3</v>
      </c>
      <c r="AG10" s="115"/>
    </row>
    <row r="11" spans="2:33" s="116" customFormat="1" ht="24.95" customHeight="1" x14ac:dyDescent="0.3">
      <c r="B11" s="105" t="s">
        <v>1</v>
      </c>
      <c r="C11" s="105" t="s">
        <v>2</v>
      </c>
      <c r="D11" s="106" t="s">
        <v>211</v>
      </c>
      <c r="E11" s="180"/>
      <c r="F11" s="202"/>
      <c r="G11" s="107" t="s">
        <v>286</v>
      </c>
      <c r="H11" s="190"/>
      <c r="I11" s="214"/>
      <c r="J11" s="214"/>
      <c r="K11" s="214"/>
      <c r="L11" s="214"/>
      <c r="M11" s="190"/>
      <c r="N11" s="108" t="s">
        <v>229</v>
      </c>
      <c r="O11" s="117"/>
      <c r="P11" s="117"/>
      <c r="Q11" s="117"/>
      <c r="R11" s="117"/>
      <c r="S11" s="117"/>
      <c r="T11" s="117"/>
      <c r="U11" s="117"/>
      <c r="V11" s="117"/>
      <c r="W11" s="117"/>
      <c r="X11" s="117"/>
      <c r="Y11" s="117"/>
      <c r="Z11" s="117"/>
      <c r="AA11" s="117"/>
      <c r="AB11" s="117"/>
      <c r="AC11" s="117"/>
      <c r="AD11" s="117"/>
      <c r="AE11" s="117"/>
      <c r="AF11" s="114" t="s">
        <v>5</v>
      </c>
      <c r="AG11" s="180"/>
    </row>
    <row r="12" spans="2:33" s="116" customFormat="1" ht="24.95" customHeight="1" x14ac:dyDescent="0.3">
      <c r="B12" s="105" t="s">
        <v>1</v>
      </c>
      <c r="C12" s="105" t="s">
        <v>2</v>
      </c>
      <c r="D12" s="106" t="s">
        <v>211</v>
      </c>
      <c r="E12" s="180"/>
      <c r="F12" s="202"/>
      <c r="G12" s="107" t="s">
        <v>286</v>
      </c>
      <c r="H12" s="190"/>
      <c r="I12" s="214"/>
      <c r="J12" s="214"/>
      <c r="K12" s="214"/>
      <c r="L12" s="214"/>
      <c r="M12" s="190"/>
      <c r="N12" s="108" t="s">
        <v>233</v>
      </c>
      <c r="O12" s="168" t="str">
        <f>ToCamel($B12,"","") &amp;"Service"</f>
        <v>DashboardService</v>
      </c>
      <c r="P12" s="177" t="s">
        <v>324</v>
      </c>
      <c r="Q12" s="168" t="s">
        <v>328</v>
      </c>
      <c r="R12" s="168"/>
      <c r="S12" s="171" t="str">
        <f>$Q12 &amp; ToCamel($B12,"","") &amp;ToCamel($C12,"","") &amp;ToCamel($P12,"","")&amp;$R12</f>
        <v>getDashboardMainMonitoringCount</v>
      </c>
      <c r="T12" s="168" t="str">
        <f>ToCamel($B12,"","") &amp;ToCamel($C12,"","") &amp;ToCamel($V12,"","")&amp;"Model"</f>
        <v>DashboardMainMonitoringCountModel</v>
      </c>
      <c r="U12" s="168" t="str">
        <f>ToCamel($B12,"","") &amp;"Repository"</f>
        <v>DashboardRepository</v>
      </c>
      <c r="V12" s="177" t="s">
        <v>324</v>
      </c>
      <c r="W12" s="168" t="s">
        <v>293</v>
      </c>
      <c r="X12" s="168"/>
      <c r="Y12" s="168" t="s">
        <v>313</v>
      </c>
      <c r="Z12" s="168" t="s">
        <v>316</v>
      </c>
      <c r="AA12" s="168" t="str">
        <f>$W12 &amp; ToCamel($B12,"","") &amp;ToCamel($C12,"","") &amp;ToCamel($V12,"","")&amp;$X12</f>
        <v>selectDashboardMainMonitoringCount</v>
      </c>
      <c r="AB12" s="168" t="str">
        <f>ToCamel($B12,"","") &amp;ToCamel($C12,"","") &amp;ToCamel($V12,"","")&amp;"Model"</f>
        <v>DashboardMainMonitoringCountModel</v>
      </c>
      <c r="AC12" s="118"/>
      <c r="AD12" s="168" t="str">
        <f>ToCamel($B12,"","") &amp;ToCamel($C12,"","") &amp;ToCamel($V12,"","")&amp;"Model"</f>
        <v>DashboardMainMonitoringCountModel</v>
      </c>
      <c r="AE12" s="171" t="str">
        <f>"select /* web."&amp;$U12&amp;"."&amp;$W12 &amp; ToCamel($B12,"","") &amp;ToCamel($C12,"","") &amp;ToCamel($V12,"","")&amp;$X12&amp;" */" &amp; CHAR(10) &amp; "       a." &amp;$N12 &amp; CHAR(10) &amp; "     , a." &amp;N12 &amp; CHAR(10) &amp; "  from " &amp; $Y12 &amp;" a" &amp; CHAR(10) &amp; " where "&amp;$Z12&amp;" = #{"&amp;ToCamel($Z12,"","")&amp;"}"&amp; CHAR(10) &amp; ";"</f>
        <v>select /* web.DashboardRepository.selectDashboardMainMonitoringCount */
       a.nodesOk, nodesCount
     , a.nodesOk, nodesCount
  from rack a
 where rack_id = #{rackId}
;</v>
      </c>
      <c r="AF12" s="114" t="s">
        <v>4</v>
      </c>
      <c r="AG12" s="180"/>
    </row>
    <row r="13" spans="2:33" s="116" customFormat="1" ht="24.95" customHeight="1" x14ac:dyDescent="0.3">
      <c r="B13" s="105" t="s">
        <v>1</v>
      </c>
      <c r="C13" s="105" t="s">
        <v>2</v>
      </c>
      <c r="D13" s="106" t="s">
        <v>211</v>
      </c>
      <c r="E13" s="180"/>
      <c r="F13" s="202"/>
      <c r="G13" s="107" t="s">
        <v>286</v>
      </c>
      <c r="H13" s="190"/>
      <c r="I13" s="214"/>
      <c r="J13" s="214"/>
      <c r="K13" s="214"/>
      <c r="L13" s="214"/>
      <c r="M13" s="190"/>
      <c r="N13" s="108" t="s">
        <v>230</v>
      </c>
      <c r="O13" s="169"/>
      <c r="P13" s="178"/>
      <c r="Q13" s="169"/>
      <c r="R13" s="169"/>
      <c r="S13" s="172"/>
      <c r="T13" s="169"/>
      <c r="U13" s="169"/>
      <c r="V13" s="178"/>
      <c r="W13" s="169"/>
      <c r="X13" s="169"/>
      <c r="Y13" s="169"/>
      <c r="Z13" s="169"/>
      <c r="AA13" s="169"/>
      <c r="AB13" s="169"/>
      <c r="AC13" s="119"/>
      <c r="AD13" s="169"/>
      <c r="AE13" s="172"/>
      <c r="AF13" s="114" t="s">
        <v>6</v>
      </c>
      <c r="AG13" s="180"/>
    </row>
    <row r="14" spans="2:33" s="116" customFormat="1" ht="24.95" customHeight="1" x14ac:dyDescent="0.3">
      <c r="B14" s="105" t="s">
        <v>1</v>
      </c>
      <c r="C14" s="105" t="s">
        <v>2</v>
      </c>
      <c r="D14" s="106" t="s">
        <v>211</v>
      </c>
      <c r="E14" s="180"/>
      <c r="F14" s="202"/>
      <c r="G14" s="107" t="s">
        <v>286</v>
      </c>
      <c r="H14" s="190"/>
      <c r="I14" s="214"/>
      <c r="J14" s="214"/>
      <c r="K14" s="214"/>
      <c r="L14" s="214"/>
      <c r="M14" s="190"/>
      <c r="N14" s="108" t="s">
        <v>231</v>
      </c>
      <c r="O14" s="169"/>
      <c r="P14" s="178"/>
      <c r="Q14" s="169"/>
      <c r="R14" s="169"/>
      <c r="S14" s="172"/>
      <c r="T14" s="169"/>
      <c r="U14" s="169"/>
      <c r="V14" s="178"/>
      <c r="W14" s="169"/>
      <c r="X14" s="169"/>
      <c r="Y14" s="169"/>
      <c r="Z14" s="169"/>
      <c r="AA14" s="169"/>
      <c r="AB14" s="169"/>
      <c r="AC14" s="119"/>
      <c r="AD14" s="169"/>
      <c r="AE14" s="172"/>
      <c r="AF14" s="114" t="s">
        <v>7</v>
      </c>
      <c r="AG14" s="180"/>
    </row>
    <row r="15" spans="2:33" s="116" customFormat="1" ht="24.95" customHeight="1" x14ac:dyDescent="0.3">
      <c r="B15" s="105" t="s">
        <v>1</v>
      </c>
      <c r="C15" s="105" t="s">
        <v>2</v>
      </c>
      <c r="D15" s="106" t="s">
        <v>211</v>
      </c>
      <c r="E15" s="181"/>
      <c r="F15" s="203"/>
      <c r="G15" s="107" t="s">
        <v>286</v>
      </c>
      <c r="H15" s="191"/>
      <c r="I15" s="215"/>
      <c r="J15" s="215"/>
      <c r="K15" s="215"/>
      <c r="L15" s="215"/>
      <c r="M15" s="191"/>
      <c r="N15" s="108" t="s">
        <v>232</v>
      </c>
      <c r="O15" s="170"/>
      <c r="P15" s="179"/>
      <c r="Q15" s="170"/>
      <c r="R15" s="170"/>
      <c r="S15" s="173"/>
      <c r="T15" s="170"/>
      <c r="U15" s="170"/>
      <c r="V15" s="179"/>
      <c r="W15" s="170"/>
      <c r="X15" s="170"/>
      <c r="Y15" s="170"/>
      <c r="Z15" s="170"/>
      <c r="AA15" s="170"/>
      <c r="AB15" s="170"/>
      <c r="AC15" s="129"/>
      <c r="AD15" s="170"/>
      <c r="AE15" s="173"/>
      <c r="AF15" s="114" t="s">
        <v>8</v>
      </c>
      <c r="AG15" s="181"/>
    </row>
    <row r="16" spans="2:33" s="121" customFormat="1" ht="24.95" customHeight="1" x14ac:dyDescent="0.3">
      <c r="B16" s="201" t="s">
        <v>1</v>
      </c>
      <c r="C16" s="201" t="s">
        <v>2</v>
      </c>
      <c r="D16" s="204" t="s">
        <v>212</v>
      </c>
      <c r="E16" s="201"/>
      <c r="F16" s="201"/>
      <c r="G16" s="107" t="s">
        <v>286</v>
      </c>
      <c r="H16" s="189"/>
      <c r="I16" s="213" t="s">
        <v>238</v>
      </c>
      <c r="J16" s="213" t="str">
        <f>"/rest"&amp;ToCamelLower($B16,"/","")&amp;ToCamelLower($C16,"/","")&amp;ToCamelLower($D16,"/","")&amp;ToCamelLower($E16,"/","")&amp;ToCamelLower($F16,"/","")</f>
        <v>/rest/dashboard/main/dbMonitoring</v>
      </c>
      <c r="K16" s="213" t="str">
        <f>ToCamelLower($B16,"","") &amp; ToCamel($C16,"","") &amp; ToCamel($D16,"","") &amp; ToCamel($E16,"","") &amp; ToCamel($F16,"","")</f>
        <v>dashboardMainDbMonitoring</v>
      </c>
      <c r="L16" s="213" t="str">
        <f>"Url" &amp; "." &amp; ToCamelLower($B16,"","") &amp; "." &amp; ToCamelLower($C16,"","") &amp; ToCamel($D16,"","") &amp; ToCamel($E16,"","") &amp; ToCamel($F16,"","")</f>
        <v>Url.dashboard.mainDbMonitoring</v>
      </c>
      <c r="M16" s="189" t="s">
        <v>28</v>
      </c>
      <c r="N16" s="117" t="s">
        <v>28</v>
      </c>
      <c r="O16" s="117"/>
      <c r="P16" s="117"/>
      <c r="Q16" s="117"/>
      <c r="R16" s="117"/>
      <c r="S16" s="117"/>
      <c r="T16" s="117"/>
      <c r="U16" s="117"/>
      <c r="V16" s="117"/>
      <c r="W16" s="117"/>
      <c r="X16" s="117"/>
      <c r="Y16" s="117"/>
      <c r="Z16" s="117"/>
      <c r="AA16" s="117"/>
      <c r="AB16" s="117"/>
      <c r="AC16" s="117"/>
      <c r="AD16" s="117"/>
      <c r="AE16" s="117"/>
      <c r="AF16" s="114" t="s">
        <v>9</v>
      </c>
      <c r="AG16" s="120"/>
    </row>
    <row r="17" spans="2:33" s="121" customFormat="1" ht="24.95" customHeight="1" x14ac:dyDescent="0.3">
      <c r="B17" s="202"/>
      <c r="C17" s="202"/>
      <c r="D17" s="180"/>
      <c r="E17" s="202"/>
      <c r="F17" s="202"/>
      <c r="G17" s="107" t="s">
        <v>286</v>
      </c>
      <c r="H17" s="190"/>
      <c r="I17" s="214"/>
      <c r="J17" s="214"/>
      <c r="K17" s="214"/>
      <c r="L17" s="214"/>
      <c r="M17" s="190"/>
      <c r="N17" s="112" t="s">
        <v>180</v>
      </c>
      <c r="O17" s="111"/>
      <c r="P17" s="111"/>
      <c r="Q17" s="111"/>
      <c r="R17" s="111"/>
      <c r="S17" s="112"/>
      <c r="T17" s="112"/>
      <c r="U17" s="112"/>
      <c r="V17" s="111"/>
      <c r="W17" s="111"/>
      <c r="X17" s="111"/>
      <c r="Y17" s="112"/>
      <c r="Z17" s="112"/>
      <c r="AA17" s="112"/>
      <c r="AB17" s="112"/>
      <c r="AC17" s="112"/>
      <c r="AD17" s="112"/>
      <c r="AE17" s="112"/>
      <c r="AF17" s="114" t="s">
        <v>10</v>
      </c>
      <c r="AG17" s="120"/>
    </row>
    <row r="18" spans="2:33" s="121" customFormat="1" ht="24.95" customHeight="1" x14ac:dyDescent="0.3">
      <c r="B18" s="203"/>
      <c r="C18" s="203"/>
      <c r="D18" s="181"/>
      <c r="E18" s="203"/>
      <c r="F18" s="203"/>
      <c r="G18" s="107" t="s">
        <v>286</v>
      </c>
      <c r="H18" s="191"/>
      <c r="I18" s="215"/>
      <c r="J18" s="215"/>
      <c r="K18" s="215"/>
      <c r="L18" s="215"/>
      <c r="M18" s="191"/>
      <c r="N18" s="112" t="s">
        <v>181</v>
      </c>
      <c r="O18" s="111"/>
      <c r="P18" s="111"/>
      <c r="Q18" s="111"/>
      <c r="R18" s="111"/>
      <c r="S18" s="112"/>
      <c r="T18" s="112"/>
      <c r="U18" s="112"/>
      <c r="V18" s="111"/>
      <c r="W18" s="111"/>
      <c r="X18" s="111"/>
      <c r="Y18" s="112"/>
      <c r="Z18" s="112"/>
      <c r="AA18" s="112"/>
      <c r="AB18" s="112"/>
      <c r="AC18" s="112"/>
      <c r="AD18" s="112"/>
      <c r="AE18" s="112"/>
      <c r="AF18" s="114" t="s">
        <v>11</v>
      </c>
      <c r="AG18" s="120"/>
    </row>
    <row r="19" spans="2:33" s="121" customFormat="1" ht="24.95" customHeight="1" x14ac:dyDescent="0.3">
      <c r="B19" s="122" t="s">
        <v>1</v>
      </c>
      <c r="C19" s="122" t="s">
        <v>2</v>
      </c>
      <c r="D19" s="122" t="s">
        <v>186</v>
      </c>
      <c r="E19" s="123" t="s">
        <v>24</v>
      </c>
      <c r="F19" s="124"/>
      <c r="G19" s="122" t="s">
        <v>286</v>
      </c>
      <c r="H19" s="125"/>
      <c r="I19" s="126" t="s">
        <v>239</v>
      </c>
      <c r="J19" s="126" t="str">
        <f t="shared" ref="J19:J27" si="0">"/rest"&amp;ToCamelLower($B19,"/","")&amp;ToCamelLower($C19,"/","")&amp;ToCamelLower($D19,"/","")&amp;ToCamelLower($E19,"/","")&amp;ToCamelLower($F19,"/","")</f>
        <v>/rest/dashboard/main/cluster/info</v>
      </c>
      <c r="K19" s="126" t="str">
        <f t="shared" ref="K19:K27" si="1">ToCamelLower($B19,"","") &amp; ToCamel($C19,"","") &amp; ToCamel($D19,"","") &amp; ToCamel($E19,"","") &amp; ToCamel($F19,"","")</f>
        <v>dashboardMainClusterinfo</v>
      </c>
      <c r="L19" s="126" t="str">
        <f t="shared" ref="L19:L27" si="2">"Url" &amp; "." &amp; ToCamelLower($B19,"","") &amp; "." &amp; ToCamelLower($C19,"","") &amp; ToCamel($D19,"","") &amp; ToCamel($E19,"","") &amp; ToCamel($F19,"","")</f>
        <v>Url.dashboard.mainClusterinfo</v>
      </c>
      <c r="M19" s="127" t="s">
        <v>28</v>
      </c>
      <c r="N19" s="128" t="s">
        <v>199</v>
      </c>
      <c r="O19" s="129"/>
      <c r="P19" s="129"/>
      <c r="Q19" s="129"/>
      <c r="R19" s="129"/>
      <c r="S19" s="128"/>
      <c r="T19" s="128"/>
      <c r="U19" s="128"/>
      <c r="V19" s="129"/>
      <c r="W19" s="129"/>
      <c r="X19" s="129"/>
      <c r="Y19" s="128"/>
      <c r="Z19" s="128"/>
      <c r="AA19" s="128"/>
      <c r="AB19" s="128"/>
      <c r="AC19" s="128"/>
      <c r="AD19" s="128"/>
      <c r="AE19" s="128"/>
      <c r="AF19" s="130" t="s">
        <v>163</v>
      </c>
      <c r="AG19" s="120"/>
    </row>
    <row r="20" spans="2:33" s="94" customFormat="1" ht="24.95" customHeight="1" x14ac:dyDescent="0.3">
      <c r="B20" s="84" t="s">
        <v>1</v>
      </c>
      <c r="C20" s="84" t="s">
        <v>2</v>
      </c>
      <c r="D20" s="195" t="s">
        <v>0</v>
      </c>
      <c r="E20" s="222" t="s">
        <v>25</v>
      </c>
      <c r="F20" s="195"/>
      <c r="G20" s="102" t="s">
        <v>284</v>
      </c>
      <c r="H20" s="192"/>
      <c r="I20" s="208" t="s">
        <v>240</v>
      </c>
      <c r="J20" s="208" t="str">
        <f t="shared" si="0"/>
        <v>/rest/dashboard/main/nodes/info</v>
      </c>
      <c r="K20" s="208" t="str">
        <f t="shared" si="1"/>
        <v>dashboardMainNodesinfo</v>
      </c>
      <c r="L20" s="208" t="str">
        <f t="shared" si="2"/>
        <v>Url.dashboard.mainNodesinfo</v>
      </c>
      <c r="M20" s="192" t="s">
        <v>28</v>
      </c>
      <c r="N20" s="88" t="s">
        <v>287</v>
      </c>
      <c r="O20" s="159" t="str">
        <f>ToCamel($B20,"","") &amp;"Service"</f>
        <v>DashboardService</v>
      </c>
      <c r="P20" s="79" t="s">
        <v>298</v>
      </c>
      <c r="Q20" s="79" t="s">
        <v>327</v>
      </c>
      <c r="R20" s="79"/>
      <c r="S20" s="88" t="str">
        <f>$Q20 &amp; ToCamel($B20,"","") &amp;ToCamel($C20,"","") &amp;ToCamel($P20,"","")&amp;$R20</f>
        <v>getDashboardMainNodeAlive</v>
      </c>
      <c r="T20" s="88" t="str">
        <f>IF(ISBLANK($X20),"",$X20&amp;"&lt;")&amp;$AB20&amp;IF(ISBLANK($X20)," ","&gt; ")&amp; S20&amp;"(String " &amp; $M20 &amp;");"</f>
        <v>DashboardMainNodeAliveModel getDashboardMainNodeAlive(String N/A);</v>
      </c>
      <c r="U20" s="131" t="str">
        <f>ToCamel($B20,"","") &amp;"Repository"</f>
        <v>DashboardRepository</v>
      </c>
      <c r="V20" s="79" t="s">
        <v>298</v>
      </c>
      <c r="W20" s="79" t="s">
        <v>292</v>
      </c>
      <c r="X20" s="79"/>
      <c r="Y20" s="88" t="s">
        <v>317</v>
      </c>
      <c r="Z20" s="88" t="s">
        <v>318</v>
      </c>
      <c r="AA20" s="88" t="str">
        <f>$W20 &amp; ToCamel($B20,"","") &amp;ToCamel($C20,"","") &amp;ToCamel($V20,"","")&amp;$X20</f>
        <v>selectDashboardMainNodeAlive</v>
      </c>
      <c r="AB20" s="88" t="str">
        <f>ToCamel($B20,"","") &amp;ToCamel($C20,"","") &amp;ToCamel($V20,"","")&amp;"Model"</f>
        <v>DashboardMainNodeAliveModel</v>
      </c>
      <c r="AC20" s="88"/>
      <c r="AD20" s="88" t="str">
        <f>IF(ISBLANK($X20),"",$X20&amp;"&lt;")&amp;$AB20&amp;IF(ISBLANK($X20),"","&gt; ")&amp;AA20&amp; "(Map&lt;String, Object&gt; param);"</f>
        <v>DashboardMainNodeAliveModelselectDashboardMainNodeAlive(Map&lt;String, Object&gt; param);</v>
      </c>
      <c r="AE20" s="88" t="str">
        <f>"select /* web."&amp;$U20&amp;"."&amp;$W20 &amp; ToCamel($B20,"","") &amp;ToCamel($C20,"","") &amp;ToCamel($V20,"","")&amp;$X20&amp;" */" &amp; CHAR(10) &amp; "       a." &amp;$N20 &amp; CHAR(10) &amp; "     , a." &amp;N20 &amp; CHAR(10) &amp; "  from " &amp; $Y20 &amp;" a" &amp; CHAR(10) &amp; " where "&amp;$Z20&amp;" = #{"&amp;ToCamel($Z20,"","")&amp;"}"&amp; CHAR(10) &amp; ";"</f>
        <v>select /* web.DashboardRepository.selectDashboardMainNodeAlive */
       a.nodeAliveCount, nodeFailCount
     , a.nodeAliveCount, nodeFailCount
  from node a
 where node_id = #{nodeId}
;</v>
      </c>
      <c r="AF20" s="88"/>
      <c r="AG20" s="93"/>
    </row>
    <row r="21" spans="2:33" s="94" customFormat="1" ht="24.95" customHeight="1" x14ac:dyDescent="0.3">
      <c r="B21" s="84" t="s">
        <v>1</v>
      </c>
      <c r="C21" s="84" t="s">
        <v>2</v>
      </c>
      <c r="D21" s="197"/>
      <c r="E21" s="223"/>
      <c r="F21" s="197"/>
      <c r="G21" s="102" t="s">
        <v>284</v>
      </c>
      <c r="H21" s="194"/>
      <c r="I21" s="210"/>
      <c r="J21" s="210"/>
      <c r="K21" s="210"/>
      <c r="L21" s="210"/>
      <c r="M21" s="194"/>
      <c r="N21" s="88" t="s">
        <v>288</v>
      </c>
      <c r="O21" s="160"/>
      <c r="P21" s="79" t="s">
        <v>299</v>
      </c>
      <c r="Q21" s="79" t="s">
        <v>327</v>
      </c>
      <c r="R21" s="79" t="s">
        <v>294</v>
      </c>
      <c r="S21" s="88" t="str">
        <f>$Q21 &amp; ToCamel($B21,"","") &amp;ToCamel($C21,"","") &amp;ToCamel($P21,"","")&amp;$R21</f>
        <v>getDashboardMainNodeInfoList</v>
      </c>
      <c r="T21" s="88" t="str">
        <f>IF(ISBLANK($X21),"",$X21&amp;"&lt;")&amp;$AB21&amp;IF(ISBLANK($X21)," ","&gt; ")&amp; S21&amp;"(String " &amp; $M21 &amp;");"</f>
        <v>List&lt;DashboardMainNodeInfoModel&gt; getDashboardMainNodeInfoList(String );</v>
      </c>
      <c r="U21" s="131" t="str">
        <f>ToCamel($B21,"","") &amp;"Repository"</f>
        <v>DashboardRepository</v>
      </c>
      <c r="V21" s="79" t="s">
        <v>299</v>
      </c>
      <c r="W21" s="79" t="s">
        <v>293</v>
      </c>
      <c r="X21" s="79" t="s">
        <v>294</v>
      </c>
      <c r="Y21" s="88" t="s">
        <v>317</v>
      </c>
      <c r="Z21" s="88" t="s">
        <v>318</v>
      </c>
      <c r="AA21" s="88" t="str">
        <f>$W21 &amp; ToCamel($B21,"","") &amp;ToCamel($C21,"","") &amp;ToCamel($V21,"","")&amp;$X21</f>
        <v>selectDashboardMainNodeInfoList</v>
      </c>
      <c r="AB21" s="88" t="str">
        <f>ToCamel($B21,"","") &amp;ToCamel($C21,"","") &amp;ToCamel($V21,"","")&amp;"Model"</f>
        <v>DashboardMainNodeInfoModel</v>
      </c>
      <c r="AC21" s="88"/>
      <c r="AD21" s="88" t="str">
        <f>IF(ISBLANK($X21),"",$X21&amp;"&lt;")&amp;$AB21&amp;IF(ISBLANK($X21)," ","&gt; ")&amp;AA21&amp; "(Map&lt;String, Object&gt; param);"</f>
        <v>List&lt;DashboardMainNodeInfoModel&gt; selectDashboardMainNodeInfoList(Map&lt;String, Object&gt; param);</v>
      </c>
      <c r="AE21" s="88" t="str">
        <f>"select /* web."&amp;$U21&amp;"."&amp;$W21 &amp; ToCamel($B21,"","") &amp;ToCamel($C21,"","") &amp;ToCamel($V21,"","")&amp;$X21&amp;" */" &amp; CHAR(10) &amp; "       a." &amp;$N21 &amp; CHAR(10) &amp; "     , a." &amp;N21 &amp; CHAR(10) &amp; "  from " &amp; $Y21 &amp;" a" &amp; CHAR(10) &amp; " where "&amp;$Z21&amp;" = #{"&amp;ToCamel($Z21,"","")&amp;"}"&amp; CHAR(10) &amp; ";"</f>
        <v>select /* web.DashboardRepository.selectDashboardMainNodeInfoList */
       a.2. Node Info : nodeName, osName cpuName, memoryName
     , a.2. Node Info : nodeName, osName cpuName, memoryName
  from node a
 where node_id = #{nodeId}
;</v>
      </c>
      <c r="AF21" s="92" t="s">
        <v>163</v>
      </c>
      <c r="AG21" s="93"/>
    </row>
    <row r="22" spans="2:33" s="142" customFormat="1" ht="24.95" customHeight="1" x14ac:dyDescent="0.3">
      <c r="B22" s="132" t="s">
        <v>1</v>
      </c>
      <c r="C22" s="132" t="s">
        <v>2</v>
      </c>
      <c r="D22" s="133" t="s">
        <v>187</v>
      </c>
      <c r="E22" s="134" t="s">
        <v>25</v>
      </c>
      <c r="F22" s="135"/>
      <c r="G22" s="132" t="s">
        <v>286</v>
      </c>
      <c r="H22" s="136"/>
      <c r="I22" s="137" t="s">
        <v>241</v>
      </c>
      <c r="J22" s="137" t="str">
        <f t="shared" si="0"/>
        <v>/rest/dashboard/main/segment/info</v>
      </c>
      <c r="K22" s="137" t="str">
        <f t="shared" si="1"/>
        <v>dashboardMainSegmentinfo</v>
      </c>
      <c r="L22" s="137" t="str">
        <f t="shared" si="2"/>
        <v>Url.dashboard.mainSegmentinfo</v>
      </c>
      <c r="M22" s="138" t="s">
        <v>28</v>
      </c>
      <c r="N22" s="139" t="s">
        <v>158</v>
      </c>
      <c r="O22" s="140"/>
      <c r="P22" s="140"/>
      <c r="Q22" s="140"/>
      <c r="R22" s="140"/>
      <c r="S22" s="139"/>
      <c r="T22" s="139"/>
      <c r="U22" s="139"/>
      <c r="V22" s="140"/>
      <c r="W22" s="140"/>
      <c r="X22" s="140"/>
      <c r="Y22" s="139"/>
      <c r="Z22" s="139"/>
      <c r="AA22" s="139"/>
      <c r="AB22" s="139"/>
      <c r="AC22" s="139"/>
      <c r="AD22" s="139"/>
      <c r="AE22" s="139"/>
      <c r="AF22" s="136" t="s">
        <v>163</v>
      </c>
      <c r="AG22" s="141"/>
    </row>
    <row r="23" spans="2:33" s="142" customFormat="1" ht="24.95" customHeight="1" x14ac:dyDescent="0.3">
      <c r="B23" s="132" t="s">
        <v>1</v>
      </c>
      <c r="C23" s="132" t="s">
        <v>2</v>
      </c>
      <c r="D23" s="133" t="s">
        <v>208</v>
      </c>
      <c r="E23" s="134" t="s">
        <v>25</v>
      </c>
      <c r="F23" s="135"/>
      <c r="G23" s="132" t="s">
        <v>286</v>
      </c>
      <c r="H23" s="136"/>
      <c r="I23" s="137" t="s">
        <v>242</v>
      </c>
      <c r="J23" s="137" t="str">
        <f t="shared" si="0"/>
        <v>/rest/dashboard/main/batchJob/info</v>
      </c>
      <c r="K23" s="137" t="str">
        <f t="shared" si="1"/>
        <v>dashboardMainBatchJobinfo</v>
      </c>
      <c r="L23" s="137" t="str">
        <f t="shared" si="2"/>
        <v>Url.dashboard.mainBatchJobinfo</v>
      </c>
      <c r="M23" s="138" t="s">
        <v>28</v>
      </c>
      <c r="N23" s="139" t="s">
        <v>160</v>
      </c>
      <c r="O23" s="140"/>
      <c r="P23" s="140"/>
      <c r="Q23" s="140"/>
      <c r="R23" s="140"/>
      <c r="S23" s="139"/>
      <c r="T23" s="139"/>
      <c r="U23" s="139"/>
      <c r="V23" s="140"/>
      <c r="W23" s="140"/>
      <c r="X23" s="140"/>
      <c r="Y23" s="139"/>
      <c r="Z23" s="139"/>
      <c r="AA23" s="139"/>
      <c r="AB23" s="139"/>
      <c r="AC23" s="139"/>
      <c r="AD23" s="139"/>
      <c r="AE23" s="139"/>
      <c r="AF23" s="136" t="s">
        <v>163</v>
      </c>
      <c r="AG23" s="143" t="s">
        <v>159</v>
      </c>
    </row>
    <row r="24" spans="2:33" s="142" customFormat="1" ht="24.95" customHeight="1" x14ac:dyDescent="0.3">
      <c r="B24" s="132" t="s">
        <v>1</v>
      </c>
      <c r="C24" s="132" t="s">
        <v>2</v>
      </c>
      <c r="D24" s="133" t="s">
        <v>188</v>
      </c>
      <c r="E24" s="134" t="s">
        <v>25</v>
      </c>
      <c r="F24" s="135"/>
      <c r="G24" s="132" t="s">
        <v>286</v>
      </c>
      <c r="H24" s="136"/>
      <c r="I24" s="137" t="s">
        <v>243</v>
      </c>
      <c r="J24" s="137" t="str">
        <f t="shared" si="0"/>
        <v>/rest/dashboard/main/alert/info</v>
      </c>
      <c r="K24" s="137" t="str">
        <f t="shared" si="1"/>
        <v>dashboardMainAlertinfo</v>
      </c>
      <c r="L24" s="137" t="str">
        <f t="shared" si="2"/>
        <v>Url.dashboard.mainAlertinfo</v>
      </c>
      <c r="M24" s="138" t="s">
        <v>28</v>
      </c>
      <c r="N24" s="139" t="s">
        <v>162</v>
      </c>
      <c r="O24" s="140"/>
      <c r="P24" s="140"/>
      <c r="Q24" s="140"/>
      <c r="R24" s="140"/>
      <c r="S24" s="139"/>
      <c r="T24" s="139"/>
      <c r="U24" s="139"/>
      <c r="V24" s="140"/>
      <c r="W24" s="140"/>
      <c r="X24" s="140"/>
      <c r="Y24" s="139"/>
      <c r="Z24" s="139"/>
      <c r="AA24" s="139"/>
      <c r="AB24" s="139"/>
      <c r="AC24" s="139"/>
      <c r="AD24" s="139"/>
      <c r="AE24" s="139"/>
      <c r="AF24" s="136" t="s">
        <v>163</v>
      </c>
      <c r="AG24" s="141"/>
    </row>
    <row r="25" spans="2:33" s="142" customFormat="1" ht="24.95" customHeight="1" x14ac:dyDescent="0.3">
      <c r="B25" s="132" t="s">
        <v>1</v>
      </c>
      <c r="C25" s="132" t="s">
        <v>2</v>
      </c>
      <c r="D25" s="133" t="s">
        <v>189</v>
      </c>
      <c r="E25" s="134" t="s">
        <v>25</v>
      </c>
      <c r="F25" s="135"/>
      <c r="G25" s="132" t="s">
        <v>286</v>
      </c>
      <c r="H25" s="136"/>
      <c r="I25" s="137" t="s">
        <v>244</v>
      </c>
      <c r="J25" s="137" t="str">
        <f t="shared" si="0"/>
        <v>/rest/dashboard/main/error/info</v>
      </c>
      <c r="K25" s="137" t="str">
        <f t="shared" si="1"/>
        <v>dashboardMainErrorinfo</v>
      </c>
      <c r="L25" s="137" t="str">
        <f t="shared" si="2"/>
        <v>Url.dashboard.mainErrorinfo</v>
      </c>
      <c r="M25" s="138" t="s">
        <v>28</v>
      </c>
      <c r="N25" s="139" t="s">
        <v>161</v>
      </c>
      <c r="O25" s="140"/>
      <c r="P25" s="140"/>
      <c r="Q25" s="140"/>
      <c r="R25" s="140"/>
      <c r="S25" s="139"/>
      <c r="T25" s="139"/>
      <c r="U25" s="139"/>
      <c r="V25" s="140"/>
      <c r="W25" s="140"/>
      <c r="X25" s="140"/>
      <c r="Y25" s="139"/>
      <c r="Z25" s="139"/>
      <c r="AA25" s="139"/>
      <c r="AB25" s="139"/>
      <c r="AC25" s="139"/>
      <c r="AD25" s="139"/>
      <c r="AE25" s="139"/>
      <c r="AF25" s="136" t="s">
        <v>163</v>
      </c>
      <c r="AG25" s="141"/>
    </row>
    <row r="26" spans="2:33" s="3" customFormat="1" ht="24.95" customHeight="1" x14ac:dyDescent="0.3">
      <c r="B26" s="16" t="s">
        <v>1</v>
      </c>
      <c r="C26" s="16" t="s">
        <v>2</v>
      </c>
      <c r="D26" s="28" t="s">
        <v>226</v>
      </c>
      <c r="E26" s="16"/>
      <c r="F26" s="16"/>
      <c r="G26" s="16" t="s">
        <v>284</v>
      </c>
      <c r="H26" s="26"/>
      <c r="I26" s="55" t="s">
        <v>245</v>
      </c>
      <c r="J26" s="55" t="str">
        <f t="shared" si="0"/>
        <v>/rest/dashboard/main/queryXview</v>
      </c>
      <c r="K26" s="55" t="str">
        <f t="shared" si="1"/>
        <v>dashboardMainQueryXview</v>
      </c>
      <c r="L26" s="55" t="str">
        <f t="shared" si="2"/>
        <v>Url.dashboard.mainQueryXview</v>
      </c>
      <c r="M26" s="27" t="s">
        <v>28</v>
      </c>
      <c r="N26" s="8" t="s">
        <v>48</v>
      </c>
      <c r="O26" s="49" t="str">
        <f>ToCamel($B26,"","") &amp;"Service"</f>
        <v>DashboardService</v>
      </c>
      <c r="P26" s="44"/>
      <c r="Q26" s="44"/>
      <c r="R26" s="44"/>
      <c r="S26" s="8"/>
      <c r="T26" s="8"/>
      <c r="U26" s="45" t="str">
        <f>ToCamel($B26,"","") &amp;"Repository"</f>
        <v>DashboardRepository</v>
      </c>
      <c r="V26" s="44"/>
      <c r="W26" s="44"/>
      <c r="X26" s="44"/>
      <c r="Y26" s="8"/>
      <c r="Z26" s="8"/>
      <c r="AA26" s="8"/>
      <c r="AB26" s="8"/>
      <c r="AC26" s="8"/>
      <c r="AD26" s="8"/>
      <c r="AE26" s="8"/>
      <c r="AF26" s="59" t="s">
        <v>46</v>
      </c>
      <c r="AG26" s="22" t="s">
        <v>169</v>
      </c>
    </row>
    <row r="27" spans="2:33" s="94" customFormat="1" ht="75.75" customHeight="1" x14ac:dyDescent="0.3">
      <c r="B27" s="84" t="s">
        <v>1</v>
      </c>
      <c r="C27" s="84" t="s">
        <v>2</v>
      </c>
      <c r="D27" s="85" t="s">
        <v>225</v>
      </c>
      <c r="E27" s="84"/>
      <c r="F27" s="101"/>
      <c r="G27" s="84" t="s">
        <v>284</v>
      </c>
      <c r="H27" s="92"/>
      <c r="I27" s="78" t="s">
        <v>246</v>
      </c>
      <c r="J27" s="78" t="str">
        <f t="shared" si="0"/>
        <v>/rest/dashboard/main/nodeResourceStatus</v>
      </c>
      <c r="K27" s="78" t="str">
        <f t="shared" si="1"/>
        <v>dashboardMainNodeResourceStatus</v>
      </c>
      <c r="L27" s="78" t="str">
        <f t="shared" si="2"/>
        <v>Url.dashboard.mainNodeResourceStatus</v>
      </c>
      <c r="M27" s="103" t="s">
        <v>30</v>
      </c>
      <c r="N27" s="88" t="s">
        <v>164</v>
      </c>
      <c r="O27" s="79" t="str">
        <f>ToCamel($B27,"","") &amp;"Service"</f>
        <v>DashboardService</v>
      </c>
      <c r="P27" s="90" t="s">
        <v>302</v>
      </c>
      <c r="Q27" s="79" t="s">
        <v>327</v>
      </c>
      <c r="R27" s="79" t="s">
        <v>294</v>
      </c>
      <c r="S27" s="88" t="str">
        <f>$Q27 &amp; ToCamel($B27,"","") &amp;ToCamel($C27,"","") &amp;ToCamel($P27,"","")&amp;$R27</f>
        <v>getDashboardMainNodeResourceStatusList</v>
      </c>
      <c r="T27" s="88" t="str">
        <f>IF(ISBLANK($X27),"",$X27&amp;"&lt;")&amp;$AB27&amp;IF(ISBLANK($X27)," ","&gt; ")&amp; S27&amp;"(String " &amp; $M27 &amp;");"</f>
        <v>List&lt;DashboardMainNodeResourceStatusModel&gt; getDashboardMainNodeResourceStatusList(String rackId);</v>
      </c>
      <c r="U27" s="144" t="str">
        <f>ToCamel($B27,"","") &amp;"Repository"</f>
        <v>DashboardRepository</v>
      </c>
      <c r="V27" s="90" t="s">
        <v>302</v>
      </c>
      <c r="W27" s="79" t="s">
        <v>293</v>
      </c>
      <c r="X27" s="79" t="s">
        <v>294</v>
      </c>
      <c r="Y27" s="88" t="s">
        <v>317</v>
      </c>
      <c r="Z27" s="88" t="s">
        <v>318</v>
      </c>
      <c r="AA27" s="88" t="str">
        <f>$W27 &amp; ToCamel($B27,"","") &amp;ToCamel($C27,"","") &amp;ToCamel($V27,"","")&amp;$X27</f>
        <v>selectDashboardMainNodeResourceStatusList</v>
      </c>
      <c r="AB27" s="88" t="str">
        <f>ToCamel($B27,"","") &amp;ToCamel($C27,"","") &amp;ToCamel($V27,"","")&amp;"Model"</f>
        <v>DashboardMainNodeResourceStatusModel</v>
      </c>
      <c r="AC27" s="88"/>
      <c r="AD27" s="88" t="str">
        <f>IF(ISBLANK($X27),"",$X27&amp;"&lt;")&amp;$AB27&amp;IF(ISBLANK($X27)," ","&gt; ")&amp;AA27&amp; "(Map&lt;String, Object&gt; param);"</f>
        <v>List&lt;DashboardMainNodeResourceStatusModel&gt; selectDashboardMainNodeResourceStatusList(Map&lt;String, Object&gt; param);</v>
      </c>
      <c r="AE27" s="88" t="str">
        <f>"select /* web."&amp;$U27&amp;"."&amp;$W27 &amp; ToCamel($B27,"","") &amp;ToCamel($C27,"","") &amp;ToCamel($V27,"","")&amp;$X27&amp;" */" &amp; CHAR(10) &amp; "       a." &amp;$N27 &amp; CHAR(10) &amp; "     , a." &amp;N27 &amp; CHAR(10) &amp; "  from " &amp; $Y27 &amp;" a" &amp; CHAR(10) &amp; " where "&amp;$Z27&amp;" = #{"&amp;ToCamel($Z27,"","")&amp;"}"&amp; CHAR(10) &amp; ";"</f>
        <v>select /* web.DashboardRepository.selectDashboardMainNodeResourceStatusList */
       a.rackId, nodeId, cpuPercent, memoryPercent, useDataVolume, totalDataVolume, errorCount
     , a.rackId, nodeId, cpuPercent, memoryPercent, useDataVolume, totalDataVolume, errorCount
  from node a
 where node_id = #{nodeId}
;</v>
      </c>
      <c r="AF27" s="92" t="s">
        <v>163</v>
      </c>
      <c r="AG27" s="93"/>
    </row>
    <row r="28" spans="2:33" s="83" customFormat="1" ht="24.95" customHeight="1" x14ac:dyDescent="0.3">
      <c r="B28" s="74" t="s">
        <v>1</v>
      </c>
      <c r="C28" s="74" t="s">
        <v>33</v>
      </c>
      <c r="D28" s="95"/>
      <c r="E28" s="75"/>
      <c r="F28" s="75"/>
      <c r="G28" s="100"/>
      <c r="H28" s="96" t="str">
        <f>ToCamel($B28,"","")&amp;ToCamel($C28,"","")&amp;"Controller"&amp;".java" &amp; CHAR(10)</f>
        <v xml:space="preserve">DashboardResourceController.java
</v>
      </c>
      <c r="I28" s="145" t="s">
        <v>276</v>
      </c>
      <c r="J28" s="98"/>
      <c r="K28" s="98"/>
      <c r="L28" s="98"/>
      <c r="M28" s="82"/>
      <c r="N28" s="80"/>
      <c r="O28" s="146"/>
      <c r="P28" s="81"/>
      <c r="Q28" s="81"/>
      <c r="R28" s="81"/>
      <c r="S28" s="80"/>
      <c r="T28" s="80"/>
      <c r="U28" s="146"/>
      <c r="V28" s="81"/>
      <c r="W28" s="81"/>
      <c r="X28" s="81"/>
      <c r="Y28" s="80"/>
      <c r="Z28" s="80"/>
      <c r="AA28" s="80"/>
      <c r="AB28" s="80"/>
      <c r="AC28" s="80"/>
      <c r="AD28" s="80"/>
      <c r="AE28" s="80"/>
      <c r="AF28" s="82"/>
    </row>
    <row r="29" spans="2:33" s="83" customFormat="1" ht="24.95" customHeight="1" x14ac:dyDescent="0.3">
      <c r="B29" s="74" t="s">
        <v>1</v>
      </c>
      <c r="C29" s="74" t="s">
        <v>33</v>
      </c>
      <c r="D29" s="95"/>
      <c r="E29" s="75"/>
      <c r="F29" s="75"/>
      <c r="G29" s="84" t="s">
        <v>284</v>
      </c>
      <c r="H29" s="96" t="str">
        <f>ToCamelLower($B29,"/","/")&amp;ToCamelLower($B29,"","_")&amp;ToCamelLower($C29,"","")&amp;".jsp"</f>
        <v>/dashboard/dashboard_resource.jsp</v>
      </c>
      <c r="I29" s="145" t="s">
        <v>235</v>
      </c>
      <c r="J29" s="78" t="str">
        <f>ToCamelLower($B29,"/","")&amp;ToCamelLower($C29,"/","")&amp;ToCamelLower($D29,"/","")&amp;ToCamelLower($E29,"/","")&amp;ToCamelLower($F29,"/","")</f>
        <v>/dashboard/resource</v>
      </c>
      <c r="K29" s="78" t="str">
        <f>ToCamelLower($B29,"","") &amp; ToCamel($C29,"","") &amp; ToCamel($D29,"","") &amp; ToCamel($E29,"","") &amp; ToCamel($F29,"","")</f>
        <v>dashboardResource</v>
      </c>
      <c r="L29" s="78"/>
      <c r="M29" s="82"/>
      <c r="N29" s="80"/>
      <c r="O29" s="89"/>
      <c r="P29" s="81"/>
      <c r="Q29" s="81"/>
      <c r="R29" s="81"/>
      <c r="S29" s="80"/>
      <c r="T29" s="80"/>
      <c r="U29" s="91"/>
      <c r="V29" s="81"/>
      <c r="W29" s="81"/>
      <c r="X29" s="81"/>
      <c r="Y29" s="80"/>
      <c r="Z29" s="80"/>
      <c r="AA29" s="80"/>
      <c r="AB29" s="80"/>
      <c r="AC29" s="80"/>
      <c r="AD29" s="80"/>
      <c r="AE29" s="80"/>
      <c r="AF29" s="82"/>
    </row>
    <row r="30" spans="2:33" s="3" customFormat="1" ht="24.95" customHeight="1" x14ac:dyDescent="0.3">
      <c r="B30" s="16" t="s">
        <v>1</v>
      </c>
      <c r="C30" s="16" t="s">
        <v>33</v>
      </c>
      <c r="D30" s="19" t="s">
        <v>190</v>
      </c>
      <c r="E30" s="16"/>
      <c r="F30" s="16"/>
      <c r="G30" s="16" t="s">
        <v>284</v>
      </c>
      <c r="H30" s="55"/>
      <c r="I30" s="219" t="s">
        <v>247</v>
      </c>
      <c r="J30" s="219" t="str">
        <f>"/rest"&amp;ToCamelLower($B30,"/","")&amp;ToCamelLower($C30,"/","")&amp;ToCamelLower($D30,"/","")</f>
        <v>/rest/dashboard/resource/realTimeResource</v>
      </c>
      <c r="K30" s="219" t="str">
        <f>ToCamelLower($B30,"","") &amp; ToCamel($C30,"","") &amp; ToCamel($D30,"","") &amp; ToCamel($E30,"","") &amp; ToCamel($F30,"","")</f>
        <v>dashboardResourceRealTimeResource</v>
      </c>
      <c r="L30" s="219" t="str">
        <f>"Url" &amp; "." &amp; ToCamelLower($B30,"","") &amp; "." &amp; ToCamelLower($C30,"","") &amp; ToCamel($D30,"","") &amp; ToCamel($E30,"","")</f>
        <v>Url.dashboard.resourceRealTimeResource</v>
      </c>
      <c r="M30" s="27" t="s">
        <v>30</v>
      </c>
      <c r="N30" s="8" t="s">
        <v>336</v>
      </c>
      <c r="O30" s="49" t="str">
        <f t="shared" ref="O30:O34" si="3">ToCamel($B30,"","") &amp;"Service"</f>
        <v>DashboardService</v>
      </c>
      <c r="P30" s="51" t="s">
        <v>191</v>
      </c>
      <c r="Q30" s="44" t="s">
        <v>327</v>
      </c>
      <c r="R30" s="44" t="s">
        <v>294</v>
      </c>
      <c r="S30" s="8" t="str">
        <f>$Q30 &amp; ToCamel($B30,"","") &amp;ToCamel($C30,"","") &amp;ToCamel($P30,"","")&amp;$R30</f>
        <v>getDashboardResourceRealTimeResourceList</v>
      </c>
      <c r="T30" s="88" t="str">
        <f>IF(ISBLANK($X30),"",$X30&amp;"&lt;")&amp;$AB30&amp;IF(ISBLANK($X30)," ","&gt; ")&amp; S30&amp;"(String " &amp; $M30 &amp;");"</f>
        <v>List&lt;DashboardResourceRealTimeResourceModel&gt; getDashboardResourceRealTimeResourceList(String rackId);</v>
      </c>
      <c r="U30" s="45" t="str">
        <f>ToCamel($B30,"","") &amp;"Repository"</f>
        <v>DashboardRepository</v>
      </c>
      <c r="V30" s="51" t="s">
        <v>191</v>
      </c>
      <c r="W30" s="44" t="s">
        <v>293</v>
      </c>
      <c r="X30" s="44" t="s">
        <v>294</v>
      </c>
      <c r="Y30" s="8" t="s">
        <v>317</v>
      </c>
      <c r="Z30" s="8" t="s">
        <v>318</v>
      </c>
      <c r="AA30" s="8" t="str">
        <f>$W30 &amp; ToCamel($B30,"","") &amp;ToCamel($C30,"","") &amp;ToCamel($V30,"","")&amp;$X30</f>
        <v>selectDashboardResourceRealTimeResourceList</v>
      </c>
      <c r="AB30" s="8" t="str">
        <f>ToCamel($B30,"","") &amp;ToCamel($C30,"","") &amp;ToCamel($V30,"","")&amp;"Model"</f>
        <v>DashboardResourceRealTimeResourceModel</v>
      </c>
      <c r="AC30" s="8"/>
      <c r="AD30" s="88" t="str">
        <f>IF(ISBLANK($X30),"",$X30&amp;"&lt;")&amp;$AB30&amp;IF(ISBLANK($X30)," ","&gt; ")&amp;AA30&amp; "(Map&lt;String, Object&gt; param);"</f>
        <v>List&lt;DashboardResourceRealTimeResourceModel&gt; selectDashboardResourceRealTimeResourceList(Map&lt;String, Object&gt; param);</v>
      </c>
      <c r="AE30" s="8" t="str">
        <f>W30&amp;" /* web."&amp;$U30&amp;"."&amp;$W30 &amp; ToCamel($B30,"","") &amp;ToCamel($C30,"","") &amp;ToCamel($V30,"","")&amp;$X30&amp;" */" &amp; CHAR(10) &amp; "       a." &amp;$N30 &amp; CHAR(10) &amp; "     , a." &amp;N30 &amp; CHAR(10) &amp; "  from " &amp; $Y30 &amp;" a" &amp; CHAR(10) &amp; " where "&amp;$Z30&amp;" = #{"&amp;ToCamel($Z30,"","")&amp;"}"&amp; CHAR(10) &amp; ";"</f>
        <v>select /* web.DashboardRepository.selectDashboardResourceRealTimeResourceList */
       a.nodeId, nodeName, cpuPercent, cupChartItem, cpuCount, cpuCoreCount, memoryPercent, memoryChartItem, memoryUsageSize, memoryTotalSize
     , a.nodeId, nodeName, cpuPercent, cupChartItem, cpuCount, cpuCoreCount, memoryPercent, memoryChartItem, memoryUsageSize, memoryTotalSize
  from node a
 where node_id = #{nodeId}
;</v>
      </c>
      <c r="AF30" s="26" t="s">
        <v>157</v>
      </c>
      <c r="AG30" s="22"/>
    </row>
    <row r="31" spans="2:33" s="3" customFormat="1" ht="24.95" customHeight="1" x14ac:dyDescent="0.3">
      <c r="B31" s="16" t="s">
        <v>1</v>
      </c>
      <c r="C31" s="16" t="s">
        <v>33</v>
      </c>
      <c r="D31" s="19" t="s">
        <v>190</v>
      </c>
      <c r="E31" s="16"/>
      <c r="F31" s="16"/>
      <c r="G31" s="16" t="s">
        <v>284</v>
      </c>
      <c r="H31" s="55"/>
      <c r="I31" s="220"/>
      <c r="J31" s="220"/>
      <c r="K31" s="220"/>
      <c r="L31" s="220"/>
      <c r="M31" s="27" t="s">
        <v>30</v>
      </c>
      <c r="N31" s="8" t="s">
        <v>337</v>
      </c>
      <c r="O31" s="70" t="str">
        <f t="shared" si="3"/>
        <v>DashboardService</v>
      </c>
      <c r="P31" s="51" t="s">
        <v>339</v>
      </c>
      <c r="Q31" s="44" t="s">
        <v>327</v>
      </c>
      <c r="R31" s="44" t="s">
        <v>294</v>
      </c>
      <c r="S31" s="8" t="str">
        <f>$Q31 &amp; ToCamel($B31,"","") &amp;ToCamel($C31,"","") &amp;ToCamel($P31,"","")&amp;$R31</f>
        <v>getDashboardResourceRealTimeResourceForDiskList</v>
      </c>
      <c r="T31" s="88" t="str">
        <f>IF(ISBLANK($X31),"",$X31&amp;"&lt;")&amp;$AB31&amp;IF(ISBLANK($X31)," ","&gt; ")&amp; S31&amp;"(String " &amp; $M31 &amp;");"</f>
        <v>List&lt;DashboardResourceRealTimeResourceForDiskModel&gt; getDashboardResourceRealTimeResourceForDiskList(String rackId);</v>
      </c>
      <c r="U31" s="71" t="str">
        <f>ToCamel($B31,"","") &amp;"Repository"</f>
        <v>DashboardRepository</v>
      </c>
      <c r="V31" s="51" t="s">
        <v>339</v>
      </c>
      <c r="W31" s="44" t="s">
        <v>292</v>
      </c>
      <c r="X31" s="44" t="s">
        <v>294</v>
      </c>
      <c r="Y31" s="8" t="s">
        <v>317</v>
      </c>
      <c r="Z31" s="8" t="s">
        <v>318</v>
      </c>
      <c r="AA31" s="8" t="str">
        <f>$W31 &amp; ToCamel($B31,"","") &amp;ToCamel($C31,"","") &amp;ToCamel($V31,"","")&amp;$X31</f>
        <v>selectDashboardResourceRealTimeResourceForDiskList</v>
      </c>
      <c r="AB31" s="8" t="str">
        <f>ToCamel($B31,"","") &amp;ToCamel($C31,"","") &amp;ToCamel($V31,"","")&amp;"Model"</f>
        <v>DashboardResourceRealTimeResourceForDiskModel</v>
      </c>
      <c r="AC31" s="8"/>
      <c r="AD31" s="88" t="str">
        <f>IF(ISBLANK($X31),"",$X31&amp;"&lt;")&amp;$AB31&amp;IF(ISBLANK($X31)," ","&gt; ")&amp;AA31&amp; "(Map&lt;String, Object&gt; param);"</f>
        <v>List&lt;DashboardResourceRealTimeResourceForDiskModel&gt; selectDashboardResourceRealTimeResourceForDiskList(Map&lt;String, Object&gt; param);</v>
      </c>
      <c r="AE31" s="8" t="str">
        <f>W31&amp;" /* web."&amp;$U31&amp;"."&amp;$W31 &amp; ToCamel($B31,"","") &amp;ToCamel($C31,"","") &amp;ToCamel($V31,"","")&amp;$X31&amp;" */" &amp; CHAR(10) &amp; "       a." &amp;$N31 &amp; CHAR(10) &amp; "     , a." &amp;N31 &amp; CHAR(10) &amp; "  from " &amp; $Y31 &amp;" a" &amp; CHAR(10) &amp; " where "&amp;$Z31&amp;" = #{"&amp;ToCamel($Z31,"","")&amp;"}"&amp; CHAR(10) &amp; ";"</f>
        <v>select /* web.DashboardRepository.selectDashboardResourceRealTimeResourceForDiskList */
       a.fileSystemPath, read, write, busyPercent 
     , a.fileSystemPath, read, write, busyPercent 
  from node a
 where node_id = #{nodeId}
;</v>
      </c>
      <c r="AF31" s="26" t="s">
        <v>157</v>
      </c>
      <c r="AG31" s="22"/>
    </row>
    <row r="32" spans="2:33" s="3" customFormat="1" ht="24.95" customHeight="1" x14ac:dyDescent="0.3">
      <c r="B32" s="16" t="s">
        <v>1</v>
      </c>
      <c r="C32" s="16" t="s">
        <v>33</v>
      </c>
      <c r="D32" s="19" t="s">
        <v>190</v>
      </c>
      <c r="E32" s="16"/>
      <c r="F32" s="16"/>
      <c r="G32" s="16" t="s">
        <v>284</v>
      </c>
      <c r="H32" s="55"/>
      <c r="I32" s="221"/>
      <c r="J32" s="221"/>
      <c r="K32" s="221"/>
      <c r="L32" s="221"/>
      <c r="M32" s="27" t="s">
        <v>30</v>
      </c>
      <c r="N32" s="8" t="s">
        <v>338</v>
      </c>
      <c r="O32" s="70" t="str">
        <f t="shared" si="3"/>
        <v>DashboardService</v>
      </c>
      <c r="P32" s="51" t="s">
        <v>340</v>
      </c>
      <c r="Q32" s="44" t="s">
        <v>327</v>
      </c>
      <c r="R32" s="44" t="s">
        <v>294</v>
      </c>
      <c r="S32" s="8" t="str">
        <f>$Q32 &amp; ToCamel($B32,"","") &amp;ToCamel($C32,"","") &amp;ToCamel($P32,"","")&amp;$R32</f>
        <v>getDashboardResourceRealTimeResourceForNetworkList</v>
      </c>
      <c r="T32" s="88" t="str">
        <f>IF(ISBLANK($X32),"",$X32&amp;"&lt;")&amp;$AB32&amp;IF(ISBLANK($X32)," ","&gt; ")&amp; S32&amp;"(String " &amp; $M32 &amp;");"</f>
        <v>List&lt;DashboardResourceRealTimeResourceForNetworkModel&gt; getDashboardResourceRealTimeResourceForNetworkList(String rackId);</v>
      </c>
      <c r="U32" s="71" t="str">
        <f>ToCamel($B32,"","") &amp;"Repository"</f>
        <v>DashboardRepository</v>
      </c>
      <c r="V32" s="51" t="s">
        <v>340</v>
      </c>
      <c r="W32" s="44" t="s">
        <v>292</v>
      </c>
      <c r="X32" s="44" t="s">
        <v>294</v>
      </c>
      <c r="Y32" s="8" t="s">
        <v>317</v>
      </c>
      <c r="Z32" s="8" t="s">
        <v>318</v>
      </c>
      <c r="AA32" s="8" t="str">
        <f>$W32 &amp; ToCamel($B32,"","") &amp;ToCamel($C32,"","") &amp;ToCamel($V32,"","")&amp;$X32</f>
        <v>selectDashboardResourceRealTimeResourceForNetworkList</v>
      </c>
      <c r="AB32" s="8" t="str">
        <f>ToCamel($B32,"","") &amp;ToCamel($C32,"","") &amp;ToCamel($V32,"","")&amp;"Model"</f>
        <v>DashboardResourceRealTimeResourceForNetworkModel</v>
      </c>
      <c r="AC32" s="8"/>
      <c r="AD32" s="88" t="str">
        <f>IF(ISBLANK($X32),"",$X32&amp;"&lt;")&amp;$AB32&amp;IF(ISBLANK($X32)," ","&gt; ")&amp;AA32&amp; "(Map&lt;String, Object&gt; param);"</f>
        <v>List&lt;DashboardResourceRealTimeResourceForNetworkModel&gt; selectDashboardResourceRealTimeResourceForNetworkList(Map&lt;String, Object&gt; param);</v>
      </c>
      <c r="AE32" s="8" t="str">
        <f>W32&amp;" /* web."&amp;$U32&amp;"."&amp;$W32 &amp; ToCamel($B32,"","") &amp;ToCamel($C32,"","") &amp;ToCamel($V32,"","")&amp;$X32&amp;" */" &amp; CHAR(10) &amp; "       a." &amp;$N32 &amp; CHAR(10) &amp; "     , a." &amp;N32 &amp; CHAR(10) &amp; "  from " &amp; $Y32 &amp;" a" &amp; CHAR(10) &amp; " where "&amp;$Z32&amp;" = #{"&amp;ToCamel($Z32,"","")&amp;"}"&amp; CHAR(10) &amp; ";"</f>
        <v>select /* web.DashboardRepository.selectDashboardResourceRealTimeResourceForNetworkList */
       a.interfaceName, networkIo, receivePacket, transPacket
     , a.interfaceName, networkIo, receivePacket, transPacket
  from node a
 where node_id = #{nodeId}
;</v>
      </c>
      <c r="AF32" s="26" t="s">
        <v>157</v>
      </c>
      <c r="AG32" s="22"/>
    </row>
    <row r="33" spans="2:33" s="3" customFormat="1" ht="24.95" customHeight="1" x14ac:dyDescent="0.3">
      <c r="B33" s="16" t="s">
        <v>1</v>
      </c>
      <c r="C33" s="16" t="s">
        <v>33</v>
      </c>
      <c r="D33" s="18" t="s">
        <v>191</v>
      </c>
      <c r="E33" s="16" t="s">
        <v>192</v>
      </c>
      <c r="F33" s="28" t="s">
        <v>281</v>
      </c>
      <c r="G33" s="16" t="s">
        <v>284</v>
      </c>
      <c r="H33" s="55"/>
      <c r="I33" s="55" t="s">
        <v>248</v>
      </c>
      <c r="J33" s="55" t="str">
        <f>"/rest"&amp;ToCamelLower($B33,"/","")&amp;ToCamelLower($C33,"/","")&amp;ToCamelLower($D33,"/","")&amp;ToCamelLower($E33,"/","")&amp;ToCamelLower($F33,"/","")</f>
        <v>/rest/dashboard/resource/realTimeResource/configSetting/info</v>
      </c>
      <c r="K33" s="55" t="str">
        <f>ToCamelLower($B33,"","") &amp; ToCamel($C33,"","") &amp; ToCamel($D33,"","") &amp; ToCamel($E33,"","") &amp; ToCamel($F33,"","")</f>
        <v>dashboardResourceRealTimeResourceConfigSettingInfo</v>
      </c>
      <c r="L33" s="55" t="str">
        <f>"Url" &amp; "." &amp; ToCamelLower($B33,"","") &amp; "." &amp; ToCamelLower($C33,"","") &amp; ToCamel($D33,"","") &amp; ToCamel($E33,"","") &amp; ToCamel($F33,"","")</f>
        <v>Url.dashboard.resourceRealTimeResourceConfigSettingInfo</v>
      </c>
      <c r="M33" s="27" t="s">
        <v>28</v>
      </c>
      <c r="N33" s="8" t="s">
        <v>280</v>
      </c>
      <c r="O33" s="49" t="str">
        <f t="shared" si="3"/>
        <v>DashboardService</v>
      </c>
      <c r="P33" s="51" t="s">
        <v>304</v>
      </c>
      <c r="Q33" s="44" t="s">
        <v>327</v>
      </c>
      <c r="R33" s="44"/>
      <c r="S33" s="8" t="str">
        <f>$Q33 &amp; ToCamel($B33,"","") &amp;ToCamel($C33,"","") &amp;ToCamel($P33,"","")&amp;$R33</f>
        <v>getDashboardResourceRealTimeResourceConfigSetting</v>
      </c>
      <c r="T33" s="88" t="str">
        <f>IF(ISBLANK($X33),"",$X33&amp;"&lt;")&amp;$AB33&amp;IF(ISBLANK($X33)," ","&gt; ")&amp; S33&amp;"(String " &amp; $M33 &amp;");"</f>
        <v>DashboardResourceRealTimeResourceConfigSettingSelectModel getDashboardResourceRealTimeResourceConfigSetting(String N/A);</v>
      </c>
      <c r="U33" s="45" t="str">
        <f>ToCamel($B33,"","") &amp;"Repository"</f>
        <v>DashboardRepository</v>
      </c>
      <c r="V33" s="51" t="s">
        <v>342</v>
      </c>
      <c r="W33" s="44" t="s">
        <v>293</v>
      </c>
      <c r="X33" s="44"/>
      <c r="Y33" s="8" t="s">
        <v>317</v>
      </c>
      <c r="Z33" s="8" t="s">
        <v>318</v>
      </c>
      <c r="AA33" s="8" t="str">
        <f>$W33 &amp; ToCamel($B33,"","") &amp;ToCamel($C33,"","") &amp;ToCamel($V33,"","")&amp;$X33</f>
        <v>selectDashboardResourceRealTimeResourceConfigSettingSelect</v>
      </c>
      <c r="AB33" s="8" t="str">
        <f>ToCamel($B33,"","") &amp;ToCamel($C33,"","") &amp;ToCamel($V33,"","")&amp;"Model"</f>
        <v>DashboardResourceRealTimeResourceConfigSettingSelectModel</v>
      </c>
      <c r="AC33" s="8"/>
      <c r="AD33" s="88" t="str">
        <f>IF(ISBLANK($X33),"",$X33&amp;"&lt;")&amp;$AB33&amp;IF(ISBLANK($X33)," ","&gt; ")&amp;AA33&amp; "(Map&lt;String, Object&gt; param);"</f>
        <v>DashboardResourceRealTimeResourceConfigSettingSelectModel selectDashboardResourceRealTimeResourceConfigSettingSelect(Map&lt;String, Object&gt; param);</v>
      </c>
      <c r="AE33" s="8" t="str">
        <f>W33&amp;" /* web."&amp;$U33&amp;"."&amp;$W33 &amp; ToCamel($B33,"","") &amp;ToCamel($C33,"","") &amp;ToCamel($V33,"","")&amp;$X33&amp;" */" &amp; CHAR(10) &amp; "       a." &amp;$N33 &amp; CHAR(10) &amp; "     , a." &amp;N33 &amp; CHAR(10) &amp; "  from " &amp; $Y33 &amp;" a" &amp; CHAR(10) &amp; " where "&amp;$Z33&amp;" = #{"&amp;ToCamel($Z33,"","")&amp;"}"&amp; CHAR(10) &amp; ";"</f>
        <v>select /* web.DashboardRepository.selectDashboardResourceRealTimeResourceConfigSettingSelect */
       a.cpu, memory, diskBusy
     , a.cpu, memory, diskBusy
  from node a
 where node_id = #{nodeId}
;</v>
      </c>
      <c r="AF33" s="26"/>
      <c r="AG33" s="22"/>
    </row>
    <row r="34" spans="2:33" s="3" customFormat="1" ht="24.95" customHeight="1" x14ac:dyDescent="0.3">
      <c r="B34" s="16" t="s">
        <v>1</v>
      </c>
      <c r="C34" s="16" t="s">
        <v>33</v>
      </c>
      <c r="D34" s="18" t="s">
        <v>191</v>
      </c>
      <c r="E34" s="16" t="s">
        <v>192</v>
      </c>
      <c r="F34" s="28" t="s">
        <v>282</v>
      </c>
      <c r="G34" s="16" t="s">
        <v>284</v>
      </c>
      <c r="H34" s="55"/>
      <c r="I34" s="55" t="s">
        <v>249</v>
      </c>
      <c r="J34" s="55" t="str">
        <f>"/rest"&amp;ToCamelLower($B34,"/","")&amp;ToCamelLower($C34,"/","")&amp;ToCamelLower($D34,"/","")&amp;ToCamelLower($E34,"/","")&amp;ToCamelLower($F34,"/","")</f>
        <v>/rest/dashboard/resource/realTimeResource/configSetting/save</v>
      </c>
      <c r="K34" s="55" t="str">
        <f>ToCamelLower($B34,"","") &amp; ToCamel($C34,"","") &amp; ToCamel($D34,"","") &amp; ToCamel($E34,"","") &amp; ToCamel($F34,"","")</f>
        <v>dashboardResourceRealTimeResourceConfigSettingSave</v>
      </c>
      <c r="L34" s="55" t="str">
        <f>"Url" &amp; "." &amp; ToCamelLower($B34,"","") &amp; "." &amp; ToCamelLower($C34,"","") &amp; ToCamel($D34,"","") &amp; ToCamel($E34,"","") &amp; ToCamel($F34,"","")</f>
        <v>Url.dashboard.resourceRealTimeResourceConfigSettingSave</v>
      </c>
      <c r="M34" s="27" t="s">
        <v>34</v>
      </c>
      <c r="N34" s="8"/>
      <c r="O34" s="49" t="str">
        <f t="shared" si="3"/>
        <v>DashboardService</v>
      </c>
      <c r="P34" s="51" t="s">
        <v>304</v>
      </c>
      <c r="Q34" s="44" t="s">
        <v>343</v>
      </c>
      <c r="R34" s="44"/>
      <c r="S34" s="8" t="str">
        <f>$Q34 &amp; ToCamel($B34,"","") &amp;ToCamel($C34,"","") &amp;ToCamel($P34,"","")&amp;$R34</f>
        <v>saveDashboardResourceRealTimeResourceConfigSetting</v>
      </c>
      <c r="T34" s="88" t="str">
        <f>IF(ISBLANK($X34),"",$X34&amp;"&lt;")&amp;$AB34&amp;IF(ISBLANK($X34)," ","&gt; ")&amp; S34&amp;"(String " &amp; $M34 &amp;");"</f>
        <v>DashboardResourceRealTimeResourceConfigSettingModifyModel saveDashboardResourceRealTimeResourceConfigSetting(String save value);</v>
      </c>
      <c r="U34" s="45" t="str">
        <f>ToCamel($B34,"","") &amp;"Repository"</f>
        <v>DashboardRepository</v>
      </c>
      <c r="V34" s="51" t="s">
        <v>341</v>
      </c>
      <c r="W34" s="44" t="s">
        <v>303</v>
      </c>
      <c r="X34" s="44"/>
      <c r="Y34" s="8" t="s">
        <v>317</v>
      </c>
      <c r="Z34" s="8" t="s">
        <v>318</v>
      </c>
      <c r="AA34" s="8" t="str">
        <f>$W34 &amp; ToCamel($B34,"","") &amp;ToCamel($C34,"","") &amp;ToCamel($V34,"","")&amp;$X34</f>
        <v>updateDashboardResourceRealTimeResourceConfigSettingModify</v>
      </c>
      <c r="AB34" s="8" t="str">
        <f>ToCamel($B34,"","") &amp;ToCamel($C34,"","") &amp;ToCamel($V34,"","")&amp;"Model"</f>
        <v>DashboardResourceRealTimeResourceConfigSettingModifyModel</v>
      </c>
      <c r="AC34" s="8"/>
      <c r="AD34" s="88" t="str">
        <f>IF(ISBLANK($X34),"",$X34&amp;"&lt;")&amp;$AB34&amp;IF(ISBLANK($X34)," ","&gt; ")&amp;AA34&amp; "(Map&lt;String, Object&gt; param);"</f>
        <v>DashboardResourceRealTimeResourceConfigSettingModifyModel updateDashboardResourceRealTimeResourceConfigSettingModify(Map&lt;String, Object&gt; param);</v>
      </c>
      <c r="AE34" s="8" t="str">
        <f>W34&amp;" /* web."&amp;$U34&amp;"."&amp;$W34 &amp; ToCamel($B34,"","") &amp;ToCamel($C34,"","") &amp;ToCamel($V34,"","")&amp;$X34&amp;" */" &amp; CHAR(10) &amp; "       a." &amp;$N34 &amp; CHAR(10) &amp; "     , a." &amp;N34 &amp; CHAR(10) &amp; "  from " &amp; $Y34 &amp;" a" &amp; CHAR(10) &amp; " where "&amp;$Z34&amp;" = #{"&amp;ToCamel($Z34,"","")&amp;"}"&amp; CHAR(10) &amp; ";"</f>
        <v>update /* web.DashboardRepository.updateDashboardResourceRealTimeResourceConfigSettingModify */
       a.
     , a.
  from node a
 where node_id = #{nodeId}
;</v>
      </c>
      <c r="AF34" s="26"/>
      <c r="AG34" s="22"/>
    </row>
    <row r="35" spans="2:33" s="4" customFormat="1" ht="24.95" customHeight="1" x14ac:dyDescent="0.3">
      <c r="B35" s="17"/>
      <c r="C35" s="17"/>
      <c r="D35" s="17"/>
      <c r="E35" s="17" t="s">
        <v>200</v>
      </c>
      <c r="F35" s="17"/>
      <c r="G35" s="17"/>
      <c r="H35" s="60"/>
      <c r="I35" s="60"/>
      <c r="J35" s="60"/>
      <c r="K35" s="60"/>
      <c r="L35" s="60"/>
      <c r="M35" s="61" t="s">
        <v>30</v>
      </c>
      <c r="N35" s="62"/>
      <c r="O35" s="52"/>
      <c r="P35" s="52"/>
      <c r="Q35" s="52"/>
      <c r="R35" s="52"/>
      <c r="S35" s="62"/>
      <c r="T35" s="62"/>
      <c r="U35" s="62"/>
      <c r="V35" s="52"/>
      <c r="W35" s="52"/>
      <c r="X35" s="52"/>
      <c r="Y35" s="62"/>
      <c r="Z35" s="62"/>
      <c r="AA35" s="62"/>
      <c r="AB35" s="62"/>
      <c r="AC35" s="62"/>
      <c r="AD35" s="62"/>
      <c r="AE35" s="62"/>
      <c r="AF35" s="63" t="s">
        <v>36</v>
      </c>
      <c r="AG35" s="24"/>
    </row>
    <row r="36" spans="2:33" s="30" customFormat="1" ht="24.95" customHeight="1" x14ac:dyDescent="0.3">
      <c r="B36" s="29" t="s">
        <v>1</v>
      </c>
      <c r="C36" s="29" t="s">
        <v>38</v>
      </c>
      <c r="D36" s="36"/>
      <c r="E36" s="13"/>
      <c r="F36" s="13"/>
      <c r="G36" s="12"/>
      <c r="H36" s="32" t="str">
        <f>ToCamel($B36,"","")&amp;ToCamel($C36,"","")&amp;"Controller"&amp;".java" &amp; CHAR(10)</f>
        <v xml:space="preserve">DashboardLogController.java
</v>
      </c>
      <c r="I36" s="54" t="s">
        <v>277</v>
      </c>
      <c r="J36" s="56"/>
      <c r="K36" s="56"/>
      <c r="L36" s="56"/>
      <c r="M36" s="57"/>
      <c r="N36" s="31"/>
      <c r="O36" s="46"/>
      <c r="P36" s="46"/>
      <c r="Q36" s="46"/>
      <c r="R36" s="46"/>
      <c r="S36" s="31"/>
      <c r="T36" s="31"/>
      <c r="U36" s="31"/>
      <c r="V36" s="46"/>
      <c r="W36" s="46"/>
      <c r="X36" s="46"/>
      <c r="Y36" s="31"/>
      <c r="Z36" s="31"/>
      <c r="AA36" s="31"/>
      <c r="AB36" s="31"/>
      <c r="AC36" s="31"/>
      <c r="AD36" s="31"/>
      <c r="AE36" s="31"/>
      <c r="AF36" s="57"/>
    </row>
    <row r="37" spans="2:33" s="30" customFormat="1" ht="24.95" customHeight="1" x14ac:dyDescent="0.3">
      <c r="B37" s="29" t="s">
        <v>1</v>
      </c>
      <c r="C37" s="29" t="s">
        <v>38</v>
      </c>
      <c r="D37" s="36"/>
      <c r="E37" s="13"/>
      <c r="F37" s="13"/>
      <c r="G37" s="16" t="s">
        <v>284</v>
      </c>
      <c r="H37" s="56" t="str">
        <f>ToCamelLower($B37,"/","/")&amp;ToCamelLower($B37,"","_")&amp;ToCamelLower($C37,"","")&amp;".jsp"</f>
        <v>/dashboard/dashboard_log.jsp</v>
      </c>
      <c r="I37" s="55" t="s">
        <v>236</v>
      </c>
      <c r="J37" s="55" t="str">
        <f>ToCamelLower($B37,"/","")&amp;ToCamelLower($C37,"/","")&amp;ToCamelLower($D37,"/","")&amp;ToCamelLower($E37,"/","")&amp;ToCamelLower($F37,"/","")</f>
        <v>/dashboard/log</v>
      </c>
      <c r="K37" s="55" t="str">
        <f>ToCamelLower($B37,"","") &amp; ToCamel($C37,"","") &amp; ToCamel($D37,"","") &amp; ToCamel($E37,"","") &amp; ToCamel($F37,"","")</f>
        <v>dashboardLog</v>
      </c>
      <c r="L37" s="55"/>
      <c r="M37" s="57"/>
      <c r="N37" s="31"/>
      <c r="O37" s="46"/>
      <c r="P37" s="46"/>
      <c r="Q37" s="46"/>
      <c r="R37" s="46"/>
      <c r="S37" s="31"/>
      <c r="T37" s="31"/>
      <c r="U37" s="31"/>
      <c r="V37" s="46"/>
      <c r="W37" s="46"/>
      <c r="X37" s="46"/>
      <c r="Y37" s="31"/>
      <c r="Z37" s="31"/>
      <c r="AA37" s="31"/>
      <c r="AB37" s="31"/>
      <c r="AC37" s="31"/>
      <c r="AD37" s="31"/>
      <c r="AE37" s="31"/>
      <c r="AF37" s="57"/>
    </row>
    <row r="38" spans="2:33" s="94" customFormat="1" ht="24.95" customHeight="1" x14ac:dyDescent="0.3">
      <c r="B38" s="195" t="s">
        <v>1</v>
      </c>
      <c r="C38" s="195" t="s">
        <v>38</v>
      </c>
      <c r="D38" s="198" t="s">
        <v>211</v>
      </c>
      <c r="E38" s="195"/>
      <c r="F38" s="195"/>
      <c r="G38" s="84" t="s">
        <v>284</v>
      </c>
      <c r="H38" s="192"/>
      <c r="I38" s="208" t="s">
        <v>250</v>
      </c>
      <c r="J38" s="208" t="str">
        <f>"/rest"&amp;ToCamelLower($B38,"/","")&amp;ToCamelLower($C38,"/","")&amp;ToCamelLower($D38,"/","")&amp;ToCamelLower($E38,"/","")&amp;ToCamelLower($F38,"/","")</f>
        <v>/rest/dashboard/log/monitoring</v>
      </c>
      <c r="K38" s="208" t="str">
        <f>ToCamelLower($B38,"","") &amp; ToCamel($C38,"","") &amp; ToCamel($D38,"","") &amp; ToCamel($E38,"","") &amp; ToCamel($F38,"","")</f>
        <v>dashboardLogMonitoring</v>
      </c>
      <c r="L38" s="208" t="str">
        <f>"Url" &amp; "." &amp; ToCamelLower($B38,"","") &amp; "." &amp; ToCamelLower($C38,"","") &amp; ToCamel($D38,"","") &amp; ToCamel($E38,"","") &amp; ToCamel($F38,"","")</f>
        <v>Url.dashboard.logMonitoring</v>
      </c>
      <c r="M38" s="192" t="s">
        <v>28</v>
      </c>
      <c r="N38" s="88" t="s">
        <v>182</v>
      </c>
      <c r="O38" s="159" t="str">
        <f t="shared" ref="O38" si="4">ToCamel($B38,"","") &amp;"Service"</f>
        <v>DashboardService</v>
      </c>
      <c r="P38" s="185" t="s">
        <v>211</v>
      </c>
      <c r="Q38" s="159" t="s">
        <v>328</v>
      </c>
      <c r="R38" s="159"/>
      <c r="S38" s="182" t="str">
        <f>$Q38 &amp; ToCamel($B38,"","") &amp;ToCamel($C38,"","") &amp;ToCamel($P38,"","")&amp;$R38</f>
        <v>getDashboardLogMonitoring</v>
      </c>
      <c r="T38" s="88" t="str">
        <f>IF(ISBLANK($X38),"",$X38&amp;"&lt;")&amp;$AB38&amp;IF(ISBLANK($X38)," ","&gt; ")&amp; S38&amp;"(String " &amp; $M38 &amp;");"</f>
        <v>DashboardLogMonitoringModel getDashboardLogMonitoring(String N/A);</v>
      </c>
      <c r="U38" s="182" t="str">
        <f t="shared" ref="U38" si="5">ToCamel($B38,"","") &amp;"Repository"</f>
        <v>DashboardRepository</v>
      </c>
      <c r="V38" s="185" t="s">
        <v>211</v>
      </c>
      <c r="W38" s="159" t="s">
        <v>291</v>
      </c>
      <c r="X38" s="159"/>
      <c r="Y38" s="159" t="s">
        <v>321</v>
      </c>
      <c r="Z38" s="159" t="s">
        <v>323</v>
      </c>
      <c r="AA38" s="182" t="str">
        <f>$W38 &amp; ToCamel($B38,"","") &amp;ToCamel($C38,"","") &amp;ToCamel($V38,"","")&amp;$X38</f>
        <v>selectDashboardLogMonitoring</v>
      </c>
      <c r="AB38" s="182" t="str">
        <f>ToCamel($B38,"","") &amp;ToCamel($C38,"","") &amp;ToCamel($V38,"","")&amp;"Model"</f>
        <v>DashboardLogMonitoringModel</v>
      </c>
      <c r="AC38" s="91"/>
      <c r="AD38" s="88" t="str">
        <f>IF(ISBLANK($X38),"",$X38&amp;"&lt;")&amp;$AB38&amp;IF(ISBLANK($X38)," ","&gt; ")&amp;AA38&amp; "(Map&lt;String, Object&gt; param);"</f>
        <v>DashboardLogMonitoringModel selectDashboardLogMonitoring(Map&lt;String, Object&gt; param);</v>
      </c>
      <c r="AE38" s="182" t="str">
        <f>W38&amp;" /* web."&amp;$U38&amp;"."&amp;$W38 &amp; ToCamel($B38,"","") &amp;ToCamel($C38,"","") &amp;ToCamel($V38,"","")&amp;$X38&amp;" */" &amp; CHAR(10) &amp; "       a." &amp;$N38 &amp; CHAR(10) &amp; "     , a." &amp;N38 &amp; CHAR(10) &amp; "  from " &amp; $Y38 &amp;" a" &amp; CHAR(10) &amp; " where "&amp;$Z38&amp;" = #{"&amp;ToCamel($Z38,"","")&amp;"}"&amp; CHAR(10) &amp; ";"</f>
        <v>select /* web.DashboardRepository.selectDashboardLogMonitoring */
       a.noticeCount
     , a.noticeCount
  from oslog_message a
 where log_level = #{logLevel}
;</v>
      </c>
      <c r="AF38" s="153" t="s">
        <v>39</v>
      </c>
      <c r="AG38" s="151" t="s">
        <v>37</v>
      </c>
    </row>
    <row r="39" spans="2:33" s="94" customFormat="1" ht="24.95" customHeight="1" x14ac:dyDescent="0.3">
      <c r="B39" s="196"/>
      <c r="C39" s="196"/>
      <c r="D39" s="199"/>
      <c r="E39" s="196"/>
      <c r="F39" s="196"/>
      <c r="G39" s="84" t="s">
        <v>284</v>
      </c>
      <c r="H39" s="193"/>
      <c r="I39" s="209"/>
      <c r="J39" s="209"/>
      <c r="K39" s="209"/>
      <c r="L39" s="209"/>
      <c r="M39" s="193"/>
      <c r="N39" s="88" t="s">
        <v>183</v>
      </c>
      <c r="O39" s="188"/>
      <c r="P39" s="186"/>
      <c r="Q39" s="188"/>
      <c r="R39" s="188"/>
      <c r="S39" s="183"/>
      <c r="T39" s="147"/>
      <c r="U39" s="183"/>
      <c r="V39" s="186"/>
      <c r="W39" s="188"/>
      <c r="X39" s="188"/>
      <c r="Y39" s="188"/>
      <c r="Z39" s="188"/>
      <c r="AA39" s="183"/>
      <c r="AB39" s="183"/>
      <c r="AC39" s="154"/>
      <c r="AD39" s="147"/>
      <c r="AE39" s="183"/>
      <c r="AF39" s="153" t="s">
        <v>40</v>
      </c>
      <c r="AG39" s="93"/>
    </row>
    <row r="40" spans="2:33" s="94" customFormat="1" ht="24.95" customHeight="1" x14ac:dyDescent="0.3">
      <c r="B40" s="196"/>
      <c r="C40" s="196"/>
      <c r="D40" s="199"/>
      <c r="E40" s="196"/>
      <c r="F40" s="196"/>
      <c r="G40" s="84" t="s">
        <v>284</v>
      </c>
      <c r="H40" s="193"/>
      <c r="I40" s="209"/>
      <c r="J40" s="209"/>
      <c r="K40" s="209"/>
      <c r="L40" s="209"/>
      <c r="M40" s="193"/>
      <c r="N40" s="88" t="s">
        <v>179</v>
      </c>
      <c r="O40" s="188"/>
      <c r="P40" s="186"/>
      <c r="Q40" s="188"/>
      <c r="R40" s="188"/>
      <c r="S40" s="183"/>
      <c r="T40" s="147"/>
      <c r="U40" s="183"/>
      <c r="V40" s="186"/>
      <c r="W40" s="188"/>
      <c r="X40" s="188"/>
      <c r="Y40" s="188"/>
      <c r="Z40" s="188"/>
      <c r="AA40" s="183"/>
      <c r="AB40" s="183"/>
      <c r="AC40" s="154"/>
      <c r="AD40" s="147"/>
      <c r="AE40" s="183"/>
      <c r="AF40" s="153" t="s">
        <v>41</v>
      </c>
      <c r="AG40" s="93"/>
    </row>
    <row r="41" spans="2:33" s="94" customFormat="1" ht="24.95" customHeight="1" x14ac:dyDescent="0.3">
      <c r="B41" s="196"/>
      <c r="C41" s="196"/>
      <c r="D41" s="199"/>
      <c r="E41" s="196"/>
      <c r="F41" s="196"/>
      <c r="G41" s="84" t="s">
        <v>284</v>
      </c>
      <c r="H41" s="193"/>
      <c r="I41" s="209"/>
      <c r="J41" s="209"/>
      <c r="K41" s="209"/>
      <c r="L41" s="209"/>
      <c r="M41" s="193"/>
      <c r="N41" s="88" t="s">
        <v>137</v>
      </c>
      <c r="O41" s="188"/>
      <c r="P41" s="186"/>
      <c r="Q41" s="188"/>
      <c r="R41" s="188"/>
      <c r="S41" s="183"/>
      <c r="T41" s="147"/>
      <c r="U41" s="183"/>
      <c r="V41" s="186"/>
      <c r="W41" s="188"/>
      <c r="X41" s="188"/>
      <c r="Y41" s="188"/>
      <c r="Z41" s="188"/>
      <c r="AA41" s="183"/>
      <c r="AB41" s="183"/>
      <c r="AC41" s="154"/>
      <c r="AD41" s="147"/>
      <c r="AE41" s="183"/>
      <c r="AF41" s="153" t="s">
        <v>42</v>
      </c>
      <c r="AG41" s="93"/>
    </row>
    <row r="42" spans="2:33" s="94" customFormat="1" ht="24.95" customHeight="1" x14ac:dyDescent="0.3">
      <c r="B42" s="196"/>
      <c r="C42" s="196"/>
      <c r="D42" s="199"/>
      <c r="E42" s="196"/>
      <c r="F42" s="196"/>
      <c r="G42" s="84" t="s">
        <v>284</v>
      </c>
      <c r="H42" s="193"/>
      <c r="I42" s="209"/>
      <c r="J42" s="209"/>
      <c r="K42" s="209"/>
      <c r="L42" s="209"/>
      <c r="M42" s="193"/>
      <c r="N42" s="88" t="s">
        <v>184</v>
      </c>
      <c r="O42" s="188"/>
      <c r="P42" s="186"/>
      <c r="Q42" s="188"/>
      <c r="R42" s="188"/>
      <c r="S42" s="183"/>
      <c r="T42" s="147"/>
      <c r="U42" s="183"/>
      <c r="V42" s="186"/>
      <c r="W42" s="188"/>
      <c r="X42" s="188"/>
      <c r="Y42" s="188"/>
      <c r="Z42" s="188"/>
      <c r="AA42" s="183"/>
      <c r="AB42" s="183"/>
      <c r="AC42" s="154"/>
      <c r="AD42" s="147"/>
      <c r="AE42" s="183"/>
      <c r="AF42" s="153" t="s">
        <v>43</v>
      </c>
      <c r="AG42" s="93"/>
    </row>
    <row r="43" spans="2:33" s="94" customFormat="1" ht="24.95" customHeight="1" x14ac:dyDescent="0.3">
      <c r="B43" s="197"/>
      <c r="C43" s="197"/>
      <c r="D43" s="200"/>
      <c r="E43" s="197"/>
      <c r="F43" s="197"/>
      <c r="G43" s="84" t="s">
        <v>284</v>
      </c>
      <c r="H43" s="194"/>
      <c r="I43" s="210"/>
      <c r="J43" s="210"/>
      <c r="K43" s="210"/>
      <c r="L43" s="210"/>
      <c r="M43" s="194"/>
      <c r="N43" s="88" t="s">
        <v>185</v>
      </c>
      <c r="O43" s="160"/>
      <c r="P43" s="187"/>
      <c r="Q43" s="160"/>
      <c r="R43" s="160"/>
      <c r="S43" s="184"/>
      <c r="T43" s="146"/>
      <c r="U43" s="184"/>
      <c r="V43" s="187"/>
      <c r="W43" s="160"/>
      <c r="X43" s="160"/>
      <c r="Y43" s="160"/>
      <c r="Z43" s="160"/>
      <c r="AA43" s="184"/>
      <c r="AB43" s="184"/>
      <c r="AC43" s="155"/>
      <c r="AD43" s="146"/>
      <c r="AE43" s="184"/>
      <c r="AF43" s="153" t="s">
        <v>44</v>
      </c>
      <c r="AG43" s="93"/>
    </row>
    <row r="44" spans="2:33" s="94" customFormat="1" ht="24.95" customHeight="1" x14ac:dyDescent="0.3">
      <c r="B44" s="84" t="s">
        <v>1</v>
      </c>
      <c r="C44" s="84" t="s">
        <v>38</v>
      </c>
      <c r="D44" s="149" t="s">
        <v>213</v>
      </c>
      <c r="E44" s="84"/>
      <c r="F44" s="84"/>
      <c r="G44" s="84" t="s">
        <v>284</v>
      </c>
      <c r="H44" s="78"/>
      <c r="I44" s="78" t="s">
        <v>251</v>
      </c>
      <c r="J44" s="78" t="str">
        <f>"/rest"&amp;ToCamelLower($B44,"/","")&amp;ToCamelLower($C44,"/","")&amp;ToCamelLower($D44,"/","")&amp;ToCamelLower($E44,"/","")&amp;ToCamelLower($F44,"/","")</f>
        <v>/rest/dashboard/log/errorOfNodes</v>
      </c>
      <c r="K44" s="78" t="str">
        <f>ToCamelLower($B44,"","") &amp; ToCamel($C44,"","") &amp; ToCamel($D44,"","") &amp; ToCamel($E44,"","") &amp; ToCamel($F44,"","")</f>
        <v>dashboardLogErrorOfNodes</v>
      </c>
      <c r="L44" s="78" t="str">
        <f>"Url" &amp; "." &amp; ToCamelLower($B44,"","") &amp; "." &amp; ToCamelLower($C44,"","") &amp; ToCamel($D44,"","") &amp; ToCamel($E44,"","") &amp; ToCamel($F44,"","")</f>
        <v>Url.dashboard.logErrorOfNodes</v>
      </c>
      <c r="M44" s="103" t="s">
        <v>270</v>
      </c>
      <c r="N44" s="88" t="s">
        <v>48</v>
      </c>
      <c r="O44" s="104" t="str">
        <f t="shared" ref="O44" si="6">ToCamel($B44,"","") &amp;"Service"</f>
        <v>DashboardService</v>
      </c>
      <c r="P44" s="149" t="s">
        <v>213</v>
      </c>
      <c r="Q44" s="79" t="s">
        <v>327</v>
      </c>
      <c r="R44" s="79"/>
      <c r="S44" s="88" t="str">
        <f>$Q44 &amp; ToCamel($B44,"","") &amp;ToCamel($C44,"","") &amp;ToCamel($P44,"","")&amp;$R44</f>
        <v>getDashboardLogErrorOfNodes</v>
      </c>
      <c r="T44" s="88" t="str">
        <f>IF(ISBLANK($X44),"",$X44&amp;"&lt;")&amp;$AB44&amp;IF(ISBLANK($X44)," ","&gt; ")&amp; S44&amp;"(String " &amp; $M44 &amp;");"</f>
        <v>List&lt;DashboardLogErrorOfNodesModel&gt; getDashboardLogErrorOfNodes(String N/A);</v>
      </c>
      <c r="U44" s="91" t="str">
        <f>ToCamel($B44,"","") &amp;"Repository"</f>
        <v>DashboardRepository</v>
      </c>
      <c r="V44" s="149" t="s">
        <v>213</v>
      </c>
      <c r="W44" s="79" t="s">
        <v>292</v>
      </c>
      <c r="X44" s="79" t="s">
        <v>294</v>
      </c>
      <c r="Y44" s="88" t="s">
        <v>320</v>
      </c>
      <c r="Z44" s="88" t="s">
        <v>322</v>
      </c>
      <c r="AA44" s="88" t="str">
        <f>$W44 &amp; ToCamel($B44,"","") &amp;ToCamel($C44,"","") &amp;ToCamel($V44,"","")&amp;$X44</f>
        <v>selectDashboardLogErrorOfNodesList</v>
      </c>
      <c r="AB44" s="88" t="str">
        <f>ToCamel($B44,"","") &amp;ToCamel($C44,"","") &amp;ToCamel($V44,"","")&amp;"Model"</f>
        <v>DashboardLogErrorOfNodesModel</v>
      </c>
      <c r="AC44" s="88"/>
      <c r="AD44" s="88" t="str">
        <f>IF(ISBLANK($X44),"",$X44&amp;"&lt;")&amp;$AB44&amp;IF(ISBLANK($X44)," ","&gt; ")&amp;AA44&amp; "(Map&lt;String, Object&gt; param);"</f>
        <v>List&lt;DashboardLogErrorOfNodesModel&gt; selectDashboardLogErrorOfNodesList(Map&lt;String, Object&gt; param);</v>
      </c>
      <c r="AE44" s="88" t="str">
        <f>W44&amp;" /* web."&amp;$U44&amp;"."&amp;$W44 &amp; ToCamel($B44,"","") &amp;ToCamel($C44,"","") &amp;ToCamel($V44,"","")&amp;$X44&amp;" */" &amp; CHAR(10) &amp; "       a." &amp;$N44 &amp; CHAR(10) &amp; "     , a." &amp;N44 &amp; CHAR(10) &amp; "  from " &amp; $Y44 &amp;" a" &amp; CHAR(10) &amp; " where "&amp;$Z44&amp;" = #{"&amp;ToCamel($Z44,"","")&amp;"}"&amp; CHAR(10) &amp; ";"</f>
        <v>select /* web.DashboardRepository.selectDashboardLogErrorOfNodesList */
       a.-
     , a.-
  from oslog_message a
 where log_level = #{logLevel}
;</v>
      </c>
      <c r="AF44" s="92" t="s">
        <v>171</v>
      </c>
      <c r="AG44" s="93" t="s">
        <v>170</v>
      </c>
    </row>
    <row r="45" spans="2:33" s="94" customFormat="1" ht="24.95" customHeight="1" x14ac:dyDescent="0.3">
      <c r="B45" s="84" t="s">
        <v>1</v>
      </c>
      <c r="C45" s="84" t="s">
        <v>38</v>
      </c>
      <c r="D45" s="149" t="s">
        <v>214</v>
      </c>
      <c r="E45" s="84"/>
      <c r="F45" s="84"/>
      <c r="G45" s="84" t="s">
        <v>284</v>
      </c>
      <c r="H45" s="78"/>
      <c r="I45" s="208" t="s">
        <v>252</v>
      </c>
      <c r="J45" s="208" t="str">
        <f>"/rest"&amp;ToCamelLower($B45,"/","")&amp;ToCamelLower($C45,"/","")&amp;ToCamelLower($D45,"/","")&amp;ToCamelLower($E45,"/","")&amp;ToCamelLower($F45,"/","")</f>
        <v>/rest/dashboard/log/osLogs</v>
      </c>
      <c r="K45" s="211" t="str">
        <f>ToCamelLower($B45,"","") &amp; ToCamel($C45,"","") &amp; ToCamel($D45,"","") &amp; ToCamel($E45,"","") &amp; ToCamel($F45,"","")</f>
        <v>dashboardLogOsLogs</v>
      </c>
      <c r="L45" s="211" t="str">
        <f>"Url" &amp; "." &amp; ToCamelLower($B45,"","") &amp; "." &amp; ToCamelLower($C45,"","") &amp; ToCamel($D45,"","") &amp; ToCamel($E45,"","") &amp; ToCamel($F45,"","")</f>
        <v>Url.dashboard.logOsLogs</v>
      </c>
      <c r="M45" s="192" t="s">
        <v>270</v>
      </c>
      <c r="N45" s="159" t="s">
        <v>172</v>
      </c>
      <c r="O45" s="104" t="str">
        <f t="shared" ref="O45:O46" si="7">ToCamel($B45,"","") &amp;"Service"</f>
        <v>DashboardService</v>
      </c>
      <c r="P45" s="150" t="s">
        <v>214</v>
      </c>
      <c r="Q45" s="79" t="s">
        <v>328</v>
      </c>
      <c r="R45" s="79"/>
      <c r="S45" s="88" t="str">
        <f>$Q45 &amp; ToCamel($B45,"","") &amp;ToCamel($C45,"","") &amp;ToCamel($P45,"","")&amp;$R45</f>
        <v>getDashboardLogOsLogs</v>
      </c>
      <c r="T45" s="88" t="str">
        <f>IF(ISBLANK($X45),"",$X45&amp;"&lt;")&amp;$AB45&amp;IF(ISBLANK($X45)," ","&gt; ")&amp; S45&amp;"(String " &amp; $M45 &amp;");"</f>
        <v>List&lt;DashboardLogOsLogsModel&gt; getDashboardLogOsLogs(String N/A);</v>
      </c>
      <c r="U45" s="91" t="str">
        <f>ToCamel($B45,"","") &amp;"Repository"</f>
        <v>DashboardRepository</v>
      </c>
      <c r="V45" s="150" t="s">
        <v>214</v>
      </c>
      <c r="W45" s="79" t="s">
        <v>291</v>
      </c>
      <c r="X45" s="79" t="s">
        <v>294</v>
      </c>
      <c r="Y45" s="88" t="s">
        <v>320</v>
      </c>
      <c r="Z45" s="88" t="s">
        <v>322</v>
      </c>
      <c r="AA45" s="88" t="str">
        <f>$W45 &amp; ToCamel($B45,"","") &amp;ToCamel($C45,"","") &amp;ToCamel($V45,"","")&amp;$X45</f>
        <v>selectDashboardLogOsLogsList</v>
      </c>
      <c r="AB45" s="88" t="str">
        <f>ToCamel($B45,"","") &amp;ToCamel($C45,"","") &amp;ToCamel($V45,"","")&amp;"Model"</f>
        <v>DashboardLogOsLogsModel</v>
      </c>
      <c r="AC45" s="131" t="str">
        <f>ToCamel($B45,"","") &amp;ToCamel($C45,"","") &amp;ToCamel($V45,"","")&amp;"SearchModel"</f>
        <v>DashboardLogOsLogsSearchModel</v>
      </c>
      <c r="AD45" s="88" t="str">
        <f>IF(ISBLANK($X45),"",$X45&amp;"&lt;")&amp;$AB45&amp;IF(ISBLANK($X45)," ","&gt; ")&amp;AA45&amp; "(Map&lt;String, Object&gt; param);"</f>
        <v>List&lt;DashboardLogOsLogsModel&gt; selectDashboardLogOsLogsList(Map&lt;String, Object&gt; param);</v>
      </c>
      <c r="AE45" s="88" t="str">
        <f>"select /* web."&amp;$U45&amp;"."&amp;$W45 &amp; ToCamel($B45,"","") &amp;ToCamel($C45,"","") &amp;ToCamel($V45,"","")&amp;$X45&amp;" */" &amp; CHAR(10) &amp; "       a." &amp;$N45 &amp; CHAR(10) &amp; "     , a." &amp;N45 &amp; CHAR(10) &amp; "  from " &amp; $Y45 &amp;" a" &amp; CHAR(10) &amp; " where "&amp;$Z45&amp;" = #{"&amp;ToCamel($Z45,"","")&amp;"}"&amp; CHAR(10) &amp; ";"</f>
        <v>select /* web.DashboardRepository.selectDashboardLogOsLogsList */
       a.no, logId, logDate, nodeId, nodeName, logLevel, command, message
     , a.no, logId, logDate, nodeId, nodeName, logLevel, command, message
  from oslog_message a
 where log_level = #{logLevel}
;</v>
      </c>
      <c r="AF45" s="92" t="s">
        <v>163</v>
      </c>
      <c r="AG45" s="151" t="s">
        <v>45</v>
      </c>
    </row>
    <row r="46" spans="2:33" s="94" customFormat="1" ht="24.95" customHeight="1" x14ac:dyDescent="0.3">
      <c r="B46" s="84" t="s">
        <v>1</v>
      </c>
      <c r="C46" s="84" t="s">
        <v>38</v>
      </c>
      <c r="D46" s="149" t="s">
        <v>214</v>
      </c>
      <c r="E46" s="84"/>
      <c r="F46" s="84"/>
      <c r="G46" s="84" t="s">
        <v>284</v>
      </c>
      <c r="H46" s="78"/>
      <c r="I46" s="210"/>
      <c r="J46" s="210"/>
      <c r="K46" s="212"/>
      <c r="L46" s="212"/>
      <c r="M46" s="194"/>
      <c r="N46" s="160"/>
      <c r="O46" s="104" t="str">
        <f t="shared" si="7"/>
        <v>DashboardService</v>
      </c>
      <c r="P46" s="150" t="s">
        <v>363</v>
      </c>
      <c r="Q46" s="79" t="s">
        <v>328</v>
      </c>
      <c r="R46" s="79"/>
      <c r="S46" s="88" t="str">
        <f>$Q46 &amp; ToCamel($B46,"","") &amp;ToCamel($C46,"","") &amp;ToCamel($P46,"","")&amp;$R46</f>
        <v>getDashboardLogOsLogsCount</v>
      </c>
      <c r="T46" s="88" t="str">
        <f>IF(ISBLANK($X46),"",$X46&amp;"&lt;")&amp;$AB46&amp;IF(ISBLANK($X46)," ","&gt; ")&amp; S46&amp;"(String " &amp; $M46 &amp;");"</f>
        <v>int getDashboardLogOsLogsCount(String );</v>
      </c>
      <c r="U46" s="91" t="str">
        <f>ToCamel($B46,"","") &amp;"Repository"</f>
        <v>DashboardRepository</v>
      </c>
      <c r="V46" s="150" t="s">
        <v>363</v>
      </c>
      <c r="W46" s="79" t="s">
        <v>291</v>
      </c>
      <c r="X46" s="79"/>
      <c r="Y46" s="88" t="s">
        <v>320</v>
      </c>
      <c r="Z46" s="88" t="s">
        <v>322</v>
      </c>
      <c r="AA46" s="88" t="str">
        <f>$W46 &amp; ToCamel($B46,"","") &amp;ToCamel($C46,"","") &amp;ToCamel($V46,"","")&amp;$X46</f>
        <v>selectDashboardLogOsLogsCount</v>
      </c>
      <c r="AB46" s="88" t="s">
        <v>364</v>
      </c>
      <c r="AC46" s="146"/>
      <c r="AD46" s="88" t="str">
        <f>IF(ISBLANK($X46),"",$X46&amp;"&lt;")&amp;$AB46&amp;IF(ISBLANK($X46)," ","&gt; ")&amp;AA46&amp; "(Map&lt;String, Object&gt; param);"</f>
        <v>int selectDashboardLogOsLogsCount(Map&lt;String, Object&gt; param);</v>
      </c>
      <c r="AE46" s="88" t="str">
        <f>"select /* web."&amp;$U46&amp;"."&amp;$W46 &amp; ToCamel($B46,"","") &amp;ToCamel($C46,"","") &amp;ToCamel($V46,"","")&amp;$X46&amp;" */" &amp; CHAR(10) &amp; "       a." &amp;$N46 &amp; CHAR(10) &amp; "     , a." &amp;N46 &amp; CHAR(10) &amp; "  from " &amp; $Y46 &amp;" a" &amp; CHAR(10) &amp; " where "&amp;$Z46&amp;" = #{"&amp;ToCamel($Z46,"","")&amp;"}"&amp; CHAR(10) &amp; ";"</f>
        <v>select /* web.DashboardRepository.selectDashboardLogOsLogsCount */
       a.
     , a.
  from oslog_message a
 where log_level = #{logLevel}
;</v>
      </c>
      <c r="AF46" s="92" t="s">
        <v>163</v>
      </c>
      <c r="AG46" s="151" t="s">
        <v>45</v>
      </c>
    </row>
    <row r="47" spans="2:33" s="4" customFormat="1" ht="24.95" customHeight="1" x14ac:dyDescent="0.3">
      <c r="B47" s="17"/>
      <c r="C47" s="17"/>
      <c r="D47" s="17"/>
      <c r="E47" s="17" t="s">
        <v>35</v>
      </c>
      <c r="F47" s="17"/>
      <c r="G47" s="16" t="s">
        <v>284</v>
      </c>
      <c r="H47" s="60"/>
      <c r="I47" s="60"/>
      <c r="J47" s="60"/>
      <c r="K47" s="60"/>
      <c r="L47" s="60"/>
      <c r="M47" s="61" t="s">
        <v>30</v>
      </c>
      <c r="N47" s="62"/>
      <c r="O47" s="52"/>
      <c r="P47" s="52"/>
      <c r="Q47" s="52"/>
      <c r="R47" s="52"/>
      <c r="S47" s="62"/>
      <c r="T47" s="62"/>
      <c r="U47" s="62"/>
      <c r="V47" s="52"/>
      <c r="W47" s="44"/>
      <c r="X47" s="52"/>
      <c r="Y47" s="62"/>
      <c r="Z47" s="62"/>
      <c r="AA47" s="62"/>
      <c r="AB47" s="62"/>
      <c r="AC47" s="62"/>
      <c r="AD47" s="62"/>
      <c r="AE47" s="62"/>
      <c r="AF47" s="63" t="s">
        <v>36</v>
      </c>
      <c r="AG47" s="24"/>
    </row>
    <row r="48" spans="2:33" s="30" customFormat="1" ht="24.95" customHeight="1" x14ac:dyDescent="0.3">
      <c r="B48" s="33" t="s">
        <v>0</v>
      </c>
      <c r="C48" s="29"/>
      <c r="D48" s="36"/>
      <c r="E48" s="13"/>
      <c r="F48" s="13"/>
      <c r="G48" s="16" t="s">
        <v>284</v>
      </c>
      <c r="H48" s="32" t="str">
        <f>ToCamel($B48,"","")&amp;"Controller"&amp;".java" &amp; CHAR(10)</f>
        <v xml:space="preserve">NodesController.java
</v>
      </c>
      <c r="I48" s="54" t="s">
        <v>278</v>
      </c>
      <c r="J48" s="56"/>
      <c r="K48" s="56"/>
      <c r="L48" s="56"/>
      <c r="M48" s="57"/>
      <c r="N48" s="31"/>
      <c r="O48" s="46"/>
      <c r="P48" s="46"/>
      <c r="Q48" s="46"/>
      <c r="R48" s="46"/>
      <c r="S48" s="31"/>
      <c r="T48" s="31"/>
      <c r="U48" s="31"/>
      <c r="V48" s="46"/>
      <c r="W48" s="44"/>
      <c r="X48" s="46"/>
      <c r="Y48" s="31"/>
      <c r="Z48" s="31"/>
      <c r="AA48" s="31"/>
      <c r="AB48" s="31"/>
      <c r="AC48" s="31"/>
      <c r="AD48" s="31"/>
      <c r="AE48" s="31"/>
      <c r="AF48" s="57"/>
    </row>
    <row r="49" spans="2:34" s="30" customFormat="1" ht="24.95" customHeight="1" x14ac:dyDescent="0.3">
      <c r="B49" s="34" t="s">
        <v>0</v>
      </c>
      <c r="C49" s="29" t="s">
        <v>2</v>
      </c>
      <c r="D49" s="37"/>
      <c r="E49" s="13"/>
      <c r="F49" s="13"/>
      <c r="G49" s="16" t="s">
        <v>284</v>
      </c>
      <c r="H49" s="56" t="str">
        <f>ToCamelLower($B49,"/","/")&amp;ToCamelLower($B49,"","_")&amp;ToCamelLower($C49,"","")&amp;".jsp"</f>
        <v>/nodes/nodes_main.jsp</v>
      </c>
      <c r="I49" s="55" t="s">
        <v>253</v>
      </c>
      <c r="J49" s="55" t="str">
        <f>ToCamelLower($B49,"/","")&amp;ToCamelLower($C49,"/","")&amp;ToCamelLower($D49,"/","")&amp;ToCamelLower($E49,"/","")&amp;ToCamelLower($F49,"/","")</f>
        <v>/nodes/main</v>
      </c>
      <c r="K49" s="55" t="str">
        <f>ToCamelLower($B49,"","") &amp; ToCamel($C49,"","") &amp; ToCamel($D49,"","") &amp; ToCamel($E49,"","") &amp; ToCamel($F49,"","")</f>
        <v>nodesMain</v>
      </c>
      <c r="L49" s="55"/>
      <c r="M49" s="57"/>
      <c r="N49" s="31"/>
      <c r="O49" s="46"/>
      <c r="P49" s="46"/>
      <c r="Q49" s="46"/>
      <c r="R49" s="46"/>
      <c r="S49" s="31"/>
      <c r="T49" s="31"/>
      <c r="U49" s="31"/>
      <c r="V49" s="46"/>
      <c r="W49" s="44"/>
      <c r="X49" s="46"/>
      <c r="Y49" s="31"/>
      <c r="Z49" s="31"/>
      <c r="AA49" s="31"/>
      <c r="AB49" s="31"/>
      <c r="AC49" s="31"/>
      <c r="AD49" s="31"/>
      <c r="AE49" s="31"/>
      <c r="AF49" s="57"/>
    </row>
    <row r="50" spans="2:34" s="3" customFormat="1" ht="24.95" customHeight="1" x14ac:dyDescent="0.3">
      <c r="B50" s="34" t="s">
        <v>0</v>
      </c>
      <c r="C50" s="16" t="s">
        <v>220</v>
      </c>
      <c r="D50" s="19" t="s">
        <v>215</v>
      </c>
      <c r="E50" s="16"/>
      <c r="F50" s="16"/>
      <c r="G50" s="16" t="s">
        <v>284</v>
      </c>
      <c r="H50" s="55"/>
      <c r="I50" s="55" t="s">
        <v>254</v>
      </c>
      <c r="J50" s="55" t="str">
        <f>"/rest"&amp;ToCamelLower($B50,"/","")&amp;ToCamelLower($C50,"/","")&amp;ToCamelLower($D50,"/","")&amp;ToCamelLower($E50,"/","")&amp;ToCamelLower($F50,"/","")</f>
        <v>/rest/nodes/main/menu</v>
      </c>
      <c r="K50" s="55" t="str">
        <f>ToCamelLower($B50,"","") &amp; ToCamel($C50,"","") &amp; ToCamel($D50,"","") &amp; ToCamel($E50,"","") &amp; ToCamel($F50,"","")</f>
        <v>nodesMainMenu</v>
      </c>
      <c r="L50" s="55" t="str">
        <f>"Url" &amp; "." &amp; ToCamelLower($B50,"","") &amp; "." &amp; ToCamelLower($C50,"","") &amp; ToCamel($D50,"","") &amp; ToCamel($E50,"","") &amp; ToCamel($F50,"","")</f>
        <v>Url.nodes.mainMenu</v>
      </c>
      <c r="M50" s="27" t="s">
        <v>270</v>
      </c>
      <c r="N50" s="8" t="s">
        <v>207</v>
      </c>
      <c r="O50" s="49" t="str">
        <f t="shared" ref="O50:O51" si="8">ToCamel($B50,"","") &amp;"Service"</f>
        <v>NodesService</v>
      </c>
      <c r="P50" s="51" t="s">
        <v>215</v>
      </c>
      <c r="Q50" s="44" t="s">
        <v>327</v>
      </c>
      <c r="R50" s="44" t="s">
        <v>367</v>
      </c>
      <c r="S50" s="88" t="str">
        <f>$Q50 &amp; ToCamel($B50,"","") &amp;ToCamel($C50,"","") &amp;ToCamel($P50,"","")&amp;$R50</f>
        <v>getNodesMainMenuList</v>
      </c>
      <c r="T50" s="88" t="str">
        <f>IF(ISBLANK($X50),"",$X50&amp;"&lt;")&amp;$AB50&amp;IF(ISBLANK($X50)," ","&gt; ")&amp; S50&amp;"(String " &amp; $M50 &amp;");"</f>
        <v>List&lt;NodesMainMenuModel&gt; getNodesMainMenuList(String N/A);</v>
      </c>
      <c r="U50" s="156" t="str">
        <f t="shared" ref="U50:U51" si="9">ToCamel($B50,"","") &amp;"Repository"</f>
        <v>NodesRepository</v>
      </c>
      <c r="V50" s="51" t="s">
        <v>215</v>
      </c>
      <c r="W50" s="44" t="s">
        <v>291</v>
      </c>
      <c r="X50" s="44" t="s">
        <v>367</v>
      </c>
      <c r="Y50" s="8" t="s">
        <v>313</v>
      </c>
      <c r="Z50" s="8" t="s">
        <v>316</v>
      </c>
      <c r="AA50" s="88" t="str">
        <f>$W50 &amp; ToCamel($B50,"","") &amp;ToCamel($C50,"","") &amp;ToCamel($V50,"","")&amp;$X50</f>
        <v>selectNodesMainMenuList</v>
      </c>
      <c r="AB50" s="88" t="str">
        <f>ToCamel($B50,"","") &amp;ToCamel($C50,"","") &amp;ToCamel($V50,"","")&amp;"Model"</f>
        <v>NodesMainMenuModel</v>
      </c>
      <c r="AC50" s="8"/>
      <c r="AD50" s="88" t="str">
        <f t="shared" ref="AD50:AD69" si="10">IF(ISBLANK($X50),"",$X50&amp;"&lt;")&amp;$AB50&amp;IF(ISBLANK($X50)," ","&gt; ")&amp;AA50&amp; "(Map&lt;String, Object&gt; param);"</f>
        <v>List&lt;NodesMainMenuModel&gt; selectNodesMainMenuList(Map&lt;String, Object&gt; param);</v>
      </c>
      <c r="AE50" s="88" t="str">
        <f>"select /* web."&amp;$U50&amp;"."&amp;$W50 &amp; ToCamel($B50,"","") &amp;ToCamel($C50,"","") &amp;ToCamel($V50,"","")&amp;$X50&amp;" */" &amp; CHAR(10) &amp; "       a." &amp;$N50 &amp; CHAR(10) &amp; "     , a." &amp;N50 &amp; CHAR(10) &amp; "  from " &amp; $Y50 &amp;" a" &amp; CHAR(10) &amp; " where "&amp;$Z50&amp;" = #{"&amp;ToCamel($Z50,"","")&amp;"}"&amp; CHAR(10) &amp; ";"</f>
        <v>select /* web.NodesRepository.selectNodesMainMenuList */
       a.rackId, nodeId
     , a.rackId, nodeId
  from rack a
 where rack_id = #{rackId}
;</v>
      </c>
      <c r="AF50" s="26" t="s">
        <v>47</v>
      </c>
      <c r="AG50" s="23" t="s">
        <v>305</v>
      </c>
    </row>
    <row r="51" spans="2:34" s="3" customFormat="1" ht="24.95" customHeight="1" x14ac:dyDescent="0.3">
      <c r="B51" s="34" t="s">
        <v>0</v>
      </c>
      <c r="C51" s="16" t="s">
        <v>220</v>
      </c>
      <c r="D51" s="19" t="s">
        <v>216</v>
      </c>
      <c r="E51" s="20"/>
      <c r="F51" s="20"/>
      <c r="G51" s="16" t="s">
        <v>284</v>
      </c>
      <c r="H51" s="55"/>
      <c r="I51" s="55" t="s">
        <v>255</v>
      </c>
      <c r="J51" s="55" t="str">
        <f>"/rest"&amp;ToCamelLower($B51,"/","")&amp;ToCamelLower($C51,"/","")&amp;ToCamelLower($D51,"/","")&amp;ToCamelLower($E51,"/","")&amp;ToCamelLower($F51,"/","")</f>
        <v>/rest/nodes/main/console</v>
      </c>
      <c r="K51" s="55" t="str">
        <f>ToCamelLower($B51,"","") &amp; ToCamel($C51,"","") &amp; ToCamel($D51,"","") &amp; ToCamel($E51,"","") &amp; ToCamel($F51,"","")</f>
        <v>nodesMainConsole</v>
      </c>
      <c r="L51" s="55" t="str">
        <f>"Url" &amp; "." &amp; ToCamelLower($B51,"","") &amp; "." &amp; ToCamelLower($C51,"","") &amp; ToCamel($D51,"","") &amp; ToCamel($E51,"","") &amp; ToCamel($F51,"","")</f>
        <v>Url.nodes.mainConsole</v>
      </c>
      <c r="M51" s="64" t="s">
        <v>270</v>
      </c>
      <c r="N51" s="65" t="s">
        <v>173</v>
      </c>
      <c r="O51" s="49" t="str">
        <f t="shared" si="8"/>
        <v>NodesService</v>
      </c>
      <c r="P51" s="51" t="s">
        <v>216</v>
      </c>
      <c r="Q51" s="44" t="s">
        <v>327</v>
      </c>
      <c r="R51" s="44"/>
      <c r="S51" s="88" t="str">
        <f>$Q51 &amp; ToCamel($B51,"","") &amp;ToCamel($C51,"","") &amp;ToCamel($P51,"","")&amp;$R51</f>
        <v>getNodesMainConsole</v>
      </c>
      <c r="T51" s="88" t="str">
        <f>IF(ISBLANK($X51),"",$X51&amp;"&lt;")&amp;$AB51&amp;IF(ISBLANK($X51)," ","&gt; ")&amp; S51&amp;"(String " &amp; $M51 &amp;");"</f>
        <v>NodesMainConsoleModel getNodesMainConsole(String N/A);</v>
      </c>
      <c r="U51" s="156" t="str">
        <f t="shared" si="9"/>
        <v>NodesRepository</v>
      </c>
      <c r="V51" s="51" t="s">
        <v>216</v>
      </c>
      <c r="W51" s="44" t="s">
        <v>291</v>
      </c>
      <c r="X51" s="44"/>
      <c r="Y51" s="8" t="s">
        <v>317</v>
      </c>
      <c r="Z51" s="8" t="s">
        <v>318</v>
      </c>
      <c r="AA51" s="88" t="str">
        <f>$W51 &amp; ToCamel($B51,"","") &amp;ToCamel($C51,"","") &amp;ToCamel($V51,"","")&amp;$X51</f>
        <v>selectNodesMainConsole</v>
      </c>
      <c r="AB51" s="88" t="str">
        <f>ToCamel($B51,"","") &amp;ToCamel($C51,"","") &amp;ToCamel($V51,"","")&amp;"Model"</f>
        <v>NodesMainConsoleModel</v>
      </c>
      <c r="AC51" s="8"/>
      <c r="AD51" s="88" t="str">
        <f t="shared" si="10"/>
        <v>NodesMainConsoleModel selectNodesMainConsole(Map&lt;String, Object&gt; param);</v>
      </c>
      <c r="AE51" s="88" t="str">
        <f>"select /* web."&amp;$U51&amp;"."&amp;$W51 &amp; ToCamel($B51,"","") &amp;ToCamel($C51,"","") &amp;ToCamel($V51,"","")&amp;$X51&amp;" */" &amp; CHAR(10) &amp; "       a." &amp;$N51 &amp; CHAR(10) &amp; "     , a." &amp;N51 &amp; CHAR(10) &amp; "  from " &amp; $Y51 &amp;" a" &amp; CHAR(10) &amp; " where "&amp;$Z51&amp;" = #{"&amp;ToCamel($Z51,"","")&amp;"}"&amp; CHAR(10) &amp; ";"</f>
        <v>select /* web.NodesRepository.selectNodesMainConsole */
       a.consoleUrl
     , a.consoleUrl
  from node a
 where node_id = #{nodeId}
;</v>
      </c>
      <c r="AF51" s="26" t="s">
        <v>201</v>
      </c>
      <c r="AG51" s="22"/>
    </row>
    <row r="52" spans="2:34" s="3" customFormat="1" ht="24.95" customHeight="1" x14ac:dyDescent="0.3">
      <c r="B52" s="34" t="s">
        <v>0</v>
      </c>
      <c r="C52" s="16" t="s">
        <v>220</v>
      </c>
      <c r="D52" s="19" t="s">
        <v>198</v>
      </c>
      <c r="E52" s="20"/>
      <c r="F52" s="20"/>
      <c r="G52" s="16" t="s">
        <v>286</v>
      </c>
      <c r="H52" s="55"/>
      <c r="I52" s="55" t="s">
        <v>256</v>
      </c>
      <c r="J52" s="55" t="str">
        <f>"/rest"&amp;ToCamelLower($B52,"/","")&amp;ToCamelLower($C52,"/","")&amp;ToCamelLower($D52,"/","")&amp;ToCamelLower($E52,"/","")&amp;ToCamelLower($F52,"/","")</f>
        <v>/rest/nodes/main/fileExract</v>
      </c>
      <c r="K52" s="55" t="str">
        <f>ToCamelLower($B52,"","") &amp; ToCamel($C52,"","") &amp; ToCamel($D52,"","") &amp; ToCamel($E52,"","") &amp; ToCamel($F52,"","")</f>
        <v>nodesMainFileExract</v>
      </c>
      <c r="L52" s="55" t="str">
        <f>"Url" &amp; "." &amp; ToCamelLower($B52,"","") &amp; "." &amp; ToCamelLower($C52,"","") &amp; ToCamel($D52,"","") &amp; ToCamel($E52,"","") &amp; ToCamel($F52,"","")</f>
        <v>Url.nodes.mainFileExract</v>
      </c>
      <c r="M52" s="64"/>
      <c r="N52" s="65"/>
      <c r="O52" s="35"/>
      <c r="P52" s="35"/>
      <c r="Q52" s="35"/>
      <c r="R52" s="35"/>
      <c r="S52" s="65"/>
      <c r="T52" s="65"/>
      <c r="U52" s="65"/>
      <c r="V52" s="35"/>
      <c r="W52" s="35"/>
      <c r="X52" s="35"/>
      <c r="Y52" s="65"/>
      <c r="Z52" s="65"/>
      <c r="AA52" s="65"/>
      <c r="AB52" s="65"/>
      <c r="AC52" s="65"/>
      <c r="AD52" s="65"/>
      <c r="AE52" s="65"/>
      <c r="AF52" s="58" t="s">
        <v>150</v>
      </c>
      <c r="AG52" s="22"/>
    </row>
    <row r="53" spans="2:34" s="3" customFormat="1" ht="24.95" customHeight="1" x14ac:dyDescent="0.3">
      <c r="B53" s="43" t="s">
        <v>0</v>
      </c>
      <c r="C53" s="41" t="s">
        <v>2</v>
      </c>
      <c r="D53" s="42" t="s">
        <v>211</v>
      </c>
      <c r="E53" s="216"/>
      <c r="F53" s="216"/>
      <c r="G53" s="16" t="s">
        <v>284</v>
      </c>
      <c r="H53" s="219"/>
      <c r="I53" s="205" t="s">
        <v>257</v>
      </c>
      <c r="J53" s="205" t="str">
        <f>"/rest"&amp;ToCamelLower($B53,"/","")&amp;ToCamelLower($C53,"/","")&amp;ToCamelLower($D53,"/","")&amp;ToCamelLower($E53,"/","")&amp;ToCamelLower($F53,"/","")</f>
        <v>/rest/nodes/main/monitoring</v>
      </c>
      <c r="K53" s="205" t="str">
        <f>ToCamelLower($B53,"","") &amp; ToCamel($C53,"","") &amp; ToCamel($D53,"","") &amp; ToCamel($E53,"","") &amp; ToCamel($F53,"","")</f>
        <v>nodesMainMonitoring</v>
      </c>
      <c r="L53" s="205" t="str">
        <f>"Url" &amp; "." &amp; ToCamelLower($B53,"","") &amp; "." &amp; ToCamelLower($C53,"","") &amp; ToCamel($D53,"","") &amp; ToCamel($E53,"","") &amp; ToCamel($F53,"","")</f>
        <v>Url.nodes.mainMonitoring</v>
      </c>
      <c r="M53" s="27" t="s">
        <v>50</v>
      </c>
      <c r="N53" s="8" t="s">
        <v>51</v>
      </c>
      <c r="O53" s="49" t="str">
        <f t="shared" ref="O53:O69" si="11">ToCamel($B53,"","") &amp;"Service"</f>
        <v>NodesService</v>
      </c>
      <c r="P53" s="161" t="s">
        <v>306</v>
      </c>
      <c r="Q53" s="163" t="s">
        <v>327</v>
      </c>
      <c r="R53" s="163"/>
      <c r="S53" s="159" t="str">
        <f t="shared" ref="S53:S69" si="12">$Q53 &amp; ToCamel($B53,"","") &amp;ToCamel($C53,"","") &amp;ToCamel($P53,"","")&amp;$R53</f>
        <v>getNodesMainMonitoringNodeInfo</v>
      </c>
      <c r="T53" s="159" t="str">
        <f t="shared" ref="T53:T69" si="13">IF(ISBLANK($X53),"",$X53&amp;"&lt;")&amp;$AB53&amp;IF(ISBLANK($X53)," ","&gt; ")&amp; S53&amp;"(String " &amp; $M53 &amp;");"</f>
        <v>NodesMainMonitoringNodeInfoModel getNodesMainMonitoringNodeInfo(String nodeId);</v>
      </c>
      <c r="U53" s="159" t="str">
        <f t="shared" ref="U53:U69" si="14">ToCamel($B53,"","") &amp;"Repository"</f>
        <v>NodesRepository</v>
      </c>
      <c r="V53" s="161" t="s">
        <v>306</v>
      </c>
      <c r="W53" s="163" t="s">
        <v>291</v>
      </c>
      <c r="X53" s="163"/>
      <c r="Y53" s="163" t="s">
        <v>317</v>
      </c>
      <c r="Z53" s="163" t="s">
        <v>318</v>
      </c>
      <c r="AA53" s="159" t="str">
        <f t="shared" ref="AA53:AA69" si="15">$W53 &amp; ToCamel($B53,"","") &amp;ToCamel($C53,"","") &amp;ToCamel($V53,"","")&amp;$X53</f>
        <v>selectNodesMainMonitoringNodeInfo</v>
      </c>
      <c r="AB53" s="159" t="str">
        <f t="shared" ref="AB53:AB69" si="16">ToCamel($B53,"","") &amp;ToCamel($C53,"","") &amp;ToCamel($V53,"","")&amp;"Model"</f>
        <v>NodesMainMonitoringNodeInfoModel</v>
      </c>
      <c r="AC53" s="163"/>
      <c r="AD53" s="159" t="str">
        <f t="shared" si="10"/>
        <v>NodesMainMonitoringNodeInfoModel selectNodesMainMonitoringNodeInfo(Map&lt;String, Object&gt; param);</v>
      </c>
      <c r="AE53" s="159" t="str">
        <f t="shared" ref="AE53:AE69" si="17">"select /* web."&amp;$U53&amp;"."&amp;$W53 &amp; ToCamel($B53,"","") &amp;ToCamel($C53,"","") &amp;ToCamel($V53,"","")&amp;$X53&amp;" */" &amp; CHAR(10) &amp; "       a." &amp;$N53 &amp; CHAR(10) &amp; "     , a." &amp;N53 &amp; CHAR(10) &amp; "  from " &amp; $Y53 &amp;" a" &amp; CHAR(10) &amp; " where "&amp;$Z53&amp;" = #{"&amp;ToCamel($Z53,"","")&amp;"}"&amp; CHAR(10) &amp; ";"</f>
        <v>select /* web.NodesRepository.selectNodesMainMonitoringNodeInfo */
       a.nodeName, osHostName, osIpAddr
     , a.nodeName, osHostName, osIpAddr
  from node a
 where node_id = #{nodeId}
;</v>
      </c>
      <c r="AF53" s="66" t="s">
        <v>193</v>
      </c>
      <c r="AG53" s="22"/>
    </row>
    <row r="54" spans="2:34" s="3" customFormat="1" ht="24.95" customHeight="1" x14ac:dyDescent="0.3">
      <c r="B54" s="43" t="s">
        <v>0</v>
      </c>
      <c r="C54" s="158" t="s">
        <v>2</v>
      </c>
      <c r="D54" s="42" t="s">
        <v>211</v>
      </c>
      <c r="E54" s="217"/>
      <c r="F54" s="217"/>
      <c r="G54" s="16" t="s">
        <v>284</v>
      </c>
      <c r="H54" s="220"/>
      <c r="I54" s="206"/>
      <c r="J54" s="206"/>
      <c r="K54" s="206"/>
      <c r="L54" s="206"/>
      <c r="M54" s="27" t="s">
        <v>50</v>
      </c>
      <c r="N54" s="8" t="s">
        <v>136</v>
      </c>
      <c r="O54" s="70" t="str">
        <f t="shared" si="11"/>
        <v>NodesService</v>
      </c>
      <c r="P54" s="162"/>
      <c r="Q54" s="164"/>
      <c r="R54" s="164"/>
      <c r="S54" s="160"/>
      <c r="T54" s="160"/>
      <c r="U54" s="160"/>
      <c r="V54" s="162"/>
      <c r="W54" s="164"/>
      <c r="X54" s="164"/>
      <c r="Y54" s="164"/>
      <c r="Z54" s="164"/>
      <c r="AA54" s="160"/>
      <c r="AB54" s="160"/>
      <c r="AC54" s="164"/>
      <c r="AD54" s="160"/>
      <c r="AE54" s="160"/>
      <c r="AF54" s="66" t="s">
        <v>56</v>
      </c>
      <c r="AG54" s="22"/>
    </row>
    <row r="55" spans="2:34" s="3" customFormat="1" ht="24.95" customHeight="1" x14ac:dyDescent="0.3">
      <c r="B55" s="43" t="s">
        <v>0</v>
      </c>
      <c r="C55" s="41" t="s">
        <v>2</v>
      </c>
      <c r="D55" s="42" t="s">
        <v>211</v>
      </c>
      <c r="E55" s="217"/>
      <c r="F55" s="217"/>
      <c r="G55" s="16" t="s">
        <v>284</v>
      </c>
      <c r="H55" s="220"/>
      <c r="I55" s="206"/>
      <c r="J55" s="206"/>
      <c r="K55" s="206"/>
      <c r="L55" s="206"/>
      <c r="M55" s="27" t="s">
        <v>50</v>
      </c>
      <c r="N55" s="8" t="s">
        <v>134</v>
      </c>
      <c r="O55" s="163" t="str">
        <f t="shared" si="11"/>
        <v>NodesService</v>
      </c>
      <c r="P55" s="161" t="s">
        <v>373</v>
      </c>
      <c r="Q55" s="163" t="s">
        <v>327</v>
      </c>
      <c r="R55" s="163"/>
      <c r="S55" s="159" t="str">
        <f t="shared" si="12"/>
        <v>getNodesMainMonitoringLoad</v>
      </c>
      <c r="T55" s="159" t="str">
        <f t="shared" si="13"/>
        <v>NodesMainMonitoringLoadModel getNodesMainMonitoringLoad(String nodeId);</v>
      </c>
      <c r="U55" s="159" t="str">
        <f t="shared" si="14"/>
        <v>NodesRepository</v>
      </c>
      <c r="V55" s="161" t="s">
        <v>373</v>
      </c>
      <c r="W55" s="163" t="s">
        <v>291</v>
      </c>
      <c r="X55" s="163"/>
      <c r="Y55" s="163" t="s">
        <v>317</v>
      </c>
      <c r="Z55" s="163" t="s">
        <v>318</v>
      </c>
      <c r="AA55" s="159" t="str">
        <f t="shared" si="15"/>
        <v>selectNodesMainMonitoringLoad</v>
      </c>
      <c r="AB55" s="159" t="str">
        <f t="shared" si="16"/>
        <v>NodesMainMonitoringLoadModel</v>
      </c>
      <c r="AC55" s="163"/>
      <c r="AD55" s="159" t="str">
        <f t="shared" si="10"/>
        <v>NodesMainMonitoringLoadModel selectNodesMainMonitoringLoad(Map&lt;String, Object&gt; param);</v>
      </c>
      <c r="AE55" s="159" t="str">
        <f t="shared" si="17"/>
        <v>select /* web.NodesRepository.selectNodesMainMonitoringLoad */
       a.upTimeDay, upTime
     , a.upTimeDay, upTime
  from node a
 where node_id = #{nodeId}
;</v>
      </c>
      <c r="AF55" s="66" t="s">
        <v>194</v>
      </c>
      <c r="AG55" s="22"/>
      <c r="AH55" s="3" t="s">
        <v>368</v>
      </c>
    </row>
    <row r="56" spans="2:34" s="3" customFormat="1" ht="24.95" customHeight="1" x14ac:dyDescent="0.3">
      <c r="B56" s="43" t="s">
        <v>0</v>
      </c>
      <c r="C56" s="41" t="s">
        <v>2</v>
      </c>
      <c r="D56" s="42" t="s">
        <v>211</v>
      </c>
      <c r="E56" s="217"/>
      <c r="F56" s="217"/>
      <c r="G56" s="16" t="s">
        <v>284</v>
      </c>
      <c r="H56" s="220"/>
      <c r="I56" s="206"/>
      <c r="J56" s="206"/>
      <c r="K56" s="206"/>
      <c r="L56" s="206"/>
      <c r="M56" s="27" t="s">
        <v>50</v>
      </c>
      <c r="N56" s="8" t="s">
        <v>135</v>
      </c>
      <c r="O56" s="164"/>
      <c r="P56" s="162"/>
      <c r="Q56" s="164"/>
      <c r="R56" s="164"/>
      <c r="S56" s="160"/>
      <c r="T56" s="160"/>
      <c r="U56" s="160"/>
      <c r="V56" s="162"/>
      <c r="W56" s="164"/>
      <c r="X56" s="164"/>
      <c r="Y56" s="164"/>
      <c r="Z56" s="164"/>
      <c r="AA56" s="160"/>
      <c r="AB56" s="160"/>
      <c r="AC56" s="164"/>
      <c r="AD56" s="160"/>
      <c r="AE56" s="160"/>
      <c r="AF56" s="66" t="s">
        <v>195</v>
      </c>
      <c r="AG56" s="25" t="s">
        <v>202</v>
      </c>
    </row>
    <row r="57" spans="2:34" s="3" customFormat="1" ht="24.95" customHeight="1" x14ac:dyDescent="0.3">
      <c r="B57" s="43" t="s">
        <v>0</v>
      </c>
      <c r="C57" s="41" t="s">
        <v>2</v>
      </c>
      <c r="D57" s="42" t="s">
        <v>211</v>
      </c>
      <c r="E57" s="218"/>
      <c r="F57" s="218"/>
      <c r="G57" s="16" t="s">
        <v>284</v>
      </c>
      <c r="H57" s="221"/>
      <c r="I57" s="207"/>
      <c r="J57" s="207"/>
      <c r="K57" s="207"/>
      <c r="L57" s="207"/>
      <c r="M57" s="27" t="s">
        <v>50</v>
      </c>
      <c r="N57" s="8" t="s">
        <v>137</v>
      </c>
      <c r="O57" s="49" t="str">
        <f t="shared" si="11"/>
        <v>NodesService</v>
      </c>
      <c r="P57" s="51" t="s">
        <v>307</v>
      </c>
      <c r="Q57" s="44" t="s">
        <v>327</v>
      </c>
      <c r="R57" s="44"/>
      <c r="S57" s="88" t="str">
        <f t="shared" si="12"/>
        <v>getNodesMainMonitoringErrorCount</v>
      </c>
      <c r="T57" s="88" t="str">
        <f t="shared" si="13"/>
        <v>NodesMainMonitoringErrorCountModel getNodesMainMonitoringErrorCount(String nodeId);</v>
      </c>
      <c r="U57" s="156" t="str">
        <f t="shared" si="14"/>
        <v>NodesRepository</v>
      </c>
      <c r="V57" s="51" t="s">
        <v>307</v>
      </c>
      <c r="W57" s="44" t="s">
        <v>291</v>
      </c>
      <c r="X57" s="44"/>
      <c r="Y57" s="8" t="s">
        <v>317</v>
      </c>
      <c r="Z57" s="8" t="s">
        <v>318</v>
      </c>
      <c r="AA57" s="88" t="str">
        <f t="shared" si="15"/>
        <v>selectNodesMainMonitoringErrorCount</v>
      </c>
      <c r="AB57" s="88" t="str">
        <f t="shared" si="16"/>
        <v>NodesMainMonitoringErrorCountModel</v>
      </c>
      <c r="AC57" s="8"/>
      <c r="AD57" s="88" t="str">
        <f t="shared" si="10"/>
        <v>NodesMainMonitoringErrorCountModel selectNodesMainMonitoringErrorCount(Map&lt;String, Object&gt; param);</v>
      </c>
      <c r="AE57" s="88" t="str">
        <f t="shared" si="17"/>
        <v>select /* web.NodesRepository.selectNodesMainMonitoringErrorCount */
       a.errorCount
     , a.errorCount
  from node a
 where node_id = #{nodeId}
;</v>
      </c>
      <c r="AF57" s="66" t="s">
        <v>42</v>
      </c>
      <c r="AG57" s="22"/>
    </row>
    <row r="58" spans="2:34" s="3" customFormat="1" ht="24.95" customHeight="1" x14ac:dyDescent="0.3">
      <c r="B58" s="34" t="s">
        <v>0</v>
      </c>
      <c r="C58" s="16" t="s">
        <v>220</v>
      </c>
      <c r="D58" s="19" t="s">
        <v>55</v>
      </c>
      <c r="E58" s="16"/>
      <c r="F58" s="16"/>
      <c r="G58" s="16" t="s">
        <v>284</v>
      </c>
      <c r="H58" s="55"/>
      <c r="I58" s="55" t="s">
        <v>258</v>
      </c>
      <c r="J58" s="55" t="str">
        <f t="shared" ref="J58:J69" si="18">"/rest"&amp;ToCamelLower($B58,"/","")&amp;ToCamelLower($C58,"/","")&amp;ToCamelLower($D58,"/","")&amp;ToCamelLower($E58,"/","")&amp;ToCamelLower($F58,"/","")</f>
        <v>/rest/nodes/main/cpu</v>
      </c>
      <c r="K58" s="55" t="str">
        <f t="shared" ref="K58:K69" si="19">ToCamelLower($B58,"","") &amp; ToCamel($C58,"","") &amp; ToCamel($D58,"","") &amp; ToCamel($E58,"","") &amp; ToCamel($F58,"","")</f>
        <v>nodesMainCpu</v>
      </c>
      <c r="L58" s="55" t="str">
        <f t="shared" ref="L58:L69" si="20">"Url" &amp; "." &amp; ToCamelLower($B58,"","") &amp; "." &amp; ToCamelLower($C58,"","") &amp; ToCamel($D58,"","") &amp; ToCamel($E58,"","") &amp; ToCamel($F58,"","")</f>
        <v>Url.nodes.mainCpu</v>
      </c>
      <c r="M58" s="27" t="s">
        <v>50</v>
      </c>
      <c r="N58" s="8" t="s">
        <v>218</v>
      </c>
      <c r="O58" s="49" t="str">
        <f t="shared" si="11"/>
        <v>NodesService</v>
      </c>
      <c r="P58" s="51" t="s">
        <v>55</v>
      </c>
      <c r="Q58" s="44" t="s">
        <v>327</v>
      </c>
      <c r="R58" s="44"/>
      <c r="S58" s="88" t="str">
        <f t="shared" si="12"/>
        <v>getNodesMainCpu</v>
      </c>
      <c r="T58" s="88" t="str">
        <f t="shared" si="13"/>
        <v>NodesMainCpuModel getNodesMainCpu(String nodeId);</v>
      </c>
      <c r="U58" s="156" t="str">
        <f t="shared" si="14"/>
        <v>NodesRepository</v>
      </c>
      <c r="V58" s="51" t="s">
        <v>55</v>
      </c>
      <c r="W58" s="44" t="s">
        <v>291</v>
      </c>
      <c r="X58" s="44"/>
      <c r="Y58" s="8" t="s">
        <v>317</v>
      </c>
      <c r="Z58" s="8" t="s">
        <v>318</v>
      </c>
      <c r="AA58" s="88" t="str">
        <f t="shared" si="15"/>
        <v>selectNodesMainCpu</v>
      </c>
      <c r="AB58" s="88" t="str">
        <f t="shared" si="16"/>
        <v>NodesMainCpuModel</v>
      </c>
      <c r="AC58" s="8"/>
      <c r="AD58" s="88" t="str">
        <f t="shared" si="10"/>
        <v>NodesMainCpuModel selectNodesMainCpu(Map&lt;String, Object&gt; param);</v>
      </c>
      <c r="AE58" s="88" t="str">
        <f t="shared" si="17"/>
        <v>select /* web.NodesRepository.selectNodesMainCpu */
       a.usagePercent, chartItem, userPercent(used), sysPercent, iowaitPercent, idlePercent
     , a.usagePercent, chartItem, userPercent(used), sysPercent, iowaitPercent, idlePercent
  from node a
 where node_id = #{nodeId}
;</v>
      </c>
      <c r="AF58" s="26"/>
      <c r="AG58" s="22"/>
    </row>
    <row r="59" spans="2:34" s="3" customFormat="1" ht="24.95" customHeight="1" x14ac:dyDescent="0.3">
      <c r="B59" s="34" t="s">
        <v>0</v>
      </c>
      <c r="C59" s="16" t="s">
        <v>220</v>
      </c>
      <c r="D59" s="19" t="s">
        <v>52</v>
      </c>
      <c r="E59" s="16"/>
      <c r="F59" s="16"/>
      <c r="G59" s="16" t="s">
        <v>284</v>
      </c>
      <c r="H59" s="55"/>
      <c r="I59" s="55" t="s">
        <v>259</v>
      </c>
      <c r="J59" s="55" t="str">
        <f t="shared" si="18"/>
        <v>/rest/nodes/main/memory</v>
      </c>
      <c r="K59" s="55" t="str">
        <f t="shared" si="19"/>
        <v>nodesMainMemory</v>
      </c>
      <c r="L59" s="55" t="str">
        <f t="shared" si="20"/>
        <v>Url.nodes.mainMemory</v>
      </c>
      <c r="M59" s="27" t="s">
        <v>50</v>
      </c>
      <c r="N59" s="8" t="s">
        <v>219</v>
      </c>
      <c r="O59" s="49" t="str">
        <f t="shared" si="11"/>
        <v>NodesService</v>
      </c>
      <c r="P59" s="51" t="s">
        <v>52</v>
      </c>
      <c r="Q59" s="44" t="s">
        <v>327</v>
      </c>
      <c r="R59" s="44"/>
      <c r="S59" s="88" t="str">
        <f t="shared" si="12"/>
        <v>getNodesMainMemory</v>
      </c>
      <c r="T59" s="88" t="str">
        <f t="shared" si="13"/>
        <v>NodesMainMemoryModel getNodesMainMemory(String nodeId);</v>
      </c>
      <c r="U59" s="156" t="str">
        <f t="shared" si="14"/>
        <v>NodesRepository</v>
      </c>
      <c r="V59" s="51" t="s">
        <v>52</v>
      </c>
      <c r="W59" s="44" t="s">
        <v>291</v>
      </c>
      <c r="X59" s="44"/>
      <c r="Y59" s="8" t="s">
        <v>317</v>
      </c>
      <c r="Z59" s="8" t="s">
        <v>318</v>
      </c>
      <c r="AA59" s="88" t="str">
        <f t="shared" si="15"/>
        <v>selectNodesMainMemory</v>
      </c>
      <c r="AB59" s="88" t="str">
        <f t="shared" si="16"/>
        <v>NodesMainMemoryModel</v>
      </c>
      <c r="AC59" s="8"/>
      <c r="AD59" s="88" t="str">
        <f t="shared" si="10"/>
        <v>NodesMainMemoryModel selectNodesMainMemory(Map&lt;String, Object&gt; param);</v>
      </c>
      <c r="AE59" s="88" t="str">
        <f t="shared" si="17"/>
        <v>select /* web.NodesRepository.selectNodesMainMemory */
       a.memCalcUsedPercent, chartItem, memTotalSize, memCalcUsedSize, memCalcFreeSize, swapFreeSize
     , a.memCalcUsedPercent, chartItem, memTotalSize, memCalcUsedSize, memCalcFreeSize, swapFreeSize
  from node a
 where node_id = #{nodeId}
;</v>
      </c>
      <c r="AF59" s="26"/>
      <c r="AG59" s="22"/>
    </row>
    <row r="60" spans="2:34" s="3" customFormat="1" ht="24.95" customHeight="1" x14ac:dyDescent="0.3">
      <c r="B60" s="34" t="s">
        <v>0</v>
      </c>
      <c r="C60" s="16" t="s">
        <v>220</v>
      </c>
      <c r="D60" s="19" t="s">
        <v>53</v>
      </c>
      <c r="E60" s="16"/>
      <c r="F60" s="16"/>
      <c r="G60" s="16" t="s">
        <v>284</v>
      </c>
      <c r="H60" s="55"/>
      <c r="I60" s="55" t="s">
        <v>260</v>
      </c>
      <c r="J60" s="55" t="str">
        <f t="shared" si="18"/>
        <v>/rest/nodes/main/disk</v>
      </c>
      <c r="K60" s="55" t="str">
        <f t="shared" si="19"/>
        <v>nodesMainDisk</v>
      </c>
      <c r="L60" s="55" t="str">
        <f t="shared" si="20"/>
        <v>Url.nodes.mainDisk</v>
      </c>
      <c r="M60" s="27" t="s">
        <v>50</v>
      </c>
      <c r="N60" s="8" t="s">
        <v>138</v>
      </c>
      <c r="O60" s="49" t="str">
        <f t="shared" si="11"/>
        <v>NodesService</v>
      </c>
      <c r="P60" s="51" t="s">
        <v>53</v>
      </c>
      <c r="Q60" s="44" t="s">
        <v>327</v>
      </c>
      <c r="R60" s="44" t="s">
        <v>367</v>
      </c>
      <c r="S60" s="88" t="str">
        <f t="shared" si="12"/>
        <v>getNodesMainDiskList</v>
      </c>
      <c r="T60" s="88" t="str">
        <f t="shared" si="13"/>
        <v>List&lt;NodesMainDiskModel&gt; getNodesMainDiskList(String nodeId);</v>
      </c>
      <c r="U60" s="156" t="str">
        <f t="shared" si="14"/>
        <v>NodesRepository</v>
      </c>
      <c r="V60" s="51" t="s">
        <v>53</v>
      </c>
      <c r="W60" s="44" t="s">
        <v>291</v>
      </c>
      <c r="X60" s="44" t="s">
        <v>367</v>
      </c>
      <c r="Y60" s="8" t="s">
        <v>317</v>
      </c>
      <c r="Z60" s="8" t="s">
        <v>318</v>
      </c>
      <c r="AA60" s="88" t="str">
        <f t="shared" si="15"/>
        <v>selectNodesMainDiskList</v>
      </c>
      <c r="AB60" s="88" t="str">
        <f t="shared" si="16"/>
        <v>NodesMainDiskModel</v>
      </c>
      <c r="AC60" s="8"/>
      <c r="AD60" s="88" t="str">
        <f t="shared" si="10"/>
        <v>List&lt;NodesMainDiskModel&gt; selectNodesMainDiskList(Map&lt;String, Object&gt; param);</v>
      </c>
      <c r="AE60" s="88" t="str">
        <f t="shared" si="17"/>
        <v>select /* web.NodesRepository.selectNodesMainDiskList */
       a.fileSystemPath, readPerSec, writePerSec, busyPercent, 
readChartItem ,writeChartItem, busyChartItem
     , a.fileSystemPath, readPerSec, writePerSec, busyPercent, 
readChartItem ,writeChartItem, busyChartItem
  from node a
 where node_id = #{nodeId}
;</v>
      </c>
      <c r="AF60" s="26" t="s">
        <v>163</v>
      </c>
      <c r="AG60" s="22"/>
    </row>
    <row r="61" spans="2:34" s="3" customFormat="1" ht="24.95" customHeight="1" x14ac:dyDescent="0.3">
      <c r="B61" s="34" t="s">
        <v>0</v>
      </c>
      <c r="C61" s="16" t="s">
        <v>220</v>
      </c>
      <c r="D61" s="19" t="s">
        <v>54</v>
      </c>
      <c r="E61" s="16"/>
      <c r="F61" s="16"/>
      <c r="G61" s="16" t="s">
        <v>284</v>
      </c>
      <c r="H61" s="55"/>
      <c r="I61" s="55" t="s">
        <v>261</v>
      </c>
      <c r="J61" s="55" t="str">
        <f t="shared" si="18"/>
        <v>/rest/nodes/main/network</v>
      </c>
      <c r="K61" s="55" t="str">
        <f t="shared" si="19"/>
        <v>nodesMainNetwork</v>
      </c>
      <c r="L61" s="55" t="str">
        <f t="shared" si="20"/>
        <v>Url.nodes.mainNetwork</v>
      </c>
      <c r="M61" s="27" t="s">
        <v>50</v>
      </c>
      <c r="N61" s="8" t="s">
        <v>139</v>
      </c>
      <c r="O61" s="49" t="str">
        <f t="shared" si="11"/>
        <v>NodesService</v>
      </c>
      <c r="P61" s="51" t="s">
        <v>54</v>
      </c>
      <c r="Q61" s="44" t="s">
        <v>327</v>
      </c>
      <c r="R61" s="44"/>
      <c r="S61" s="88" t="str">
        <f t="shared" si="12"/>
        <v>getNodesMainNetwork</v>
      </c>
      <c r="T61" s="88" t="str">
        <f t="shared" si="13"/>
        <v>NodesMainNetworkModel getNodesMainNetwork(String nodeId);</v>
      </c>
      <c r="U61" s="156" t="str">
        <f t="shared" si="14"/>
        <v>NodesRepository</v>
      </c>
      <c r="V61" s="51" t="s">
        <v>54</v>
      </c>
      <c r="W61" s="44" t="s">
        <v>291</v>
      </c>
      <c r="X61" s="44"/>
      <c r="Y61" s="8" t="s">
        <v>317</v>
      </c>
      <c r="Z61" s="8" t="s">
        <v>318</v>
      </c>
      <c r="AA61" s="88" t="str">
        <f t="shared" si="15"/>
        <v>selectNodesMainNetwork</v>
      </c>
      <c r="AB61" s="88" t="str">
        <f t="shared" si="16"/>
        <v>NodesMainNetworkModel</v>
      </c>
      <c r="AC61" s="8"/>
      <c r="AD61" s="88" t="str">
        <f t="shared" si="10"/>
        <v>NodesMainNetworkModel selectNodesMainNetwork(Map&lt;String, Object&gt; param);</v>
      </c>
      <c r="AE61" s="88" t="str">
        <f t="shared" si="17"/>
        <v>select /* web.NodesRepository.selectNodesMainNetwork */
       a.receivePerSec, transPerSec, receiveChartItem, transChartItem
     , a.receivePerSec, transPerSec, receiveChartItem, transChartItem
  from node a
 where node_id = #{nodeId}
;</v>
      </c>
      <c r="AF61" s="26" t="s">
        <v>174</v>
      </c>
      <c r="AG61" s="22"/>
    </row>
    <row r="62" spans="2:34" s="3" customFormat="1" ht="24.95" customHeight="1" x14ac:dyDescent="0.3">
      <c r="B62" s="34" t="s">
        <v>0</v>
      </c>
      <c r="C62" s="16" t="s">
        <v>220</v>
      </c>
      <c r="D62" s="19" t="s">
        <v>196</v>
      </c>
      <c r="E62" s="16"/>
      <c r="F62" s="16"/>
      <c r="G62" s="16" t="s">
        <v>284</v>
      </c>
      <c r="H62" s="55"/>
      <c r="I62" s="55" t="s">
        <v>262</v>
      </c>
      <c r="J62" s="55" t="str">
        <f t="shared" si="18"/>
        <v>/rest/nodes/main/topProcess10</v>
      </c>
      <c r="K62" s="55" t="str">
        <f t="shared" si="19"/>
        <v>nodesMainTopProcess10</v>
      </c>
      <c r="L62" s="55" t="str">
        <f t="shared" si="20"/>
        <v>Url.nodes.mainTopProcess10</v>
      </c>
      <c r="M62" s="27" t="s">
        <v>50</v>
      </c>
      <c r="N62" s="8" t="s">
        <v>140</v>
      </c>
      <c r="O62" s="49" t="str">
        <f t="shared" si="11"/>
        <v>NodesService</v>
      </c>
      <c r="P62" s="51" t="s">
        <v>196</v>
      </c>
      <c r="Q62" s="44" t="s">
        <v>327</v>
      </c>
      <c r="R62" s="44" t="s">
        <v>367</v>
      </c>
      <c r="S62" s="88" t="str">
        <f t="shared" si="12"/>
        <v>getNodesMainTopProcess10List</v>
      </c>
      <c r="T62" s="88" t="str">
        <f t="shared" si="13"/>
        <v>List&lt;NodesMainTopProcess10Model&gt; getNodesMainTopProcess10List(String nodeId);</v>
      </c>
      <c r="U62" s="156" t="str">
        <f t="shared" si="14"/>
        <v>NodesRepository</v>
      </c>
      <c r="V62" s="51" t="s">
        <v>196</v>
      </c>
      <c r="W62" s="44" t="s">
        <v>291</v>
      </c>
      <c r="X62" s="44" t="s">
        <v>367</v>
      </c>
      <c r="Y62" s="8" t="s">
        <v>317</v>
      </c>
      <c r="Z62" s="8" t="s">
        <v>318</v>
      </c>
      <c r="AA62" s="88" t="str">
        <f t="shared" si="15"/>
        <v>selectNodesMainTopProcess10List</v>
      </c>
      <c r="AB62" s="88" t="str">
        <f t="shared" si="16"/>
        <v>NodesMainTopProcess10Model</v>
      </c>
      <c r="AC62" s="8"/>
      <c r="AD62" s="88" t="str">
        <f t="shared" si="10"/>
        <v>List&lt;NodesMainTopProcess10Model&gt; selectNodesMainTopProcess10List(Map&lt;String, Object&gt; param);</v>
      </c>
      <c r="AE62" s="88" t="str">
        <f t="shared" si="17"/>
        <v>select /* web.NodesRepository.selectNodesMainTopProcess10List */
       a.pid, ppid, userName, cpuPercent, memoryPercent, command
     , a.pid, ppid, userName, cpuPercent, memoryPercent, command
  from node a
 where node_id = #{nodeId}
;</v>
      </c>
      <c r="AF62" s="26" t="s">
        <v>163</v>
      </c>
      <c r="AG62" s="22"/>
      <c r="AH62" s="3" t="s">
        <v>372</v>
      </c>
    </row>
    <row r="63" spans="2:34" s="3" customFormat="1" ht="24.95" customHeight="1" x14ac:dyDescent="0.3">
      <c r="B63" s="34" t="s">
        <v>0</v>
      </c>
      <c r="C63" s="16" t="s">
        <v>220</v>
      </c>
      <c r="D63" s="19" t="s">
        <v>197</v>
      </c>
      <c r="E63" s="16"/>
      <c r="F63" s="16"/>
      <c r="G63" s="16" t="s">
        <v>284</v>
      </c>
      <c r="H63" s="55"/>
      <c r="I63" s="55" t="s">
        <v>263</v>
      </c>
      <c r="J63" s="55" t="str">
        <f t="shared" si="18"/>
        <v>/rest/nodes/main/diskUsage</v>
      </c>
      <c r="K63" s="55" t="str">
        <f t="shared" si="19"/>
        <v>nodesMainDiskUsage</v>
      </c>
      <c r="L63" s="55" t="str">
        <f t="shared" si="20"/>
        <v>Url.nodes.mainDiskUsage</v>
      </c>
      <c r="M63" s="27" t="s">
        <v>50</v>
      </c>
      <c r="N63" s="8" t="s">
        <v>141</v>
      </c>
      <c r="O63" s="49" t="str">
        <f t="shared" si="11"/>
        <v>NodesService</v>
      </c>
      <c r="P63" s="51" t="s">
        <v>197</v>
      </c>
      <c r="Q63" s="44" t="s">
        <v>327</v>
      </c>
      <c r="R63" s="44" t="s">
        <v>367</v>
      </c>
      <c r="S63" s="88" t="str">
        <f t="shared" si="12"/>
        <v>getNodesMainDiskUsageList</v>
      </c>
      <c r="T63" s="88" t="str">
        <f t="shared" si="13"/>
        <v>List&lt;NodesMainDiskUsageModel&gt; getNodesMainDiskUsageList(String nodeId);</v>
      </c>
      <c r="U63" s="156" t="str">
        <f t="shared" si="14"/>
        <v>NodesRepository</v>
      </c>
      <c r="V63" s="51" t="s">
        <v>197</v>
      </c>
      <c r="W63" s="44" t="s">
        <v>291</v>
      </c>
      <c r="X63" s="44" t="s">
        <v>367</v>
      </c>
      <c r="Y63" s="8" t="s">
        <v>317</v>
      </c>
      <c r="Z63" s="8" t="s">
        <v>318</v>
      </c>
      <c r="AA63" s="88" t="str">
        <f t="shared" si="15"/>
        <v>selectNodesMainDiskUsageList</v>
      </c>
      <c r="AB63" s="88" t="str">
        <f t="shared" si="16"/>
        <v>NodesMainDiskUsageModel</v>
      </c>
      <c r="AC63" s="8"/>
      <c r="AD63" s="88" t="str">
        <f t="shared" si="10"/>
        <v>List&lt;NodesMainDiskUsageModel&gt; selectNodesMainDiskUsageList(Map&lt;String, Object&gt; param);</v>
      </c>
      <c r="AE63" s="88" t="str">
        <f t="shared" si="17"/>
        <v>select /* web.NodesRepository.selectNodesMainDiskUsageList */
       a.fileSystemPath, fileSystemType, totalSize, useSize, freeSize, usePercent
     , a.fileSystemPath, fileSystemType, totalSize, useSize, freeSize, usePercent
  from node a
 where node_id = #{nodeId}
;</v>
      </c>
      <c r="AF63" s="26" t="s">
        <v>163</v>
      </c>
      <c r="AG63" s="22"/>
    </row>
    <row r="64" spans="2:34" s="3" customFormat="1" ht="24.95" customHeight="1" x14ac:dyDescent="0.3">
      <c r="B64" s="34" t="s">
        <v>0</v>
      </c>
      <c r="C64" s="16" t="s">
        <v>220</v>
      </c>
      <c r="D64" s="18" t="s">
        <v>264</v>
      </c>
      <c r="E64" s="28" t="s">
        <v>25</v>
      </c>
      <c r="F64" s="16"/>
      <c r="G64" s="16" t="s">
        <v>284</v>
      </c>
      <c r="H64" s="55"/>
      <c r="I64" s="55" t="s">
        <v>266</v>
      </c>
      <c r="J64" s="55" t="str">
        <f t="shared" si="18"/>
        <v>/rest/nodes/main/node/info</v>
      </c>
      <c r="K64" s="55" t="str">
        <f t="shared" si="19"/>
        <v>nodesMainNodeinfo</v>
      </c>
      <c r="L64" s="55" t="str">
        <f t="shared" si="20"/>
        <v>Url.nodes.mainNodeinfo</v>
      </c>
      <c r="M64" s="27" t="s">
        <v>50</v>
      </c>
      <c r="N64" s="8" t="s">
        <v>142</v>
      </c>
      <c r="O64" s="49" t="str">
        <f t="shared" si="11"/>
        <v>NodesService</v>
      </c>
      <c r="P64" s="53" t="s">
        <v>299</v>
      </c>
      <c r="Q64" s="44" t="s">
        <v>327</v>
      </c>
      <c r="R64" s="44"/>
      <c r="S64" s="88" t="str">
        <f t="shared" si="12"/>
        <v>getNodesMainNodeInfo</v>
      </c>
      <c r="T64" s="88" t="str">
        <f t="shared" si="13"/>
        <v>NodesMainNodeInfoModel getNodesMainNodeInfo(String nodeId);</v>
      </c>
      <c r="U64" s="156" t="str">
        <f t="shared" si="14"/>
        <v>NodesRepository</v>
      </c>
      <c r="V64" s="53" t="s">
        <v>299</v>
      </c>
      <c r="W64" s="44" t="s">
        <v>291</v>
      </c>
      <c r="X64" s="44"/>
      <c r="Y64" s="8" t="s">
        <v>317</v>
      </c>
      <c r="Z64" s="8" t="s">
        <v>318</v>
      </c>
      <c r="AA64" s="88" t="str">
        <f t="shared" si="15"/>
        <v>selectNodesMainNodeInfo</v>
      </c>
      <c r="AB64" s="88" t="str">
        <f t="shared" si="16"/>
        <v>NodesMainNodeInfoModel</v>
      </c>
      <c r="AC64" s="8"/>
      <c r="AD64" s="88" t="str">
        <f t="shared" si="10"/>
        <v>NodesMainNodeInfoModel selectNodesMainNodeInfo(Map&lt;String, Object&gt; param);</v>
      </c>
      <c r="AE64" s="88" t="str">
        <f t="shared" si="17"/>
        <v>select /* web.NodesRepository.selectNodesMainNodeInfo */
       a.osHostName, osVersionName, chassisModel, cpuProcessorBrand, memoryInstalledCapacitySize, osIpAddr, chassisServiceTag
     , a.osHostName, osVersionName, chassisModel, cpuProcessorBrand, memoryInstalledCapacitySize, osIpAddr, chassisServiceTag
  from node a
 where node_id = #{nodeId}
;</v>
      </c>
      <c r="AF64" s="26"/>
      <c r="AG64" s="22"/>
    </row>
    <row r="65" spans="2:35" s="3" customFormat="1" ht="24.95" customHeight="1" x14ac:dyDescent="0.3">
      <c r="B65" s="34" t="s">
        <v>0</v>
      </c>
      <c r="C65" s="16" t="s">
        <v>220</v>
      </c>
      <c r="D65" s="18" t="s">
        <v>195</v>
      </c>
      <c r="E65" s="28" t="s">
        <v>25</v>
      </c>
      <c r="F65" s="16"/>
      <c r="G65" s="16" t="s">
        <v>284</v>
      </c>
      <c r="H65" s="55"/>
      <c r="I65" s="55" t="s">
        <v>265</v>
      </c>
      <c r="J65" s="55" t="str">
        <f t="shared" si="18"/>
        <v>/rest/nodes/main/loadAvg/info</v>
      </c>
      <c r="K65" s="55" t="str">
        <f t="shared" si="19"/>
        <v>nodesMainLoadAvginfo</v>
      </c>
      <c r="L65" s="55" t="str">
        <f t="shared" si="20"/>
        <v>Url.nodes.mainLoadAvginfo</v>
      </c>
      <c r="M65" s="27" t="s">
        <v>50</v>
      </c>
      <c r="N65" s="8" t="s">
        <v>135</v>
      </c>
      <c r="O65" s="49" t="str">
        <f t="shared" si="11"/>
        <v>NodesService</v>
      </c>
      <c r="P65" s="53" t="s">
        <v>310</v>
      </c>
      <c r="Q65" s="44" t="s">
        <v>327</v>
      </c>
      <c r="R65" s="44" t="s">
        <v>367</v>
      </c>
      <c r="S65" s="88" t="str">
        <f t="shared" si="12"/>
        <v>getNodesMainLoadAvgInfoList</v>
      </c>
      <c r="T65" s="88" t="str">
        <f t="shared" si="13"/>
        <v>List&lt;NodesMainLoadAvgInfoModel&gt; getNodesMainLoadAvgInfoList(String nodeId);</v>
      </c>
      <c r="U65" s="156" t="str">
        <f t="shared" si="14"/>
        <v>NodesRepository</v>
      </c>
      <c r="V65" s="53" t="s">
        <v>310</v>
      </c>
      <c r="W65" s="44" t="s">
        <v>291</v>
      </c>
      <c r="X65" s="44" t="s">
        <v>367</v>
      </c>
      <c r="Y65" s="8" t="s">
        <v>317</v>
      </c>
      <c r="Z65" s="8" t="s">
        <v>318</v>
      </c>
      <c r="AA65" s="88" t="str">
        <f t="shared" si="15"/>
        <v>selectNodesMainLoadAvgInfoList</v>
      </c>
      <c r="AB65" s="88" t="str">
        <f t="shared" si="16"/>
        <v>NodesMainLoadAvgInfoModel</v>
      </c>
      <c r="AC65" s="8"/>
      <c r="AD65" s="88" t="str">
        <f t="shared" si="10"/>
        <v>List&lt;NodesMainLoadAvgInfoModel&gt; selectNodesMainLoadAvgInfoList(Map&lt;String, Object&gt; param);</v>
      </c>
      <c r="AE65" s="88" t="str">
        <f t="shared" si="17"/>
        <v>select /* web.NodesRepository.selectNodesMainLoadAvgInfoList */
       a.loadAvg1Percent, loadAvg5Percent, loadAvg15Percent
     , a.loadAvg1Percent, loadAvg5Percent, loadAvg15Percent
  from node a
 where node_id = #{nodeId}
;</v>
      </c>
      <c r="AF65" s="26" t="s">
        <v>175</v>
      </c>
      <c r="AG65" s="22" t="s">
        <v>170</v>
      </c>
      <c r="AH65" s="157" t="s">
        <v>370</v>
      </c>
      <c r="AI65" s="3" t="s">
        <v>371</v>
      </c>
    </row>
    <row r="66" spans="2:35" s="3" customFormat="1" ht="24.95" customHeight="1" x14ac:dyDescent="0.3">
      <c r="B66" s="34" t="s">
        <v>0</v>
      </c>
      <c r="C66" s="16" t="s">
        <v>220</v>
      </c>
      <c r="D66" s="18" t="s">
        <v>56</v>
      </c>
      <c r="E66" s="16" t="s">
        <v>152</v>
      </c>
      <c r="F66" s="35" t="s">
        <v>24</v>
      </c>
      <c r="G66" s="16" t="s">
        <v>284</v>
      </c>
      <c r="H66" s="55"/>
      <c r="I66" s="55" t="s">
        <v>267</v>
      </c>
      <c r="J66" s="55" t="str">
        <f t="shared" si="18"/>
        <v>/rest/nodes/main/process/zombie/info</v>
      </c>
      <c r="K66" s="55" t="str">
        <f t="shared" si="19"/>
        <v>nodesMainProcessZombieinfo</v>
      </c>
      <c r="L66" s="55" t="str">
        <f t="shared" si="20"/>
        <v>Url.nodes.mainProcessZombieinfo</v>
      </c>
      <c r="M66" s="27" t="s">
        <v>146</v>
      </c>
      <c r="N66" s="8" t="s">
        <v>147</v>
      </c>
      <c r="O66" s="49" t="str">
        <f t="shared" si="11"/>
        <v>NodesService</v>
      </c>
      <c r="P66" s="53" t="s">
        <v>308</v>
      </c>
      <c r="Q66" s="44" t="s">
        <v>327</v>
      </c>
      <c r="R66" s="44" t="s">
        <v>367</v>
      </c>
      <c r="S66" s="88" t="str">
        <f t="shared" si="12"/>
        <v>getNodesMainProcessZombieInfoList</v>
      </c>
      <c r="T66" s="88" t="str">
        <f t="shared" si="13"/>
        <v>List&lt;NodesMainProcessZombieInfoModel&gt; getNodesMainProcessZombieInfoList(String fromYmd, toYmd, 
rackId, nodeId);</v>
      </c>
      <c r="U66" s="156" t="str">
        <f t="shared" si="14"/>
        <v>NodesRepository</v>
      </c>
      <c r="V66" s="53" t="s">
        <v>308</v>
      </c>
      <c r="W66" s="44" t="s">
        <v>291</v>
      </c>
      <c r="X66" s="44" t="s">
        <v>367</v>
      </c>
      <c r="Y66" s="8" t="s">
        <v>317</v>
      </c>
      <c r="Z66" s="8" t="s">
        <v>318</v>
      </c>
      <c r="AA66" s="88" t="str">
        <f t="shared" si="15"/>
        <v>selectNodesMainProcessZombieInfoList</v>
      </c>
      <c r="AB66" s="88" t="str">
        <f t="shared" si="16"/>
        <v>NodesMainProcessZombieInfoModel</v>
      </c>
      <c r="AC66" s="131" t="str">
        <f>ToCamel($B66,"","") &amp;ToCamel($C66,"","") &amp;ToCamel($V66,"","")&amp;"SearchModel"</f>
        <v>NodesMainProcessZombieInfoSearchModel</v>
      </c>
      <c r="AD66" s="88" t="str">
        <f t="shared" si="10"/>
        <v>List&lt;NodesMainProcessZombieInfoModel&gt; selectNodesMainProcessZombieInfoList(Map&lt;String, Object&gt; param);</v>
      </c>
      <c r="AE66" s="88" t="str">
        <f t="shared" si="17"/>
        <v>select /* web.NodesRepository.selectNodesMainProcessZombieInfoList */
       a.processZombieId, resourceDate, nodeId, userName, pid, ppid, cpuPercent, memoryPercent, command, aliveYn, killYn, killDate
     , a.processZombieId, resourceDate, nodeId, userName, pid, ppid, cpuPercent, memoryPercent, command, aliveYn, killYn, killDate
  from node a
 where node_id = #{nodeId}
;</v>
      </c>
      <c r="AF66" s="26" t="s">
        <v>176</v>
      </c>
      <c r="AG66" s="23" t="s">
        <v>369</v>
      </c>
    </row>
    <row r="67" spans="2:35" s="3" customFormat="1" ht="24.95" customHeight="1" x14ac:dyDescent="0.3">
      <c r="B67" s="34" t="s">
        <v>0</v>
      </c>
      <c r="C67" s="16" t="s">
        <v>220</v>
      </c>
      <c r="D67" s="18" t="s">
        <v>56</v>
      </c>
      <c r="E67" s="16" t="s">
        <v>152</v>
      </c>
      <c r="F67" s="35" t="s">
        <v>153</v>
      </c>
      <c r="G67" s="16" t="s">
        <v>284</v>
      </c>
      <c r="H67" s="55"/>
      <c r="I67" s="55" t="s">
        <v>268</v>
      </c>
      <c r="J67" s="55" t="str">
        <f t="shared" si="18"/>
        <v>/rest/nodes/main/process/zombie/kill</v>
      </c>
      <c r="K67" s="55" t="str">
        <f t="shared" si="19"/>
        <v>nodesMainProcessZombiekill</v>
      </c>
      <c r="L67" s="55" t="str">
        <f t="shared" si="20"/>
        <v>Url.nodes.mainProcessZombiekill</v>
      </c>
      <c r="M67" s="27" t="s">
        <v>166</v>
      </c>
      <c r="N67" s="8" t="s">
        <v>177</v>
      </c>
      <c r="O67" s="49" t="str">
        <f t="shared" si="11"/>
        <v>NodesService</v>
      </c>
      <c r="P67" s="53" t="s">
        <v>309</v>
      </c>
      <c r="Q67" s="44" t="s">
        <v>343</v>
      </c>
      <c r="R67" s="44"/>
      <c r="S67" s="88" t="str">
        <f t="shared" si="12"/>
        <v>saveNodesMainProcessZombieKill</v>
      </c>
      <c r="T67" s="88" t="str">
        <f t="shared" si="13"/>
        <v>NodesMainProcessZombieKillModel saveNodesMainProcessZombieKill(String processZombieId, 
resourceDate,
nodeId);</v>
      </c>
      <c r="U67" s="156" t="str">
        <f t="shared" si="14"/>
        <v>NodesRepository</v>
      </c>
      <c r="V67" s="53" t="s">
        <v>309</v>
      </c>
      <c r="W67" s="44" t="s">
        <v>303</v>
      </c>
      <c r="X67" s="44"/>
      <c r="Y67" s="8" t="s">
        <v>317</v>
      </c>
      <c r="Z67" s="8" t="s">
        <v>318</v>
      </c>
      <c r="AA67" s="88" t="str">
        <f t="shared" si="15"/>
        <v>updateNodesMainProcessZombieKill</v>
      </c>
      <c r="AB67" s="88" t="str">
        <f t="shared" si="16"/>
        <v>NodesMainProcessZombieKillModel</v>
      </c>
      <c r="AC67" s="8"/>
      <c r="AD67" s="88" t="str">
        <f t="shared" si="10"/>
        <v>NodesMainProcessZombieKillModel updateNodesMainProcessZombieKill(Map&lt;String, Object&gt; param);</v>
      </c>
      <c r="AE67" s="88" t="str">
        <f t="shared" si="17"/>
        <v>select /* web.NodesRepository.updateNodesMainProcessZombieKill */
       a.successYn, message
     , a.successYn, message
  from node a
 where node_id = #{nodeId}
;</v>
      </c>
      <c r="AF67" s="26" t="s">
        <v>178</v>
      </c>
      <c r="AG67" s="22"/>
    </row>
    <row r="68" spans="2:35" s="3" customFormat="1" ht="24.95" customHeight="1" x14ac:dyDescent="0.3">
      <c r="B68" s="34" t="s">
        <v>0</v>
      </c>
      <c r="C68" s="16" t="s">
        <v>220</v>
      </c>
      <c r="D68" s="18" t="s">
        <v>42</v>
      </c>
      <c r="E68" s="28" t="s">
        <v>25</v>
      </c>
      <c r="F68" s="16"/>
      <c r="G68" s="16" t="s">
        <v>284</v>
      </c>
      <c r="H68" s="55"/>
      <c r="I68" s="55" t="s">
        <v>374</v>
      </c>
      <c r="J68" s="55" t="str">
        <f t="shared" si="18"/>
        <v>/rest/nodes/main/error/info</v>
      </c>
      <c r="K68" s="55" t="str">
        <f t="shared" si="19"/>
        <v>nodesMainErrorinfo</v>
      </c>
      <c r="L68" s="55" t="str">
        <f t="shared" si="20"/>
        <v>Url.nodes.mainErrorinfo</v>
      </c>
      <c r="M68" s="27" t="s">
        <v>165</v>
      </c>
      <c r="N68" s="8" t="s">
        <v>154</v>
      </c>
      <c r="O68" s="49" t="str">
        <f t="shared" si="11"/>
        <v>NodesService</v>
      </c>
      <c r="P68" s="53" t="s">
        <v>311</v>
      </c>
      <c r="Q68" s="44" t="s">
        <v>327</v>
      </c>
      <c r="R68" s="44" t="s">
        <v>367</v>
      </c>
      <c r="S68" s="88" t="str">
        <f t="shared" si="12"/>
        <v>getNodesMainErrorInfoList</v>
      </c>
      <c r="T68" s="88" t="str">
        <f t="shared" si="13"/>
        <v>List&lt;NodesMainErrorInfoModel&gt; getNodesMainErrorInfoList(String fromYmd, toYmd, 
rackId, nodeId,
 logLevel, message);</v>
      </c>
      <c r="U68" s="156" t="str">
        <f t="shared" si="14"/>
        <v>NodesRepository</v>
      </c>
      <c r="V68" s="53" t="s">
        <v>311</v>
      </c>
      <c r="W68" s="44" t="s">
        <v>291</v>
      </c>
      <c r="X68" s="44" t="s">
        <v>367</v>
      </c>
      <c r="Y68" s="8" t="s">
        <v>317</v>
      </c>
      <c r="Z68" s="8" t="s">
        <v>318</v>
      </c>
      <c r="AA68" s="88" t="str">
        <f t="shared" si="15"/>
        <v>selectNodesMainErrorInfoList</v>
      </c>
      <c r="AB68" s="88" t="str">
        <f t="shared" si="16"/>
        <v>NodesMainErrorInfoModel</v>
      </c>
      <c r="AC68" s="131" t="str">
        <f>ToCamel($B68,"","") &amp;ToCamel($C68,"","") &amp;ToCamel($V68,"","")&amp;"SearchModel"</f>
        <v>NodesMainErrorInfoSearchModel</v>
      </c>
      <c r="AD68" s="88" t="str">
        <f t="shared" si="10"/>
        <v>List&lt;NodesMainErrorInfoModel&gt; selectNodesMainErrorInfoList(Map&lt;String, Object&gt; param);</v>
      </c>
      <c r="AE68" s="88" t="str">
        <f t="shared" si="17"/>
        <v>select /* web.NodesRepository.selectNodesMainErrorInfoList */
       a.no, logId, logDate, logLevel, command, message
     , a.no, logId, logDate, logLevel, command, message
  from node a
 where node_id = #{nodeId}
;</v>
      </c>
      <c r="AF68" s="26" t="s">
        <v>176</v>
      </c>
      <c r="AG68" s="22"/>
    </row>
    <row r="69" spans="2:35" s="3" customFormat="1" ht="24.95" customHeight="1" x14ac:dyDescent="0.3">
      <c r="B69" s="34" t="s">
        <v>0</v>
      </c>
      <c r="C69" s="16" t="s">
        <v>220</v>
      </c>
      <c r="D69" s="18" t="s">
        <v>197</v>
      </c>
      <c r="E69" s="28" t="s">
        <v>25</v>
      </c>
      <c r="F69" s="16"/>
      <c r="G69" s="16" t="s">
        <v>284</v>
      </c>
      <c r="H69" s="55"/>
      <c r="I69" s="55" t="s">
        <v>269</v>
      </c>
      <c r="J69" s="55" t="str">
        <f t="shared" si="18"/>
        <v>/rest/nodes/main/diskUsage/info</v>
      </c>
      <c r="K69" s="55" t="str">
        <f t="shared" si="19"/>
        <v>nodesMainDiskUsageinfo</v>
      </c>
      <c r="L69" s="55" t="str">
        <f t="shared" si="20"/>
        <v>Url.nodes.mainDiskUsageinfo</v>
      </c>
      <c r="M69" s="27" t="s">
        <v>155</v>
      </c>
      <c r="N69" s="8" t="s">
        <v>156</v>
      </c>
      <c r="O69" s="49" t="str">
        <f t="shared" si="11"/>
        <v>NodesService</v>
      </c>
      <c r="P69" s="53" t="s">
        <v>312</v>
      </c>
      <c r="Q69" s="44" t="s">
        <v>327</v>
      </c>
      <c r="R69" s="44" t="s">
        <v>367</v>
      </c>
      <c r="S69" s="88" t="str">
        <f t="shared" si="12"/>
        <v>getNodesMainDiskUsageInfoList</v>
      </c>
      <c r="T69" s="88" t="str">
        <f t="shared" si="13"/>
        <v>List&lt;NodesMainDiskUsageInfoModel&gt; getNodesMainDiskUsageInfoList(String fromYmd, toYmd, nodeId);</v>
      </c>
      <c r="U69" s="156" t="str">
        <f t="shared" si="14"/>
        <v>NodesRepository</v>
      </c>
      <c r="V69" s="53" t="s">
        <v>312</v>
      </c>
      <c r="W69" s="44" t="s">
        <v>291</v>
      </c>
      <c r="X69" s="44" t="s">
        <v>367</v>
      </c>
      <c r="Y69" s="8" t="s">
        <v>317</v>
      </c>
      <c r="Z69" s="8" t="s">
        <v>318</v>
      </c>
      <c r="AA69" s="88" t="str">
        <f t="shared" si="15"/>
        <v>selectNodesMainDiskUsageInfoList</v>
      </c>
      <c r="AB69" s="88" t="str">
        <f t="shared" si="16"/>
        <v>NodesMainDiskUsageInfoModel</v>
      </c>
      <c r="AC69" s="8"/>
      <c r="AD69" s="88" t="str">
        <f t="shared" si="10"/>
        <v>List&lt;NodesMainDiskUsageInfoModel&gt; selectNodesMainDiskUsageInfoList(Map&lt;String, Object&gt; param);</v>
      </c>
      <c r="AE69" s="88" t="str">
        <f t="shared" si="17"/>
        <v>select /* web.NodesRepository.selectNodesMainDiskUsageInfoList */
       a.fileSystemPath, usePercent
     , a.fileSystemPath, usePercent
  from node a
 where node_id = #{nodeId}
;</v>
      </c>
      <c r="AF69" s="26" t="s">
        <v>175</v>
      </c>
      <c r="AG69" s="22"/>
    </row>
    <row r="70" spans="2:35" s="3" customFormat="1" x14ac:dyDescent="0.3">
      <c r="B70" s="16"/>
      <c r="C70" s="16"/>
      <c r="D70" s="21"/>
      <c r="E70" s="16"/>
      <c r="F70" s="2"/>
      <c r="G70" s="2"/>
      <c r="H70" s="67"/>
      <c r="I70" s="67"/>
      <c r="J70" s="67"/>
      <c r="K70" s="67"/>
      <c r="L70" s="67"/>
      <c r="M70" s="68"/>
      <c r="N70" s="8"/>
      <c r="O70" s="44"/>
      <c r="P70" s="44"/>
      <c r="Q70" s="44"/>
      <c r="R70" s="44"/>
      <c r="S70" s="8"/>
      <c r="T70" s="8"/>
      <c r="U70" s="8"/>
      <c r="V70" s="44"/>
      <c r="W70" s="44"/>
      <c r="X70" s="44"/>
      <c r="Y70" s="8"/>
      <c r="Z70" s="8"/>
      <c r="AA70" s="8"/>
      <c r="AB70" s="8"/>
      <c r="AC70" s="8"/>
      <c r="AD70" s="8"/>
      <c r="AE70" s="8"/>
      <c r="AF70" s="67"/>
    </row>
    <row r="71" spans="2:35" s="3" customFormat="1" x14ac:dyDescent="0.3">
      <c r="B71" s="16"/>
      <c r="C71" s="16"/>
      <c r="D71" s="21"/>
      <c r="E71" s="16"/>
      <c r="F71" s="2"/>
      <c r="G71" s="2"/>
      <c r="H71" s="67"/>
      <c r="I71" s="67"/>
      <c r="J71" s="67"/>
      <c r="K71" s="67"/>
      <c r="L71" s="67"/>
      <c r="M71" s="68"/>
      <c r="N71" s="8"/>
      <c r="O71" s="44"/>
      <c r="P71" s="44"/>
      <c r="Q71" s="44"/>
      <c r="R71" s="44"/>
      <c r="S71" s="8"/>
      <c r="T71" s="8"/>
      <c r="U71" s="8"/>
      <c r="V71" s="44"/>
      <c r="W71" s="44"/>
      <c r="X71" s="44"/>
      <c r="Y71" s="8"/>
      <c r="Z71" s="8"/>
      <c r="AA71" s="8"/>
      <c r="AB71" s="8"/>
      <c r="AC71" s="8"/>
      <c r="AD71" s="8"/>
      <c r="AE71" s="8"/>
      <c r="AF71" s="67"/>
    </row>
    <row r="72" spans="2:35" s="3" customFormat="1" x14ac:dyDescent="0.3">
      <c r="B72" s="16"/>
      <c r="C72" s="16"/>
      <c r="D72" s="21"/>
      <c r="E72" s="16"/>
      <c r="F72" s="2"/>
      <c r="G72" s="2"/>
      <c r="H72" s="67"/>
      <c r="I72" s="67"/>
      <c r="J72" s="67"/>
      <c r="K72" s="67"/>
      <c r="L72" s="67"/>
      <c r="M72" s="68"/>
      <c r="N72" s="8"/>
      <c r="O72" s="44"/>
      <c r="P72" s="44"/>
      <c r="Q72" s="44"/>
      <c r="R72" s="44"/>
      <c r="S72" s="8"/>
      <c r="T72" s="8"/>
      <c r="U72" s="8"/>
      <c r="V72" s="44"/>
      <c r="W72" s="44"/>
      <c r="X72" s="44"/>
      <c r="Y72" s="8"/>
      <c r="Z72" s="8"/>
      <c r="AA72" s="8"/>
      <c r="AB72" s="8"/>
      <c r="AC72" s="8"/>
      <c r="AD72" s="8"/>
      <c r="AE72" s="8"/>
      <c r="AF72" s="67"/>
    </row>
    <row r="74" spans="2:35" s="6" customFormat="1" x14ac:dyDescent="0.3">
      <c r="B74" s="14" t="s">
        <v>148</v>
      </c>
      <c r="C74" s="5" t="s">
        <v>149</v>
      </c>
      <c r="D74" s="5" t="s">
        <v>150</v>
      </c>
      <c r="E74" s="5"/>
      <c r="F74" s="5"/>
      <c r="G74" s="5"/>
      <c r="H74" s="15"/>
      <c r="I74" s="15"/>
      <c r="J74" s="15"/>
      <c r="K74" s="15"/>
      <c r="L74" s="15"/>
      <c r="M74" s="5"/>
      <c r="N74" s="9"/>
      <c r="O74" s="48"/>
      <c r="P74" s="48"/>
      <c r="Q74" s="48"/>
      <c r="R74" s="48"/>
      <c r="S74" s="9"/>
      <c r="T74" s="9"/>
      <c r="U74" s="9"/>
      <c r="V74" s="48"/>
      <c r="W74" s="48"/>
      <c r="X74" s="48"/>
      <c r="Y74" s="9"/>
      <c r="Z74" s="9"/>
      <c r="AA74" s="9"/>
      <c r="AB74" s="9"/>
      <c r="AC74" s="9"/>
      <c r="AD74" s="9"/>
      <c r="AE74" s="9"/>
    </row>
  </sheetData>
  <mergeCells count="123">
    <mergeCell ref="M45:M46"/>
    <mergeCell ref="N45:N46"/>
    <mergeCell ref="I20:I21"/>
    <mergeCell ref="J20:J21"/>
    <mergeCell ref="K20:K21"/>
    <mergeCell ref="L20:L21"/>
    <mergeCell ref="M20:M21"/>
    <mergeCell ref="I30:I32"/>
    <mergeCell ref="J30:J32"/>
    <mergeCell ref="K30:K32"/>
    <mergeCell ref="L30:L32"/>
    <mergeCell ref="L10:L15"/>
    <mergeCell ref="L16:L18"/>
    <mergeCell ref="K16:K18"/>
    <mergeCell ref="J16:J18"/>
    <mergeCell ref="I16:I18"/>
    <mergeCell ref="I10:I15"/>
    <mergeCell ref="J10:J15"/>
    <mergeCell ref="K10:K15"/>
    <mergeCell ref="E16:E18"/>
    <mergeCell ref="E10:E15"/>
    <mergeCell ref="H10:H15"/>
    <mergeCell ref="H16:H18"/>
    <mergeCell ref="F10:F15"/>
    <mergeCell ref="F16:F18"/>
    <mergeCell ref="K53:K57"/>
    <mergeCell ref="L53:L57"/>
    <mergeCell ref="I38:I43"/>
    <mergeCell ref="J38:J43"/>
    <mergeCell ref="K38:K43"/>
    <mergeCell ref="L38:L43"/>
    <mergeCell ref="I45:I46"/>
    <mergeCell ref="J45:J46"/>
    <mergeCell ref="K45:K46"/>
    <mergeCell ref="L45:L46"/>
    <mergeCell ref="B38:B43"/>
    <mergeCell ref="C38:C43"/>
    <mergeCell ref="D38:D43"/>
    <mergeCell ref="B16:B18"/>
    <mergeCell ref="C16:C18"/>
    <mergeCell ref="D16:D18"/>
    <mergeCell ref="D20:D21"/>
    <mergeCell ref="I53:I57"/>
    <mergeCell ref="J53:J57"/>
    <mergeCell ref="E53:E57"/>
    <mergeCell ref="F53:F57"/>
    <mergeCell ref="H53:H57"/>
    <mergeCell ref="E38:E43"/>
    <mergeCell ref="F38:F43"/>
    <mergeCell ref="H38:H43"/>
    <mergeCell ref="E20:E21"/>
    <mergeCell ref="H20:H21"/>
    <mergeCell ref="F20:F21"/>
    <mergeCell ref="M10:M15"/>
    <mergeCell ref="M16:M18"/>
    <mergeCell ref="M38:M43"/>
    <mergeCell ref="AD12:AD15"/>
    <mergeCell ref="AE12:AE15"/>
    <mergeCell ref="AB38:AB43"/>
    <mergeCell ref="P38:P43"/>
    <mergeCell ref="S38:S43"/>
    <mergeCell ref="O20:O21"/>
    <mergeCell ref="O38:O43"/>
    <mergeCell ref="Q38:Q43"/>
    <mergeCell ref="R38:R43"/>
    <mergeCell ref="AG11:AG15"/>
    <mergeCell ref="U38:U43"/>
    <mergeCell ref="V38:V43"/>
    <mergeCell ref="W38:W43"/>
    <mergeCell ref="X38:X43"/>
    <mergeCell ref="AE38:AE43"/>
    <mergeCell ref="AA38:AA43"/>
    <mergeCell ref="Z38:Z43"/>
    <mergeCell ref="Y38:Y43"/>
    <mergeCell ref="AB12:AB15"/>
    <mergeCell ref="U1:AA1"/>
    <mergeCell ref="R12:R15"/>
    <mergeCell ref="X12:X15"/>
    <mergeCell ref="S12:S15"/>
    <mergeCell ref="Z12:Z15"/>
    <mergeCell ref="AA12:AA15"/>
    <mergeCell ref="W12:W15"/>
    <mergeCell ref="Y12:Y15"/>
    <mergeCell ref="O1:T1"/>
    <mergeCell ref="P12:P15"/>
    <mergeCell ref="O12:O15"/>
    <mergeCell ref="Q12:Q15"/>
    <mergeCell ref="U12:U15"/>
    <mergeCell ref="V12:V15"/>
    <mergeCell ref="T12:T15"/>
    <mergeCell ref="O55:O56"/>
    <mergeCell ref="Q55:Q56"/>
    <mergeCell ref="R55:R56"/>
    <mergeCell ref="X55:X56"/>
    <mergeCell ref="AC55:AC56"/>
    <mergeCell ref="W55:W56"/>
    <mergeCell ref="Y55:Y56"/>
    <mergeCell ref="Z55:Z56"/>
    <mergeCell ref="AA55:AA56"/>
    <mergeCell ref="AB55:AB56"/>
    <mergeCell ref="V55:V56"/>
    <mergeCell ref="S55:S56"/>
    <mergeCell ref="T55:T56"/>
    <mergeCell ref="U55:U56"/>
    <mergeCell ref="P55:P56"/>
    <mergeCell ref="AD53:AD54"/>
    <mergeCell ref="AE53:AE54"/>
    <mergeCell ref="AD55:AD56"/>
    <mergeCell ref="AE55:AE56"/>
    <mergeCell ref="P53:P54"/>
    <mergeCell ref="V53:V54"/>
    <mergeCell ref="W53:W54"/>
    <mergeCell ref="AA53:AA54"/>
    <mergeCell ref="AB53:AB54"/>
    <mergeCell ref="U53:U54"/>
    <mergeCell ref="T53:T54"/>
    <mergeCell ref="S53:S54"/>
    <mergeCell ref="Q53:Q54"/>
    <mergeCell ref="R53:R54"/>
    <mergeCell ref="X53:X54"/>
    <mergeCell ref="Y53:Y54"/>
    <mergeCell ref="Z53:Z54"/>
    <mergeCell ref="AC53:AC54"/>
  </mergeCells>
  <phoneticPr fontId="1" type="noConversion"/>
  <hyperlinks>
    <hyperlink ref="AF26" r:id="rId1" xr:uid="{0F32638B-0D33-4B71-B16D-FA5CFAACEE50}"/>
  </hyperlinks>
  <pageMargins left="0.7" right="0.7" top="0.75" bottom="0.75" header="0.3" footer="0.3"/>
  <pageSetup paperSize="9" orientation="portrait" horizontalDpi="300" verticalDpi="300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658A1C-B277-465F-8E7C-A8654E5E9074}">
  <sheetPr codeName="Sheet2"/>
  <dimension ref="A1:B40"/>
  <sheetViews>
    <sheetView workbookViewId="0">
      <selection activeCell="B30" sqref="B30"/>
    </sheetView>
  </sheetViews>
  <sheetFormatPr defaultRowHeight="16.5" x14ac:dyDescent="0.3"/>
  <cols>
    <col min="1" max="2" width="34.5" bestFit="1" customWidth="1"/>
  </cols>
  <sheetData>
    <row r="1" spans="1:2" x14ac:dyDescent="0.3">
      <c r="A1" t="s">
        <v>49</v>
      </c>
      <c r="B1" t="s">
        <v>57</v>
      </c>
    </row>
    <row r="2" spans="1:2" x14ac:dyDescent="0.3">
      <c r="A2" t="s">
        <v>29</v>
      </c>
      <c r="B2" t="s">
        <v>58</v>
      </c>
    </row>
    <row r="3" spans="1:2" x14ac:dyDescent="0.3">
      <c r="A3" t="s">
        <v>97</v>
      </c>
      <c r="B3" t="s">
        <v>59</v>
      </c>
    </row>
    <row r="4" spans="1:2" x14ac:dyDescent="0.3">
      <c r="A4" t="s">
        <v>98</v>
      </c>
      <c r="B4" t="s">
        <v>60</v>
      </c>
    </row>
    <row r="5" spans="1:2" x14ac:dyDescent="0.3">
      <c r="A5" t="s">
        <v>99</v>
      </c>
      <c r="B5" t="s">
        <v>61</v>
      </c>
    </row>
    <row r="6" spans="1:2" x14ac:dyDescent="0.3">
      <c r="A6" t="s">
        <v>100</v>
      </c>
      <c r="B6" t="s">
        <v>62</v>
      </c>
    </row>
    <row r="7" spans="1:2" x14ac:dyDescent="0.3">
      <c r="A7" t="s">
        <v>101</v>
      </c>
      <c r="B7" t="s">
        <v>63</v>
      </c>
    </row>
    <row r="8" spans="1:2" x14ac:dyDescent="0.3">
      <c r="A8" t="s">
        <v>102</v>
      </c>
      <c r="B8" t="s">
        <v>64</v>
      </c>
    </row>
    <row r="9" spans="1:2" x14ac:dyDescent="0.3">
      <c r="A9" t="s">
        <v>103</v>
      </c>
      <c r="B9" t="s">
        <v>65</v>
      </c>
    </row>
    <row r="10" spans="1:2" x14ac:dyDescent="0.3">
      <c r="A10" t="s">
        <v>104</v>
      </c>
      <c r="B10" t="s">
        <v>66</v>
      </c>
    </row>
    <row r="11" spans="1:2" x14ac:dyDescent="0.3">
      <c r="A11" t="s">
        <v>105</v>
      </c>
      <c r="B11" t="s">
        <v>67</v>
      </c>
    </row>
    <row r="12" spans="1:2" x14ac:dyDescent="0.3">
      <c r="A12" t="s">
        <v>106</v>
      </c>
      <c r="B12" t="s">
        <v>68</v>
      </c>
    </row>
    <row r="13" spans="1:2" x14ac:dyDescent="0.3">
      <c r="A13" t="s">
        <v>107</v>
      </c>
      <c r="B13" t="s">
        <v>69</v>
      </c>
    </row>
    <row r="14" spans="1:2" x14ac:dyDescent="0.3">
      <c r="A14" t="s">
        <v>108</v>
      </c>
      <c r="B14" t="s">
        <v>70</v>
      </c>
    </row>
    <row r="15" spans="1:2" x14ac:dyDescent="0.3">
      <c r="A15" t="s">
        <v>109</v>
      </c>
      <c r="B15" t="s">
        <v>71</v>
      </c>
    </row>
    <row r="16" spans="1:2" x14ac:dyDescent="0.3">
      <c r="A16" t="s">
        <v>110</v>
      </c>
      <c r="B16" t="s">
        <v>72</v>
      </c>
    </row>
    <row r="17" spans="1:2" x14ac:dyDescent="0.3">
      <c r="A17" t="s">
        <v>111</v>
      </c>
      <c r="B17" t="s">
        <v>73</v>
      </c>
    </row>
    <row r="18" spans="1:2" x14ac:dyDescent="0.3">
      <c r="A18" t="s">
        <v>112</v>
      </c>
      <c r="B18" t="s">
        <v>74</v>
      </c>
    </row>
    <row r="19" spans="1:2" x14ac:dyDescent="0.3">
      <c r="A19" t="s">
        <v>113</v>
      </c>
      <c r="B19" t="s">
        <v>75</v>
      </c>
    </row>
    <row r="20" spans="1:2" x14ac:dyDescent="0.3">
      <c r="A20" t="s">
        <v>114</v>
      </c>
      <c r="B20" t="s">
        <v>76</v>
      </c>
    </row>
    <row r="21" spans="1:2" x14ac:dyDescent="0.3">
      <c r="A21" t="s">
        <v>115</v>
      </c>
      <c r="B21" t="s">
        <v>77</v>
      </c>
    </row>
    <row r="22" spans="1:2" x14ac:dyDescent="0.3">
      <c r="A22" t="s">
        <v>116</v>
      </c>
      <c r="B22" t="s">
        <v>78</v>
      </c>
    </row>
    <row r="23" spans="1:2" x14ac:dyDescent="0.3">
      <c r="A23" t="s">
        <v>117</v>
      </c>
      <c r="B23" t="s">
        <v>79</v>
      </c>
    </row>
    <row r="24" spans="1:2" x14ac:dyDescent="0.3">
      <c r="A24" t="s">
        <v>80</v>
      </c>
      <c r="B24" t="s">
        <v>80</v>
      </c>
    </row>
    <row r="25" spans="1:2" x14ac:dyDescent="0.3">
      <c r="A25" t="s">
        <v>118</v>
      </c>
      <c r="B25" t="s">
        <v>81</v>
      </c>
    </row>
    <row r="26" spans="1:2" x14ac:dyDescent="0.3">
      <c r="A26" t="s">
        <v>119</v>
      </c>
      <c r="B26" t="s">
        <v>82</v>
      </c>
    </row>
    <row r="27" spans="1:2" x14ac:dyDescent="0.3">
      <c r="A27" t="s">
        <v>120</v>
      </c>
      <c r="B27" t="s">
        <v>83</v>
      </c>
    </row>
    <row r="28" spans="1:2" x14ac:dyDescent="0.3">
      <c r="A28" t="s">
        <v>121</v>
      </c>
      <c r="B28" t="s">
        <v>84</v>
      </c>
    </row>
    <row r="29" spans="1:2" x14ac:dyDescent="0.3">
      <c r="A29" t="s">
        <v>122</v>
      </c>
      <c r="B29" t="s">
        <v>85</v>
      </c>
    </row>
    <row r="30" spans="1:2" x14ac:dyDescent="0.3">
      <c r="A30" t="s">
        <v>123</v>
      </c>
      <c r="B30" t="s">
        <v>86</v>
      </c>
    </row>
    <row r="31" spans="1:2" x14ac:dyDescent="0.3">
      <c r="A31" t="s">
        <v>124</v>
      </c>
      <c r="B31" t="s">
        <v>87</v>
      </c>
    </row>
    <row r="32" spans="1:2" x14ac:dyDescent="0.3">
      <c r="A32" t="s">
        <v>125</v>
      </c>
      <c r="B32" t="s">
        <v>88</v>
      </c>
    </row>
    <row r="33" spans="1:2" x14ac:dyDescent="0.3">
      <c r="A33" t="s">
        <v>126</v>
      </c>
      <c r="B33" t="s">
        <v>89</v>
      </c>
    </row>
    <row r="34" spans="1:2" x14ac:dyDescent="0.3">
      <c r="A34" t="s">
        <v>127</v>
      </c>
      <c r="B34" t="s">
        <v>90</v>
      </c>
    </row>
    <row r="35" spans="1:2" x14ac:dyDescent="0.3">
      <c r="A35" t="s">
        <v>128</v>
      </c>
      <c r="B35" t="s">
        <v>91</v>
      </c>
    </row>
    <row r="36" spans="1:2" x14ac:dyDescent="0.3">
      <c r="A36" t="s">
        <v>129</v>
      </c>
      <c r="B36" t="s">
        <v>92</v>
      </c>
    </row>
    <row r="37" spans="1:2" x14ac:dyDescent="0.3">
      <c r="A37" t="s">
        <v>130</v>
      </c>
      <c r="B37" t="s">
        <v>93</v>
      </c>
    </row>
    <row r="38" spans="1:2" x14ac:dyDescent="0.3">
      <c r="A38" t="s">
        <v>131</v>
      </c>
      <c r="B38" t="s">
        <v>94</v>
      </c>
    </row>
    <row r="39" spans="1:2" x14ac:dyDescent="0.3">
      <c r="A39" t="s">
        <v>132</v>
      </c>
      <c r="B39" t="s">
        <v>95</v>
      </c>
    </row>
    <row r="40" spans="1:2" x14ac:dyDescent="0.3">
      <c r="A40" t="s">
        <v>133</v>
      </c>
      <c r="B40" t="s">
        <v>96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0A6C31-0DD8-444E-822C-24A21F029D71}">
  <sheetPr codeName="Sheet4"/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E55C7E-6F4C-4125-9FC6-0E72DB6286AB}">
  <dimension ref="A1:B53"/>
  <sheetViews>
    <sheetView topLeftCell="A28" workbookViewId="0">
      <selection activeCell="B48" sqref="B48:B53"/>
    </sheetView>
  </sheetViews>
  <sheetFormatPr defaultRowHeight="16.5" x14ac:dyDescent="0.3"/>
  <cols>
    <col min="2" max="2" width="27.875" bestFit="1" customWidth="1"/>
  </cols>
  <sheetData>
    <row r="1" spans="1:2" x14ac:dyDescent="0.3">
      <c r="A1" t="s">
        <v>59</v>
      </c>
      <c r="B1" t="str">
        <f>ToCamelLower(A1,"","") &amp;";"</f>
        <v>nodeName;</v>
      </c>
    </row>
    <row r="2" spans="1:2" x14ac:dyDescent="0.3">
      <c r="A2" t="s">
        <v>61</v>
      </c>
      <c r="B2" t="str">
        <f t="shared" ref="B2:B5" si="0">ToCamelLower(A2,"","") &amp;";"</f>
        <v>osHostName;</v>
      </c>
    </row>
    <row r="3" spans="1:2" x14ac:dyDescent="0.3">
      <c r="A3" t="s">
        <v>72</v>
      </c>
      <c r="B3" t="str">
        <f t="shared" si="0"/>
        <v>cpuTotalCount;</v>
      </c>
    </row>
    <row r="4" spans="1:2" x14ac:dyDescent="0.3">
      <c r="A4" t="s">
        <v>73</v>
      </c>
      <c r="B4" t="str">
        <f t="shared" si="0"/>
        <v>cpuCoreTotalCount;</v>
      </c>
    </row>
    <row r="5" spans="1:2" x14ac:dyDescent="0.3">
      <c r="A5" t="s">
        <v>70</v>
      </c>
      <c r="B5" t="str">
        <f t="shared" si="0"/>
        <v>memoryInstalledCapacitySize;</v>
      </c>
    </row>
    <row r="7" spans="1:2" x14ac:dyDescent="0.3">
      <c r="A7" t="s">
        <v>58</v>
      </c>
      <c r="B7" t="str">
        <f t="shared" ref="B7:B13" si="1">ToCamelLower(A7,"","") &amp;";"</f>
        <v>rackId;</v>
      </c>
    </row>
    <row r="8" spans="1:2" x14ac:dyDescent="0.3">
      <c r="A8" t="s">
        <v>57</v>
      </c>
      <c r="B8" t="str">
        <f t="shared" si="1"/>
        <v>nodeId;</v>
      </c>
    </row>
    <row r="9" spans="1:2" x14ac:dyDescent="0.3">
      <c r="A9" t="s">
        <v>59</v>
      </c>
      <c r="B9" t="str">
        <f t="shared" si="1"/>
        <v>nodeName;</v>
      </c>
    </row>
    <row r="10" spans="1:2" x14ac:dyDescent="0.3">
      <c r="A10" t="s">
        <v>333</v>
      </c>
      <c r="B10" t="str">
        <f t="shared" si="1"/>
        <v>usagePercent;</v>
      </c>
    </row>
    <row r="11" spans="1:2" x14ac:dyDescent="0.3">
      <c r="A11" t="s">
        <v>332</v>
      </c>
      <c r="B11" t="str">
        <f t="shared" si="1"/>
        <v>memCalcUsedPercent;</v>
      </c>
    </row>
    <row r="12" spans="1:2" x14ac:dyDescent="0.3">
      <c r="A12" t="s">
        <v>334</v>
      </c>
      <c r="B12" t="str">
        <f t="shared" si="1"/>
        <v>totalSize;</v>
      </c>
    </row>
    <row r="13" spans="1:2" x14ac:dyDescent="0.3">
      <c r="A13" t="s">
        <v>335</v>
      </c>
      <c r="B13" t="str">
        <f t="shared" si="1"/>
        <v>useSize;</v>
      </c>
    </row>
    <row r="16" spans="1:2" x14ac:dyDescent="0.3">
      <c r="A16" t="s">
        <v>58</v>
      </c>
      <c r="B16" t="str">
        <f t="shared" ref="B16:B45" si="2">ToCamelLower(A16,"","") &amp;";"</f>
        <v>rackId;</v>
      </c>
    </row>
    <row r="17" spans="1:2" x14ac:dyDescent="0.3">
      <c r="A17" t="s">
        <v>57</v>
      </c>
      <c r="B17" t="str">
        <f t="shared" si="2"/>
        <v>nodeId;</v>
      </c>
    </row>
    <row r="18" spans="1:2" x14ac:dyDescent="0.3">
      <c r="A18" t="s">
        <v>344</v>
      </c>
      <c r="B18" t="str">
        <f t="shared" si="2"/>
        <v>deviceName;</v>
      </c>
    </row>
    <row r="19" spans="1:2" x14ac:dyDescent="0.3">
      <c r="A19" t="s">
        <v>345</v>
      </c>
      <c r="B19" t="str">
        <f t="shared" si="2"/>
        <v>readPerSec;</v>
      </c>
    </row>
    <row r="20" spans="1:2" x14ac:dyDescent="0.3">
      <c r="A20" t="s">
        <v>346</v>
      </c>
      <c r="B20" t="str">
        <f t="shared" si="2"/>
        <v>writePerSec;</v>
      </c>
    </row>
    <row r="21" spans="1:2" x14ac:dyDescent="0.3">
      <c r="A21" t="s">
        <v>347</v>
      </c>
      <c r="B21" t="str">
        <f t="shared" si="2"/>
        <v>utilPercent;</v>
      </c>
    </row>
    <row r="23" spans="1:2" x14ac:dyDescent="0.3">
      <c r="A23" t="s">
        <v>58</v>
      </c>
      <c r="B23" t="str">
        <f t="shared" si="2"/>
        <v>rackId;</v>
      </c>
    </row>
    <row r="24" spans="1:2" x14ac:dyDescent="0.3">
      <c r="A24" t="s">
        <v>57</v>
      </c>
      <c r="B24" t="str">
        <f t="shared" si="2"/>
        <v>nodeId;</v>
      </c>
    </row>
    <row r="25" spans="1:2" x14ac:dyDescent="0.3">
      <c r="A25" t="s">
        <v>348</v>
      </c>
      <c r="B25" t="str">
        <f t="shared" si="2"/>
        <v>interfaceName;</v>
      </c>
    </row>
    <row r="26" spans="1:2" x14ac:dyDescent="0.3">
      <c r="A26" t="s">
        <v>349</v>
      </c>
      <c r="B26" t="str">
        <f t="shared" si="2"/>
        <v>receivePacketPerSec;</v>
      </c>
    </row>
    <row r="27" spans="1:2" x14ac:dyDescent="0.3">
      <c r="A27" t="s">
        <v>350</v>
      </c>
      <c r="B27" t="str">
        <f t="shared" si="2"/>
        <v>transPacketPerSec;</v>
      </c>
    </row>
    <row r="28" spans="1:2" x14ac:dyDescent="0.3">
      <c r="A28" t="s">
        <v>351</v>
      </c>
      <c r="B28" t="str">
        <f t="shared" si="2"/>
        <v>errorCount;</v>
      </c>
    </row>
    <row r="30" spans="1:2" x14ac:dyDescent="0.3">
      <c r="A30" t="s">
        <v>57</v>
      </c>
      <c r="B30" t="str">
        <f t="shared" si="2"/>
        <v>nodeId;</v>
      </c>
    </row>
    <row r="31" spans="1:2" x14ac:dyDescent="0.3">
      <c r="A31" t="s">
        <v>353</v>
      </c>
      <c r="B31" t="str">
        <f t="shared" si="2"/>
        <v>logDate;</v>
      </c>
    </row>
    <row r="32" spans="1:2" x14ac:dyDescent="0.3">
      <c r="A32" t="s">
        <v>59</v>
      </c>
      <c r="B32" t="str">
        <f t="shared" si="2"/>
        <v>nodeName;</v>
      </c>
    </row>
    <row r="33" spans="1:2" x14ac:dyDescent="0.3">
      <c r="A33" t="s">
        <v>322</v>
      </c>
      <c r="B33" t="str">
        <f t="shared" si="2"/>
        <v>logLevel;</v>
      </c>
    </row>
    <row r="34" spans="1:2" x14ac:dyDescent="0.3">
      <c r="A34" t="s">
        <v>354</v>
      </c>
      <c r="B34" t="str">
        <f t="shared" si="2"/>
        <v>command;</v>
      </c>
    </row>
    <row r="35" spans="1:2" x14ac:dyDescent="0.3">
      <c r="A35" t="s">
        <v>355</v>
      </c>
      <c r="B35" t="str">
        <f t="shared" si="2"/>
        <v>message;</v>
      </c>
    </row>
    <row r="36" spans="1:2" x14ac:dyDescent="0.3">
      <c r="A36" t="s">
        <v>356</v>
      </c>
      <c r="B36" t="str">
        <f t="shared" si="2"/>
        <v>rowid;</v>
      </c>
    </row>
    <row r="38" spans="1:2" x14ac:dyDescent="0.3">
      <c r="A38" t="s">
        <v>57</v>
      </c>
      <c r="B38" t="str">
        <f t="shared" si="2"/>
        <v>nodeId;</v>
      </c>
    </row>
    <row r="39" spans="1:2" x14ac:dyDescent="0.3">
      <c r="A39" t="s">
        <v>357</v>
      </c>
      <c r="B39" t="str">
        <f t="shared" si="2"/>
        <v>nodeErrorCount;</v>
      </c>
    </row>
    <row r="40" spans="1:2" x14ac:dyDescent="0.3">
      <c r="A40" t="s">
        <v>358</v>
      </c>
      <c r="B40" t="str">
        <f t="shared" si="2"/>
        <v>noticeCount;</v>
      </c>
    </row>
    <row r="41" spans="1:2" x14ac:dyDescent="0.3">
      <c r="A41" t="s">
        <v>359</v>
      </c>
      <c r="B41" t="str">
        <f t="shared" si="2"/>
        <v>warningCount;</v>
      </c>
    </row>
    <row r="42" spans="1:2" x14ac:dyDescent="0.3">
      <c r="A42" t="s">
        <v>360</v>
      </c>
      <c r="B42" t="str">
        <f t="shared" si="2"/>
        <v>alertCount;</v>
      </c>
    </row>
    <row r="43" spans="1:2" x14ac:dyDescent="0.3">
      <c r="A43" t="s">
        <v>351</v>
      </c>
      <c r="B43" t="str">
        <f t="shared" si="2"/>
        <v>errorCount;</v>
      </c>
    </row>
    <row r="44" spans="1:2" x14ac:dyDescent="0.3">
      <c r="A44" t="s">
        <v>361</v>
      </c>
      <c r="B44" t="str">
        <f t="shared" si="2"/>
        <v>criticalCount;</v>
      </c>
    </row>
    <row r="45" spans="1:2" x14ac:dyDescent="0.3">
      <c r="A45" t="s">
        <v>362</v>
      </c>
      <c r="B45" t="str">
        <f t="shared" si="2"/>
        <v>emergencyCount;</v>
      </c>
    </row>
    <row r="48" spans="1:2" x14ac:dyDescent="0.3">
      <c r="A48" t="s">
        <v>358</v>
      </c>
      <c r="B48" t="str">
        <f t="shared" ref="B48:B53" si="3">ToCamelLower(A48,"","") &amp;";"</f>
        <v>noticeCount;</v>
      </c>
    </row>
    <row r="49" spans="1:2" x14ac:dyDescent="0.3">
      <c r="A49" t="s">
        <v>359</v>
      </c>
      <c r="B49" t="str">
        <f t="shared" si="3"/>
        <v>warningCount;</v>
      </c>
    </row>
    <row r="50" spans="1:2" x14ac:dyDescent="0.3">
      <c r="A50" t="s">
        <v>360</v>
      </c>
      <c r="B50" t="str">
        <f t="shared" si="3"/>
        <v>alertCount;</v>
      </c>
    </row>
    <row r="51" spans="1:2" x14ac:dyDescent="0.3">
      <c r="A51" t="s">
        <v>351</v>
      </c>
      <c r="B51" t="str">
        <f t="shared" si="3"/>
        <v>errorCount;</v>
      </c>
    </row>
    <row r="52" spans="1:2" x14ac:dyDescent="0.3">
      <c r="A52" t="s">
        <v>361</v>
      </c>
      <c r="B52" t="str">
        <f t="shared" si="3"/>
        <v>criticalCount;</v>
      </c>
    </row>
    <row r="53" spans="1:2" x14ac:dyDescent="0.3">
      <c r="A53" t="s">
        <v>362</v>
      </c>
      <c r="B53" t="str">
        <f t="shared" si="3"/>
        <v>emergencyCount;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B897F-E568-4404-B49A-3E83E423E04C}">
  <sheetPr codeName="Sheet3"/>
  <dimension ref="B1:F18"/>
  <sheetViews>
    <sheetView workbookViewId="0">
      <selection activeCell="E21" sqref="E21"/>
    </sheetView>
  </sheetViews>
  <sheetFormatPr defaultRowHeight="16.5" x14ac:dyDescent="0.3"/>
  <sheetData>
    <row r="1" spans="2:6" x14ac:dyDescent="0.3">
      <c r="B1" t="s">
        <v>13</v>
      </c>
    </row>
    <row r="2" spans="2:6" x14ac:dyDescent="0.3">
      <c r="C2" t="s">
        <v>15</v>
      </c>
      <c r="D2" t="s">
        <v>13</v>
      </c>
    </row>
    <row r="3" spans="2:6" x14ac:dyDescent="0.3">
      <c r="D3" t="s">
        <v>16</v>
      </c>
      <c r="E3" t="s">
        <v>17</v>
      </c>
      <c r="F3" t="s">
        <v>19</v>
      </c>
    </row>
    <row r="4" spans="2:6" x14ac:dyDescent="0.3">
      <c r="D4" t="s">
        <v>18</v>
      </c>
      <c r="E4" t="s">
        <v>17</v>
      </c>
      <c r="F4" t="s">
        <v>19</v>
      </c>
    </row>
    <row r="5" spans="2:6" x14ac:dyDescent="0.3">
      <c r="D5" t="s">
        <v>20</v>
      </c>
      <c r="E5" t="s">
        <v>21</v>
      </c>
    </row>
    <row r="6" spans="2:6" x14ac:dyDescent="0.3">
      <c r="E6" t="s">
        <v>23</v>
      </c>
      <c r="F6" t="s">
        <v>19</v>
      </c>
    </row>
    <row r="7" spans="2:6" x14ac:dyDescent="0.3">
      <c r="E7" t="s">
        <v>23</v>
      </c>
    </row>
    <row r="8" spans="2:6" x14ac:dyDescent="0.3">
      <c r="D8" t="s">
        <v>22</v>
      </c>
    </row>
    <row r="9" spans="2:6" x14ac:dyDescent="0.3">
      <c r="D9" t="s">
        <v>26</v>
      </c>
      <c r="E9" t="s">
        <v>21</v>
      </c>
    </row>
    <row r="10" spans="2:6" x14ac:dyDescent="0.3">
      <c r="E10" t="s">
        <v>23</v>
      </c>
      <c r="F10" t="s">
        <v>19</v>
      </c>
    </row>
    <row r="11" spans="2:6" x14ac:dyDescent="0.3">
      <c r="E11" t="s">
        <v>23</v>
      </c>
    </row>
    <row r="12" spans="2:6" x14ac:dyDescent="0.3">
      <c r="D12" t="s">
        <v>22</v>
      </c>
    </row>
    <row r="13" spans="2:6" x14ac:dyDescent="0.3">
      <c r="D13" t="s">
        <v>27</v>
      </c>
      <c r="E13" t="s">
        <v>21</v>
      </c>
    </row>
    <row r="14" spans="2:6" x14ac:dyDescent="0.3">
      <c r="E14" t="s">
        <v>23</v>
      </c>
      <c r="F14" t="s">
        <v>19</v>
      </c>
    </row>
    <row r="15" spans="2:6" x14ac:dyDescent="0.3">
      <c r="E15" t="s">
        <v>23</v>
      </c>
    </row>
    <row r="16" spans="2:6" x14ac:dyDescent="0.3">
      <c r="D16" t="s">
        <v>22</v>
      </c>
    </row>
    <row r="17" spans="2:3" x14ac:dyDescent="0.3">
      <c r="C17" t="s">
        <v>14</v>
      </c>
    </row>
    <row r="18" spans="2:3" x14ac:dyDescent="0.3">
      <c r="B18" t="s">
        <v>14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기능정의</vt:lpstr>
      <vt:lpstr>참고.컬럼</vt:lpstr>
      <vt:lpstr>화면캡처</vt:lpstr>
      <vt:lpstr>카멜</vt:lpstr>
      <vt:lpstr>data  structure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cp:lastPrinted>2020-08-03T03:32:48Z</cp:lastPrinted>
  <dcterms:created xsi:type="dcterms:W3CDTF">2020-07-21T01:43:16Z</dcterms:created>
  <dcterms:modified xsi:type="dcterms:W3CDTF">2020-08-28T04:30:06Z</dcterms:modified>
</cp:coreProperties>
</file>