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workspace\"/>
    </mc:Choice>
  </mc:AlternateContent>
  <bookViews>
    <workbookView xWindow="0" yWindow="0" windowWidth="21570" windowHeight="8115"/>
  </bookViews>
  <sheets>
    <sheet name="서비스" sheetId="1" r:id="rId1"/>
    <sheet name="map" sheetId="4" r:id="rId2"/>
    <sheet name="dic" sheetId="3" r:id="rId3"/>
  </sheets>
  <functionGroups builtInGroupCount="18"/>
  <definedNames>
    <definedName name="_xlnm._FilterDatabase" localSheetId="0" hidden="1">서비스!$B$2:$P$46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9" i="4" l="1"/>
  <c r="C230" i="4"/>
  <c r="D230" i="4"/>
  <c r="D203" i="4"/>
  <c r="D229" i="4"/>
  <c r="D42" i="1"/>
  <c r="C183" i="4" l="1"/>
  <c r="B183" i="4"/>
  <c r="D183" i="4"/>
  <c r="F183" i="4"/>
  <c r="B21" i="4" l="1"/>
  <c r="B7" i="4"/>
  <c r="C241" i="4" l="1"/>
  <c r="B241" i="4"/>
  <c r="C244" i="4"/>
  <c r="B244" i="4"/>
  <c r="C240" i="4"/>
  <c r="B240" i="4"/>
  <c r="C242" i="4"/>
  <c r="B242" i="4"/>
  <c r="C234" i="4"/>
  <c r="B234" i="4"/>
  <c r="C236" i="4"/>
  <c r="B236" i="4"/>
  <c r="C235" i="4"/>
  <c r="B235" i="4"/>
  <c r="C220" i="4"/>
  <c r="B220" i="4"/>
  <c r="C219" i="4"/>
  <c r="B219" i="4"/>
  <c r="C238" i="4"/>
  <c r="B238" i="4"/>
  <c r="C237" i="4"/>
  <c r="B237" i="4"/>
  <c r="C233" i="4"/>
  <c r="B233" i="4"/>
  <c r="C232" i="4"/>
  <c r="B232" i="4"/>
  <c r="C225" i="4"/>
  <c r="B225" i="4"/>
  <c r="C227" i="4"/>
  <c r="B227" i="4"/>
  <c r="C226" i="4"/>
  <c r="B226" i="4"/>
  <c r="C224" i="4"/>
  <c r="B224" i="4"/>
  <c r="C222" i="4"/>
  <c r="B222" i="4"/>
  <c r="C218" i="4"/>
  <c r="B218" i="4"/>
  <c r="C209" i="4"/>
  <c r="B209" i="4"/>
  <c r="C221" i="4"/>
  <c r="B221" i="4"/>
  <c r="C217" i="4"/>
  <c r="B217" i="4"/>
  <c r="C215" i="4"/>
  <c r="B215" i="4"/>
  <c r="C214" i="4"/>
  <c r="B214" i="4"/>
  <c r="C213" i="4"/>
  <c r="B213" i="4"/>
  <c r="C210" i="4"/>
  <c r="B210" i="4"/>
  <c r="C212" i="4"/>
  <c r="B212" i="4"/>
  <c r="C211" i="4"/>
  <c r="B211" i="4"/>
  <c r="C208" i="4"/>
  <c r="B208" i="4"/>
  <c r="C207" i="4"/>
  <c r="B207" i="4"/>
  <c r="C206" i="4"/>
  <c r="B206" i="4"/>
  <c r="C203" i="4"/>
  <c r="B203" i="4"/>
  <c r="C194" i="4"/>
  <c r="B194" i="4"/>
  <c r="C184" i="4"/>
  <c r="B184" i="4"/>
  <c r="C158" i="4"/>
  <c r="B158" i="4"/>
  <c r="C153" i="4"/>
  <c r="B153" i="4"/>
  <c r="D241" i="4"/>
  <c r="D235" i="4"/>
  <c r="D232" i="4"/>
  <c r="D225" i="4"/>
  <c r="D222" i="4"/>
  <c r="D217" i="4"/>
  <c r="F206" i="4"/>
  <c r="D194" i="4"/>
  <c r="D215" i="4"/>
  <c r="D236" i="4"/>
  <c r="F237" i="4"/>
  <c r="D227" i="4"/>
  <c r="F218" i="4"/>
  <c r="F213" i="4"/>
  <c r="D184" i="4"/>
  <c r="D214" i="4"/>
  <c r="D242" i="4"/>
  <c r="D234" i="4"/>
  <c r="F244" i="4"/>
  <c r="D211" i="4"/>
  <c r="F220" i="4"/>
  <c r="D237" i="4"/>
  <c r="F227" i="4"/>
  <c r="F209" i="4"/>
  <c r="F210" i="4"/>
  <c r="F208" i="4"/>
  <c r="F158" i="4"/>
  <c r="D206" i="4"/>
  <c r="D220" i="4"/>
  <c r="D233" i="4"/>
  <c r="F226" i="4"/>
  <c r="D209" i="4"/>
  <c r="D210" i="4"/>
  <c r="D212" i="4"/>
  <c r="D158" i="4"/>
  <c r="F219" i="4"/>
  <c r="F238" i="4"/>
  <c r="F224" i="4"/>
  <c r="F221" i="4"/>
  <c r="F211" i="4"/>
  <c r="D208" i="4"/>
  <c r="D153" i="4"/>
  <c r="F234" i="4"/>
  <c r="D219" i="4"/>
  <c r="F232" i="4"/>
  <c r="D224" i="4"/>
  <c r="F217" i="4"/>
  <c r="F207" i="4"/>
  <c r="F153" i="4"/>
  <c r="D244" i="4"/>
  <c r="F235" i="4"/>
  <c r="F233" i="4"/>
  <c r="D226" i="4"/>
  <c r="D218" i="4"/>
  <c r="D213" i="4"/>
  <c r="D207" i="4"/>
  <c r="F184" i="4"/>
  <c r="F214" i="4"/>
  <c r="D240" i="4"/>
  <c r="F203" i="4"/>
  <c r="F236" i="4"/>
  <c r="D238" i="4"/>
  <c r="F225" i="4"/>
  <c r="F222" i="4"/>
  <c r="D221" i="4"/>
  <c r="F212" i="4"/>
  <c r="F194" i="4"/>
  <c r="F215" i="4"/>
  <c r="B198" i="4" l="1"/>
  <c r="B199" i="4"/>
  <c r="B200" i="4"/>
  <c r="B201" i="4"/>
  <c r="B202" i="4"/>
  <c r="B204" i="4"/>
  <c r="B197" i="4"/>
  <c r="B190" i="4"/>
  <c r="B191" i="4"/>
  <c r="B192" i="4"/>
  <c r="B193" i="4"/>
  <c r="B195" i="4"/>
  <c r="B189" i="4"/>
  <c r="B182" i="4"/>
  <c r="B185" i="4"/>
  <c r="B186" i="4"/>
  <c r="B187" i="4"/>
  <c r="B181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66" i="4"/>
  <c r="B144" i="4"/>
  <c r="B145" i="4"/>
  <c r="B146" i="4"/>
  <c r="B147" i="4"/>
  <c r="B148" i="4"/>
  <c r="B149" i="4"/>
  <c r="B150" i="4"/>
  <c r="B151" i="4"/>
  <c r="B152" i="4"/>
  <c r="B154" i="4"/>
  <c r="B155" i="4"/>
  <c r="B156" i="4"/>
  <c r="B157" i="4"/>
  <c r="B159" i="4"/>
  <c r="B160" i="4"/>
  <c r="B161" i="4"/>
  <c r="B162" i="4"/>
  <c r="B163" i="4"/>
  <c r="B164" i="4"/>
  <c r="B143" i="4"/>
  <c r="B5" i="4"/>
  <c r="B6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4" i="4"/>
  <c r="C198" i="4"/>
  <c r="C199" i="4"/>
  <c r="C200" i="4"/>
  <c r="C201" i="4"/>
  <c r="C202" i="4"/>
  <c r="C204" i="4"/>
  <c r="C197" i="4"/>
  <c r="C190" i="4"/>
  <c r="C191" i="4"/>
  <c r="C192" i="4"/>
  <c r="C193" i="4"/>
  <c r="C195" i="4"/>
  <c r="C189" i="4"/>
  <c r="C182" i="4"/>
  <c r="C185" i="4"/>
  <c r="C186" i="4"/>
  <c r="C187" i="4"/>
  <c r="C181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66" i="4"/>
  <c r="C144" i="4"/>
  <c r="C145" i="4"/>
  <c r="C146" i="4"/>
  <c r="C147" i="4"/>
  <c r="C148" i="4"/>
  <c r="C149" i="4"/>
  <c r="C150" i="4"/>
  <c r="C151" i="4"/>
  <c r="C152" i="4"/>
  <c r="C154" i="4"/>
  <c r="C155" i="4"/>
  <c r="C156" i="4"/>
  <c r="C157" i="4"/>
  <c r="C159" i="4"/>
  <c r="C160" i="4"/>
  <c r="C161" i="4"/>
  <c r="C162" i="4"/>
  <c r="C163" i="4"/>
  <c r="C164" i="4"/>
  <c r="C143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4" i="4"/>
  <c r="D164" i="4" l="1"/>
  <c r="D23" i="1"/>
  <c r="D9" i="1"/>
  <c r="D40" i="1"/>
  <c r="D13" i="1"/>
  <c r="D41" i="1"/>
  <c r="D37" i="1"/>
  <c r="D29" i="1"/>
  <c r="D14" i="1"/>
  <c r="D12" i="1"/>
  <c r="D24" i="1"/>
  <c r="D22" i="1"/>
  <c r="D20" i="1"/>
  <c r="D17" i="1"/>
  <c r="D21" i="1"/>
  <c r="D163" i="4"/>
  <c r="D25" i="1"/>
  <c r="D27" i="1"/>
  <c r="D16" i="1"/>
  <c r="D10" i="1"/>
  <c r="D36" i="1"/>
  <c r="D44" i="1"/>
  <c r="D18" i="1"/>
  <c r="D19" i="1"/>
  <c r="D7" i="1"/>
  <c r="D11" i="1"/>
  <c r="D34" i="1"/>
  <c r="D43" i="1"/>
  <c r="D45" i="1"/>
  <c r="D28" i="1"/>
  <c r="D8" i="1"/>
  <c r="D35" i="1"/>
  <c r="D39" i="1"/>
  <c r="D30" i="1"/>
  <c r="D15" i="1"/>
  <c r="D33" i="1"/>
  <c r="D31" i="1"/>
  <c r="F162" i="4"/>
  <c r="D192" i="4"/>
  <c r="F178" i="4"/>
  <c r="F166" i="4"/>
  <c r="F200" i="4"/>
  <c r="D166" i="4"/>
  <c r="D169" i="4"/>
  <c r="D150" i="4"/>
  <c r="F169" i="4"/>
  <c r="D156" i="4"/>
  <c r="F154" i="4"/>
  <c r="F29" i="4"/>
  <c r="D29" i="4"/>
  <c r="F109" i="4"/>
  <c r="D110" i="4"/>
  <c r="D72" i="4"/>
  <c r="D105" i="4"/>
  <c r="D74" i="4"/>
  <c r="D130" i="4"/>
  <c r="D125" i="4"/>
  <c r="D106" i="4"/>
  <c r="D33" i="4"/>
  <c r="D31" i="4"/>
  <c r="D126" i="4"/>
  <c r="D71" i="4"/>
  <c r="D102" i="4"/>
  <c r="D28" i="4"/>
  <c r="D51" i="4"/>
  <c r="D75" i="4"/>
  <c r="D135" i="4"/>
  <c r="D25" i="4"/>
  <c r="F92" i="4"/>
  <c r="F8" i="4"/>
  <c r="F47" i="4"/>
  <c r="F108" i="4"/>
  <c r="F38" i="4"/>
  <c r="F91" i="4"/>
  <c r="F129" i="4"/>
  <c r="F46" i="4"/>
  <c r="F105" i="4"/>
  <c r="F138" i="4"/>
  <c r="F104" i="4"/>
  <c r="F60" i="4"/>
  <c r="F66" i="4"/>
  <c r="F85" i="4"/>
  <c r="F34" i="4"/>
  <c r="F68" i="4"/>
  <c r="F123" i="4"/>
  <c r="F10" i="4"/>
  <c r="D199" i="4"/>
  <c r="D17" i="4"/>
  <c r="D81" i="4"/>
  <c r="F70" i="4"/>
  <c r="F26" i="4"/>
  <c r="F114" i="4"/>
  <c r="F76" i="4"/>
  <c r="F24" i="4"/>
  <c r="F126" i="4"/>
  <c r="D195" i="4"/>
  <c r="F146" i="4"/>
  <c r="D191" i="4"/>
  <c r="F189" i="4"/>
  <c r="F112" i="4"/>
  <c r="D132" i="4"/>
  <c r="D6" i="4"/>
  <c r="D8" i="4"/>
  <c r="D139" i="4"/>
  <c r="D100" i="4"/>
  <c r="F100" i="4"/>
  <c r="F89" i="4"/>
  <c r="F23" i="4"/>
  <c r="F48" i="4"/>
  <c r="F86" i="4"/>
  <c r="D202" i="4"/>
  <c r="F191" i="4"/>
  <c r="F202" i="4"/>
  <c r="F198" i="4"/>
  <c r="D193" i="4"/>
  <c r="F110" i="4"/>
  <c r="D114" i="4"/>
  <c r="D20" i="4"/>
  <c r="D78" i="4"/>
  <c r="D136" i="4"/>
  <c r="D97" i="4"/>
  <c r="F77" i="4"/>
  <c r="F93" i="4"/>
  <c r="F71" i="4"/>
  <c r="F61" i="4"/>
  <c r="F31" i="4"/>
  <c r="F186" i="4"/>
  <c r="F156" i="4"/>
  <c r="D189" i="4"/>
  <c r="F54" i="4"/>
  <c r="D4" i="4"/>
  <c r="D70" i="4"/>
  <c r="D41" i="4"/>
  <c r="D21" i="4"/>
  <c r="D79" i="4"/>
  <c r="D95" i="4"/>
  <c r="F12" i="4"/>
  <c r="F107" i="4"/>
  <c r="F53" i="4"/>
  <c r="F9" i="4"/>
  <c r="F57" i="4"/>
  <c r="D162" i="4"/>
  <c r="D174" i="4"/>
  <c r="D170" i="4"/>
  <c r="D204" i="4"/>
  <c r="F155" i="4"/>
  <c r="F168" i="4"/>
  <c r="F192" i="4"/>
  <c r="D187" i="4"/>
  <c r="D173" i="4"/>
  <c r="D182" i="4"/>
  <c r="D176" i="4"/>
  <c r="D144" i="4"/>
  <c r="F144" i="4"/>
  <c r="D111" i="4"/>
  <c r="D54" i="4"/>
  <c r="D107" i="4"/>
  <c r="D66" i="4"/>
  <c r="D128" i="4"/>
  <c r="D76" i="4"/>
  <c r="D94" i="4"/>
  <c r="D59" i="4"/>
  <c r="D90" i="4"/>
  <c r="F51" i="4"/>
  <c r="D138" i="4"/>
  <c r="D65" i="4"/>
  <c r="D12" i="4"/>
  <c r="D73" i="4"/>
  <c r="D24" i="4"/>
  <c r="D43" i="4"/>
  <c r="D64" i="4"/>
  <c r="D58" i="4"/>
  <c r="F125" i="4"/>
  <c r="F27" i="4"/>
  <c r="F21" i="4"/>
  <c r="F140" i="4"/>
  <c r="F81" i="4"/>
  <c r="F118" i="4"/>
  <c r="F65" i="4"/>
  <c r="F130" i="4"/>
  <c r="F141" i="4"/>
  <c r="F56" i="4"/>
  <c r="F102" i="4"/>
  <c r="F101" i="4"/>
  <c r="F32" i="4"/>
  <c r="F96" i="4"/>
  <c r="D143" i="4"/>
  <c r="D45" i="4"/>
  <c r="D26" i="4"/>
  <c r="D91" i="4"/>
  <c r="D68" i="4"/>
  <c r="F11" i="4"/>
  <c r="F13" i="4"/>
  <c r="F6" i="4"/>
  <c r="F64" i="4"/>
  <c r="F15" i="4"/>
  <c r="F193" i="4"/>
  <c r="F173" i="4"/>
  <c r="D172" i="4"/>
  <c r="D145" i="4"/>
  <c r="D108" i="4"/>
  <c r="D67" i="4"/>
  <c r="D35" i="4"/>
  <c r="D140" i="4"/>
  <c r="D27" i="4"/>
  <c r="D99" i="4"/>
  <c r="F106" i="4"/>
  <c r="F132" i="4"/>
  <c r="F117" i="4"/>
  <c r="F97" i="4"/>
  <c r="F14" i="4"/>
  <c r="F159" i="4"/>
  <c r="F149" i="4"/>
  <c r="F160" i="4"/>
  <c r="F177" i="4"/>
  <c r="F131" i="4"/>
  <c r="D55" i="4"/>
  <c r="D40" i="4"/>
  <c r="D123" i="4"/>
  <c r="D22" i="4"/>
  <c r="D80" i="4"/>
  <c r="F139" i="4"/>
  <c r="F82" i="4"/>
  <c r="F4" i="4"/>
  <c r="F18" i="4"/>
  <c r="F115" i="4"/>
  <c r="F45" i="4"/>
  <c r="D198" i="4"/>
  <c r="D118" i="4"/>
  <c r="D7" i="4"/>
  <c r="F41" i="4"/>
  <c r="F122" i="4"/>
  <c r="F90" i="4"/>
  <c r="F120" i="4"/>
  <c r="D168" i="4"/>
  <c r="F185" i="4"/>
  <c r="F201" i="4"/>
  <c r="D149" i="4"/>
  <c r="F172" i="4"/>
  <c r="D186" i="4"/>
  <c r="D147" i="4"/>
  <c r="F179" i="4"/>
  <c r="D185" i="4"/>
  <c r="D151" i="4"/>
  <c r="D159" i="4"/>
  <c r="F143" i="4"/>
  <c r="F30" i="4"/>
  <c r="F87" i="4"/>
  <c r="D36" i="4"/>
  <c r="D121" i="4"/>
  <c r="D60" i="4"/>
  <c r="D89" i="4"/>
  <c r="D88" i="4"/>
  <c r="D92" i="4"/>
  <c r="D113" i="4"/>
  <c r="D61" i="4"/>
  <c r="D42" i="4"/>
  <c r="D84" i="4"/>
  <c r="D137" i="4"/>
  <c r="D116" i="4"/>
  <c r="D18" i="4"/>
  <c r="D37" i="4"/>
  <c r="D9" i="4"/>
  <c r="D134" i="4"/>
  <c r="D127" i="4"/>
  <c r="F84" i="4"/>
  <c r="F75" i="4"/>
  <c r="F94" i="4"/>
  <c r="F17" i="4"/>
  <c r="F80" i="4"/>
  <c r="F124" i="4"/>
  <c r="F28" i="4"/>
  <c r="F5" i="4"/>
  <c r="F52" i="4"/>
  <c r="F20" i="4"/>
  <c r="F99" i="4"/>
  <c r="F137" i="4"/>
  <c r="F73" i="4"/>
  <c r="F25" i="4"/>
  <c r="F42" i="4"/>
  <c r="F72" i="4"/>
  <c r="F157" i="4"/>
  <c r="D181" i="4"/>
  <c r="F150" i="4"/>
  <c r="D179" i="4"/>
  <c r="D177" i="4"/>
  <c r="D190" i="4"/>
  <c r="D146" i="4"/>
  <c r="F181" i="4"/>
  <c r="F151" i="4"/>
  <c r="D178" i="4"/>
  <c r="D30" i="4"/>
  <c r="D87" i="4"/>
  <c r="D53" i="4"/>
  <c r="D82" i="4"/>
  <c r="D101" i="4"/>
  <c r="D49" i="4"/>
  <c r="D19" i="4"/>
  <c r="D32" i="4"/>
  <c r="D120" i="4"/>
  <c r="D48" i="4"/>
  <c r="D62" i="4"/>
  <c r="D86" i="4"/>
  <c r="D83" i="4"/>
  <c r="F35" i="4"/>
  <c r="F58" i="4"/>
  <c r="F69" i="4"/>
  <c r="F67" i="4"/>
  <c r="F36" i="4"/>
  <c r="D155" i="4"/>
  <c r="D167" i="4"/>
  <c r="D152" i="4"/>
  <c r="F182" i="4"/>
  <c r="D131" i="4"/>
  <c r="D117" i="4"/>
  <c r="D103" i="4"/>
  <c r="D115" i="4"/>
  <c r="D119" i="4"/>
  <c r="D98" i="4"/>
  <c r="F50" i="4"/>
  <c r="F37" i="4"/>
  <c r="F33" i="4"/>
  <c r="F7" i="4"/>
  <c r="F49" i="4"/>
  <c r="F116" i="4"/>
  <c r="D200" i="4"/>
  <c r="F167" i="4"/>
  <c r="D157" i="4"/>
  <c r="F145" i="4"/>
  <c r="D46" i="4"/>
  <c r="D133" i="4"/>
  <c r="D13" i="4"/>
  <c r="D63" i="4"/>
  <c r="D56" i="4"/>
  <c r="D122" i="4"/>
  <c r="F134" i="4"/>
  <c r="F121" i="4"/>
  <c r="F78" i="4"/>
  <c r="F74" i="4"/>
  <c r="F62" i="4"/>
  <c r="F176" i="4"/>
  <c r="F190" i="4"/>
  <c r="F175" i="4"/>
  <c r="F161" i="4"/>
  <c r="D171" i="4"/>
  <c r="D161" i="4"/>
  <c r="D197" i="4"/>
  <c r="D148" i="4"/>
  <c r="D109" i="4"/>
  <c r="D93" i="4"/>
  <c r="D57" i="4"/>
  <c r="D34" i="4"/>
  <c r="D15" i="4"/>
  <c r="D47" i="4"/>
  <c r="D52" i="4"/>
  <c r="D11" i="4"/>
  <c r="D23" i="4"/>
  <c r="F119" i="4"/>
  <c r="F133" i="4"/>
  <c r="F79" i="4"/>
  <c r="F127" i="4"/>
  <c r="F147" i="4"/>
  <c r="F199" i="4"/>
  <c r="D14" i="4"/>
  <c r="D69" i="4"/>
  <c r="F40" i="4"/>
  <c r="F55" i="4"/>
  <c r="F174" i="4"/>
  <c r="F148" i="4"/>
  <c r="D44" i="4"/>
  <c r="D39" i="4"/>
  <c r="F19" i="4"/>
  <c r="F98" i="4"/>
  <c r="F171" i="4"/>
  <c r="F111" i="4"/>
  <c r="D77" i="4"/>
  <c r="D141" i="4"/>
  <c r="F135" i="4"/>
  <c r="F88" i="4"/>
  <c r="D160" i="4"/>
  <c r="D112" i="4"/>
  <c r="D129" i="4"/>
  <c r="D5" i="4"/>
  <c r="F63" i="4"/>
  <c r="F39" i="4"/>
  <c r="F170" i="4"/>
  <c r="D16" i="4"/>
  <c r="D96" i="4"/>
  <c r="F59" i="4"/>
  <c r="F128" i="4"/>
  <c r="F44" i="4"/>
  <c r="D175" i="4"/>
  <c r="D38" i="4"/>
  <c r="D50" i="4"/>
  <c r="F113" i="4"/>
  <c r="F103" i="4"/>
  <c r="F43" i="4"/>
  <c r="D201" i="4"/>
  <c r="F152" i="4"/>
  <c r="D124" i="4"/>
  <c r="D104" i="4"/>
  <c r="F83" i="4"/>
  <c r="F95" i="4"/>
  <c r="F22" i="4"/>
  <c r="F197" i="4"/>
  <c r="D154" i="4"/>
  <c r="D85" i="4"/>
  <c r="D10" i="4"/>
  <c r="F16" i="4"/>
  <c r="F136" i="4"/>
</calcChain>
</file>

<file path=xl/sharedStrings.xml><?xml version="1.0" encoding="utf-8"?>
<sst xmlns="http://schemas.openxmlformats.org/spreadsheetml/2006/main" count="1817" uniqueCount="574">
  <si>
    <t>구분</t>
    <phoneticPr fontId="1" type="noConversion"/>
  </si>
  <si>
    <t>공통</t>
    <phoneticPr fontId="1" type="noConversion"/>
  </si>
  <si>
    <t>로그인</t>
    <phoneticPr fontId="1" type="noConversion"/>
  </si>
  <si>
    <t>비고</t>
    <phoneticPr fontId="1" type="noConversion"/>
  </si>
  <si>
    <t>로그인처리</t>
    <phoneticPr fontId="1" type="noConversion"/>
  </si>
  <si>
    <t>type</t>
    <phoneticPr fontId="1" type="noConversion"/>
  </si>
  <si>
    <t>감리사</t>
    <phoneticPr fontId="1" type="noConversion"/>
  </si>
  <si>
    <t>담당현장</t>
    <phoneticPr fontId="1" type="noConversion"/>
  </si>
  <si>
    <t>관할현장</t>
    <phoneticPr fontId="1" type="noConversion"/>
  </si>
  <si>
    <t>공종명</t>
    <phoneticPr fontId="1" type="noConversion"/>
  </si>
  <si>
    <t>-</t>
    <phoneticPr fontId="1" type="noConversion"/>
  </si>
  <si>
    <t>세부공종명</t>
    <phoneticPr fontId="1" type="noConversion"/>
  </si>
  <si>
    <t>cnsttypecd</t>
    <phoneticPr fontId="1" type="noConversion"/>
  </si>
  <si>
    <t>dtlcnsttypecd</t>
    <phoneticPr fontId="1" type="noConversion"/>
  </si>
  <si>
    <t>코드명</t>
    <phoneticPr fontId="1" type="noConversion"/>
  </si>
  <si>
    <t>userid</t>
    <phoneticPr fontId="1" type="noConversion"/>
  </si>
  <si>
    <t>passwd</t>
    <phoneticPr fontId="1" type="noConversion"/>
  </si>
  <si>
    <t>관할현장 코드리스트</t>
    <phoneticPr fontId="1" type="noConversion"/>
  </si>
  <si>
    <t>-</t>
    <phoneticPr fontId="1" type="noConversion"/>
  </si>
  <si>
    <t>담당현장 코드리스트</t>
    <phoneticPr fontId="1" type="noConversion"/>
  </si>
  <si>
    <t>공종명 코드리스트</t>
    <phoneticPr fontId="1" type="noConversion"/>
  </si>
  <si>
    <t>세부공종명 코드리스트</t>
    <phoneticPr fontId="1" type="noConversion"/>
  </si>
  <si>
    <t>시공사</t>
    <phoneticPr fontId="1" type="noConversion"/>
  </si>
  <si>
    <t>공통코드</t>
    <phoneticPr fontId="1" type="noConversion"/>
  </si>
  <si>
    <t>groupcode</t>
    <phoneticPr fontId="1" type="noConversion"/>
  </si>
  <si>
    <t>공통코드 리스트</t>
    <phoneticPr fontId="1" type="noConversion"/>
  </si>
  <si>
    <t>codeid</t>
    <phoneticPr fontId="1" type="noConversion"/>
  </si>
  <si>
    <t>조회:체크리스트작성시 마스터중복 체크</t>
    <phoneticPr fontId="1" type="noConversion"/>
  </si>
  <si>
    <t>저장/요청</t>
    <phoneticPr fontId="1" type="noConversion"/>
  </si>
  <si>
    <t>검측요청서 저장</t>
    <phoneticPr fontId="1" type="noConversion"/>
  </si>
  <si>
    <t>검측체크번호</t>
    <phoneticPr fontId="1" type="noConversion"/>
  </si>
  <si>
    <t>login</t>
    <phoneticPr fontId="1" type="noConversion"/>
  </si>
  <si>
    <t>getcode</t>
    <phoneticPr fontId="1" type="noConversion"/>
  </si>
  <si>
    <t>서비스구분</t>
    <phoneticPr fontId="1" type="noConversion"/>
  </si>
  <si>
    <t>관할</t>
    <phoneticPr fontId="1" type="noConversion"/>
  </si>
  <si>
    <t>담당</t>
    <phoneticPr fontId="1" type="noConversion"/>
  </si>
  <si>
    <t>현장</t>
    <phoneticPr fontId="1" type="noConversion"/>
  </si>
  <si>
    <t>번호</t>
    <phoneticPr fontId="1" type="noConversion"/>
  </si>
  <si>
    <t>code_control_site</t>
    <phoneticPr fontId="1" type="noConversion"/>
  </si>
  <si>
    <t>code_charge_site</t>
    <phoneticPr fontId="1" type="noConversion"/>
  </si>
  <si>
    <t>code_cnsttypecd</t>
    <phoneticPr fontId="1" type="noConversion"/>
  </si>
  <si>
    <t>code_dtlcnsttypecd</t>
    <phoneticPr fontId="1" type="noConversion"/>
  </si>
  <si>
    <t>code_common</t>
    <phoneticPr fontId="1" type="noConversion"/>
  </si>
  <si>
    <t>{msgCode:200,msg:"ok",data:[{code:01,value:'값1'},{code:01,value:'값1'}]}</t>
    <phoneticPr fontId="1" type="noConversion"/>
  </si>
  <si>
    <t>{msgCode:200,msg:"ok",data:{usernm:"",userid:""}}</t>
    <phoneticPr fontId="1" type="noConversion"/>
  </si>
  <si>
    <t>userid</t>
    <phoneticPr fontId="1" type="noConversion"/>
  </si>
  <si>
    <t>usernm</t>
    <phoneticPr fontId="1" type="noConversion"/>
  </si>
  <si>
    <t>gubun</t>
    <phoneticPr fontId="1" type="noConversion"/>
  </si>
  <si>
    <t>감리사/시공사</t>
    <phoneticPr fontId="1" type="noConversion"/>
  </si>
  <si>
    <t>결과</t>
    <phoneticPr fontId="1" type="noConversion"/>
  </si>
  <si>
    <t>시공사 점검(체크리스트)작성</t>
    <phoneticPr fontId="1" type="noConversion"/>
  </si>
  <si>
    <t>검측 요청서</t>
  </si>
  <si>
    <t>검측 결과 통보</t>
  </si>
  <si>
    <t>시공사 &amp; 감리사</t>
    <phoneticPr fontId="1" type="noConversion"/>
  </si>
  <si>
    <t>시공사</t>
  </si>
  <si>
    <t>검측 결과 등록</t>
    <phoneticPr fontId="1" type="noConversion"/>
  </si>
  <si>
    <t>사진관리</t>
    <phoneticPr fontId="1" type="noConversion"/>
  </si>
  <si>
    <t>도면조회</t>
    <phoneticPr fontId="1" type="noConversion"/>
  </si>
  <si>
    <t>공사기준조회</t>
    <phoneticPr fontId="1" type="noConversion"/>
  </si>
  <si>
    <t>공통</t>
    <phoneticPr fontId="1" type="noConversion"/>
  </si>
  <si>
    <t>service=login</t>
    <phoneticPr fontId="1" type="noConversion"/>
  </si>
  <si>
    <t>login</t>
    <phoneticPr fontId="1" type="noConversion"/>
  </si>
  <si>
    <t>검측</t>
  </si>
  <si>
    <t>TEST</t>
  </si>
  <si>
    <t>BUILDER</t>
  </si>
  <si>
    <t>점검</t>
  </si>
  <si>
    <t>작성</t>
  </si>
  <si>
    <t>WRITE</t>
  </si>
  <si>
    <t>요청</t>
  </si>
  <si>
    <t>REQUEST</t>
  </si>
  <si>
    <t>문서</t>
  </si>
  <si>
    <t>DOCUMENT</t>
  </si>
  <si>
    <t>통보</t>
  </si>
  <si>
    <t>NOTICE</t>
  </si>
  <si>
    <t>test_chk_list</t>
    <phoneticPr fontId="1" type="noConversion"/>
  </si>
  <si>
    <t>test_chk_main</t>
    <phoneticPr fontId="1" type="noConversion"/>
  </si>
  <si>
    <t>BLD</t>
    <phoneticPr fontId="1" type="noConversion"/>
  </si>
  <si>
    <t>WRT</t>
    <phoneticPr fontId="1" type="noConversion"/>
  </si>
  <si>
    <t>REQ</t>
    <phoneticPr fontId="1" type="noConversion"/>
  </si>
  <si>
    <t>DOC</t>
    <phoneticPr fontId="1" type="noConversion"/>
  </si>
  <si>
    <t>NOTI</t>
    <phoneticPr fontId="1" type="noConversion"/>
  </si>
  <si>
    <t>CHECKUP</t>
    <phoneticPr fontId="1" type="noConversion"/>
  </si>
  <si>
    <t>CHKUP</t>
    <phoneticPr fontId="1" type="noConversion"/>
  </si>
  <si>
    <t>RESULT</t>
    <phoneticPr fontId="1" type="noConversion"/>
  </si>
  <si>
    <t>RSLT</t>
    <phoneticPr fontId="1" type="noConversion"/>
  </si>
  <si>
    <t>DRW</t>
  </si>
  <si>
    <t>DRAWING</t>
  </si>
  <si>
    <t>도면</t>
    <phoneticPr fontId="1" type="noConversion"/>
  </si>
  <si>
    <t>CTL</t>
  </si>
  <si>
    <t>CHRG</t>
  </si>
  <si>
    <t>SITE</t>
  </si>
  <si>
    <t>NO</t>
  </si>
  <si>
    <t>CONTROL</t>
  </si>
  <si>
    <t>CHARGE</t>
  </si>
  <si>
    <t>drw_list</t>
    <phoneticPr fontId="1" type="noConversion"/>
  </si>
  <si>
    <t>CSR</t>
  </si>
  <si>
    <t>공사</t>
    <phoneticPr fontId="1" type="noConversion"/>
  </si>
  <si>
    <t>CONSTRUCTION</t>
  </si>
  <si>
    <t>기준</t>
  </si>
  <si>
    <t>BSL</t>
  </si>
  <si>
    <t>BASE LINE</t>
    <phoneticPr fontId="5" type="noConversion"/>
  </si>
  <si>
    <t>csr_bsl_list</t>
    <phoneticPr fontId="1" type="noConversion"/>
  </si>
  <si>
    <t>항목명</t>
    <phoneticPr fontId="1" type="noConversion"/>
  </si>
  <si>
    <t>사용자ID</t>
    <phoneticPr fontId="1" type="noConversion"/>
  </si>
  <si>
    <t>사용자명</t>
    <phoneticPr fontId="1" type="noConversion"/>
  </si>
  <si>
    <t>로그인구분</t>
    <phoneticPr fontId="1" type="noConversion"/>
  </si>
  <si>
    <t>dtlcnsttypenm</t>
    <phoneticPr fontId="1" type="noConversion"/>
  </si>
  <si>
    <t>세부공종코드</t>
    <phoneticPr fontId="1" type="noConversion"/>
  </si>
  <si>
    <t>점검일자</t>
    <phoneticPr fontId="1" type="noConversion"/>
  </si>
  <si>
    <t>chkDt</t>
    <phoneticPr fontId="1" type="noConversion"/>
  </si>
  <si>
    <t>검측요청일</t>
    <phoneticPr fontId="1" type="noConversion"/>
  </si>
  <si>
    <t>검측일자</t>
    <phoneticPr fontId="1" type="noConversion"/>
  </si>
  <si>
    <t>진행상태</t>
    <phoneticPr fontId="1" type="noConversion"/>
  </si>
  <si>
    <t>rqstsDt</t>
    <phoneticPr fontId="1" type="noConversion"/>
  </si>
  <si>
    <t>ispnDt</t>
    <phoneticPr fontId="1" type="noConversion"/>
  </si>
  <si>
    <t>ispnPrgrs</t>
  </si>
  <si>
    <t>진행상태코드</t>
    <phoneticPr fontId="1" type="noConversion"/>
  </si>
  <si>
    <t>진행상태명</t>
    <phoneticPr fontId="1" type="noConversion"/>
  </si>
  <si>
    <t>ispnPrgrsNm</t>
    <phoneticPr fontId="1" type="noConversion"/>
  </si>
  <si>
    <t>rsltStatus</t>
  </si>
  <si>
    <t>rsltStatusNm</t>
    <phoneticPr fontId="1" type="noConversion"/>
  </si>
  <si>
    <t>검측결과명</t>
    <phoneticPr fontId="1" type="noConversion"/>
  </si>
  <si>
    <t>검측결과코드</t>
    <phoneticPr fontId="1" type="noConversion"/>
  </si>
  <si>
    <t>ispnChkMgntSeq</t>
  </si>
  <si>
    <t>검측마스터번호</t>
    <phoneticPr fontId="1" type="noConversion"/>
  </si>
  <si>
    <t>out</t>
    <phoneticPr fontId="1" type="noConversion"/>
  </si>
  <si>
    <t>in</t>
    <phoneticPr fontId="1" type="noConversion"/>
  </si>
  <si>
    <t>공종</t>
    <phoneticPr fontId="1" type="noConversion"/>
  </si>
  <si>
    <t>현장번호[담당,관할]</t>
    <phoneticPr fontId="1" type="noConversion"/>
  </si>
  <si>
    <t>년월</t>
    <phoneticPr fontId="1" type="noConversion"/>
  </si>
  <si>
    <t>siteNo</t>
    <phoneticPr fontId="1" type="noConversion"/>
  </si>
  <si>
    <t>p_siteNo</t>
    <phoneticPr fontId="1" type="noConversion"/>
  </si>
  <si>
    <t>p_cnsttypecd</t>
    <phoneticPr fontId="1" type="noConversion"/>
  </si>
  <si>
    <t>p_chkDtYyyymm</t>
    <phoneticPr fontId="1" type="noConversion"/>
  </si>
  <si>
    <t>p_ispnPrgrs</t>
    <phoneticPr fontId="1" type="noConversion"/>
  </si>
  <si>
    <t>ispnChkSeq</t>
    <phoneticPr fontId="1" type="noConversion"/>
  </si>
  <si>
    <t>p_ispnChkMgntSeq</t>
    <phoneticPr fontId="1" type="noConversion"/>
  </si>
  <si>
    <t>p_ispnChkSeq</t>
    <phoneticPr fontId="1" type="noConversion"/>
  </si>
  <si>
    <t>서비스1</t>
    <phoneticPr fontId="1" type="noConversion"/>
  </si>
  <si>
    <t>서비스2</t>
    <phoneticPr fontId="1" type="noConversion"/>
  </si>
  <si>
    <t>bld_chkup_wrt_dup_chk</t>
  </si>
  <si>
    <t>bld_chkup_wrt_dup_chk</t>
    <phoneticPr fontId="1" type="noConversion"/>
  </si>
  <si>
    <t>p_dtlcnsttypecd</t>
    <phoneticPr fontId="1" type="noConversion"/>
  </si>
  <si>
    <t>p_chkDt</t>
    <phoneticPr fontId="1" type="noConversion"/>
  </si>
  <si>
    <t>ispnChkMgntSeq</t>
    <phoneticPr fontId="1" type="noConversion"/>
  </si>
  <si>
    <t>체크리스트항목조회</t>
    <phoneticPr fontId="1" type="noConversion"/>
  </si>
  <si>
    <t>검사항목</t>
    <phoneticPr fontId="1" type="noConversion"/>
  </si>
  <si>
    <t>검사기준</t>
    <phoneticPr fontId="1" type="noConversion"/>
  </si>
  <si>
    <t>시공사점검</t>
    <phoneticPr fontId="1" type="noConversion"/>
  </si>
  <si>
    <t>검측체크항목번호</t>
    <phoneticPr fontId="1" type="noConversion"/>
  </si>
  <si>
    <t>ispnChkItemSeq</t>
  </si>
  <si>
    <t>text</t>
    <phoneticPr fontId="1" type="noConversion"/>
  </si>
  <si>
    <t>dscrtn</t>
  </si>
  <si>
    <t>cntrChk</t>
  </si>
  <si>
    <t>ispnChkItemSeq</t>
    <phoneticPr fontId="1" type="noConversion"/>
  </si>
  <si>
    <t>cntrChk</t>
    <phoneticPr fontId="1" type="noConversion"/>
  </si>
  <si>
    <t>공종코드</t>
    <phoneticPr fontId="1" type="noConversion"/>
  </si>
  <si>
    <t>위치 및 부위</t>
    <phoneticPr fontId="1" type="noConversion"/>
  </si>
  <si>
    <t>공사량</t>
    <phoneticPr fontId="1" type="noConversion"/>
  </si>
  <si>
    <t>plcPrt</t>
  </si>
  <si>
    <t>wrkAmnt</t>
  </si>
  <si>
    <t>신규입력시에서는 필요하지 않음</t>
    <phoneticPr fontId="1" type="noConversion"/>
  </si>
  <si>
    <t>모드</t>
    <phoneticPr fontId="1" type="noConversion"/>
  </si>
  <si>
    <t>mode</t>
    <phoneticPr fontId="1" type="noConversion"/>
  </si>
  <si>
    <t>I/U [입력/수정]</t>
    <phoneticPr fontId="1" type="noConversion"/>
  </si>
  <si>
    <t>bld_chkup_wrt_dtl</t>
    <phoneticPr fontId="1" type="noConversion"/>
  </si>
  <si>
    <t>체크리스트마스터상세 : 수정시 조회필요</t>
    <phoneticPr fontId="1" type="noConversion"/>
  </si>
  <si>
    <t>test_req_doc_dtl</t>
    <phoneticPr fontId="1" type="noConversion"/>
  </si>
  <si>
    <t>test_req_doc_save</t>
    <phoneticPr fontId="1" type="noConversion"/>
  </si>
  <si>
    <t>검측요청서번호</t>
    <phoneticPr fontId="1" type="noConversion"/>
  </si>
  <si>
    <t>ispnRqstsNo</t>
  </si>
  <si>
    <t>검측요청일</t>
    <phoneticPr fontId="1" type="noConversion"/>
  </si>
  <si>
    <t>rqstsDt</t>
  </si>
  <si>
    <t>받음</t>
    <phoneticPr fontId="1" type="noConversion"/>
  </si>
  <si>
    <t>세부공종</t>
    <phoneticPr fontId="1" type="noConversion"/>
  </si>
  <si>
    <t>cnsttypenm</t>
    <phoneticPr fontId="1" type="noConversion"/>
  </si>
  <si>
    <t>위치</t>
    <phoneticPr fontId="1" type="noConversion"/>
  </si>
  <si>
    <t>검측부위</t>
    <phoneticPr fontId="1" type="noConversion"/>
  </si>
  <si>
    <t>ispnPrt</t>
  </si>
  <si>
    <t>검측요구일시</t>
    <phoneticPr fontId="1" type="noConversion"/>
  </si>
  <si>
    <t>ispnCallTm</t>
  </si>
  <si>
    <t>검측사항</t>
    <phoneticPr fontId="1" type="noConversion"/>
  </si>
  <si>
    <t>ispnDtls</t>
  </si>
  <si>
    <t>점검직원</t>
    <phoneticPr fontId="1" type="noConversion"/>
  </si>
  <si>
    <t>현장대리인</t>
    <phoneticPr fontId="1" type="noConversion"/>
  </si>
  <si>
    <t>in-donotsend</t>
    <phoneticPr fontId="1" type="noConversion"/>
  </si>
  <si>
    <t>검측 결과 등록 조회</t>
    <phoneticPr fontId="1" type="noConversion"/>
  </si>
  <si>
    <t>검측 결과 등록 저장</t>
    <phoneticPr fontId="1" type="noConversion"/>
  </si>
  <si>
    <t>검측 결과 통보 조회</t>
    <phoneticPr fontId="1" type="noConversion"/>
  </si>
  <si>
    <t>검측 결과 통보 저장</t>
    <phoneticPr fontId="1" type="noConversion"/>
  </si>
  <si>
    <t>test_rslt_wrt_list</t>
    <phoneticPr fontId="1" type="noConversion"/>
  </si>
  <si>
    <t>test_rslt_wrt_save</t>
  </si>
  <si>
    <t>test_rslt_wrt_save</t>
    <phoneticPr fontId="1" type="noConversion"/>
  </si>
  <si>
    <t>test_rslt_noti_save</t>
  </si>
  <si>
    <t>test_rslt_noti_save</t>
    <phoneticPr fontId="1" type="noConversion"/>
  </si>
  <si>
    <t>검사결과</t>
    <phoneticPr fontId="1" type="noConversion"/>
  </si>
  <si>
    <t>조치사항</t>
    <phoneticPr fontId="1" type="noConversion"/>
  </si>
  <si>
    <t>bld_chkup_wrt_dtl_save</t>
  </si>
  <si>
    <t>bld_chkup_wrt_dtl_save</t>
    <phoneticPr fontId="1" type="noConversion"/>
  </si>
  <si>
    <t>bld_chkup_wrt_item_save</t>
  </si>
  <si>
    <t>bld_chkup_wrt_item_save</t>
    <phoneticPr fontId="1" type="noConversion"/>
  </si>
  <si>
    <t>체크리스트마스터상세 저장</t>
    <phoneticPr fontId="1" type="noConversion"/>
  </si>
  <si>
    <t>{msgCode:200,msg:"ok",data:DTO.out[]}</t>
    <phoneticPr fontId="1" type="noConversion"/>
  </si>
  <si>
    <t>{msgCode:200,msg:"ok",data:DTO.out}</t>
    <phoneticPr fontId="1" type="noConversion"/>
  </si>
  <si>
    <t>{msgCode:200,msg:"ok",data:null}</t>
    <phoneticPr fontId="1" type="noConversion"/>
  </si>
  <si>
    <t>검측결과화면에서 이용.</t>
    <phoneticPr fontId="1" type="noConversion"/>
  </si>
  <si>
    <t>test_rslt_noti_dtl</t>
  </si>
  <si>
    <t>test_rslt_noti_dtl</t>
    <phoneticPr fontId="1" type="noConversion"/>
  </si>
  <si>
    <t>검측결과상태</t>
    <phoneticPr fontId="1" type="noConversion"/>
  </si>
  <si>
    <t>지시사항</t>
    <phoneticPr fontId="1" type="noConversion"/>
  </si>
  <si>
    <t>검측건설사업관리기술자</t>
    <phoneticPr fontId="1" type="noConversion"/>
  </si>
  <si>
    <t>책임건설사업관리기술자</t>
    <phoneticPr fontId="1" type="noConversion"/>
  </si>
  <si>
    <t>engNm1</t>
    <phoneticPr fontId="1" type="noConversion"/>
  </si>
  <si>
    <t>engNm2</t>
    <phoneticPr fontId="1" type="noConversion"/>
  </si>
  <si>
    <t>bld_chkup_wrt_item_list</t>
    <phoneticPr fontId="1" type="noConversion"/>
  </si>
  <si>
    <t>현장검측체크번호</t>
    <phoneticPr fontId="1" type="noConversion"/>
  </si>
  <si>
    <t>siteChkSeq</t>
    <phoneticPr fontId="1" type="noConversion"/>
  </si>
  <si>
    <t>ispnRslt</t>
    <phoneticPr fontId="1" type="noConversion"/>
  </si>
  <si>
    <t>msrDtls</t>
    <phoneticPr fontId="1" type="noConversion"/>
  </si>
  <si>
    <t>rsltInstr</t>
    <phoneticPr fontId="1" type="noConversion"/>
  </si>
  <si>
    <t>검측결과내용</t>
    <phoneticPr fontId="1" type="noConversion"/>
  </si>
  <si>
    <t>rsltDtls</t>
    <phoneticPr fontId="1" type="noConversion"/>
  </si>
  <si>
    <t>{msgCode:200,msg:"ok",data:CodeDTO.out[]}</t>
    <phoneticPr fontId="1" type="noConversion"/>
  </si>
  <si>
    <t>cnsttypecd</t>
    <phoneticPr fontId="1" type="noConversion"/>
  </si>
  <si>
    <t>chargeSiteNo</t>
    <phoneticPr fontId="1" type="noConversion"/>
  </si>
  <si>
    <t>{msgCode:500,msg:"로그인정보가 올바르지 않습니다."}</t>
    <phoneticPr fontId="1" type="noConversion"/>
  </si>
  <si>
    <t>서비스1</t>
    <phoneticPr fontId="1" type="noConversion"/>
  </si>
  <si>
    <t>서비스2</t>
    <phoneticPr fontId="1" type="noConversion"/>
  </si>
  <si>
    <t>in</t>
    <phoneticPr fontId="1" type="noConversion"/>
  </si>
  <si>
    <t>LoginDTO // login</t>
  </si>
  <si>
    <t>TestChkMainDTO // 검측 체크리스트 메인 조회</t>
  </si>
  <si>
    <t>TestChkListDTO // 검측 체크리스트 목록 조회</t>
  </si>
  <si>
    <t>BldChkupWrtDtlSaveDTO // 체크리스트마스터상세 저장</t>
    <phoneticPr fontId="1" type="noConversion"/>
  </si>
  <si>
    <t>BldChkupWrtDupChkDTO // 검측마스터체크리스트 유무조회(신규작성시 세부공종, 점검일자에대한 중복확인 시 "완료"버튼 처리에서만 체크되게.)</t>
    <phoneticPr fontId="1" type="noConversion"/>
  </si>
  <si>
    <t>BldChkupWrtItemListDTO // 체크리스트항목조회</t>
    <phoneticPr fontId="1" type="noConversion"/>
  </si>
  <si>
    <t>BldChkupWrtDtlDTO // 체크리스트마스터상세 : 수정시 조회필요</t>
    <phoneticPr fontId="1" type="noConversion"/>
  </si>
  <si>
    <t>TestReqDocDtlDTO // 검측요청서 조회</t>
    <phoneticPr fontId="1" type="noConversion"/>
  </si>
  <si>
    <t>TestReqDocSaveDTO // 검측요청서 저장</t>
    <phoneticPr fontId="1" type="noConversion"/>
  </si>
  <si>
    <t>TestRsltWrtListDTO // 검측 결과 등록 조회</t>
    <phoneticPr fontId="1" type="noConversion"/>
  </si>
  <si>
    <t>TestRsltWrtSaveDTO // 검측 결과 등록 저장</t>
    <phoneticPr fontId="1" type="noConversion"/>
  </si>
  <si>
    <t>TestRsltNotiDtlDTO // 검측 결과 통보 조회</t>
    <phoneticPr fontId="1" type="noConversion"/>
  </si>
  <si>
    <t>TestRsltNotiSaveDTO // 검측 결과 통보 저장</t>
    <phoneticPr fontId="1" type="noConversion"/>
  </si>
  <si>
    <t>p_site_No</t>
    <phoneticPr fontId="1" type="noConversion"/>
  </si>
  <si>
    <t>p_cnsttypecd</t>
    <phoneticPr fontId="1" type="noConversion"/>
  </si>
  <si>
    <t>p_chk_Dt_Yyyymm</t>
    <phoneticPr fontId="1" type="noConversion"/>
  </si>
  <si>
    <t>p_ispn_Prgrs</t>
    <phoneticPr fontId="1" type="noConversion"/>
  </si>
  <si>
    <t>ispn_Chk_Mgnt_Seq</t>
    <phoneticPr fontId="1" type="noConversion"/>
  </si>
  <si>
    <t>chk_Dt</t>
    <phoneticPr fontId="1" type="noConversion"/>
  </si>
  <si>
    <t>rqsts_Dt</t>
    <phoneticPr fontId="1" type="noConversion"/>
  </si>
  <si>
    <t>ispn_Dt</t>
    <phoneticPr fontId="1" type="noConversion"/>
  </si>
  <si>
    <t>ispn_Prgrs</t>
    <phoneticPr fontId="1" type="noConversion"/>
  </si>
  <si>
    <t>ispn_Prgrs_Nm</t>
    <phoneticPr fontId="1" type="noConversion"/>
  </si>
  <si>
    <t>rslt_Status</t>
    <phoneticPr fontId="1" type="noConversion"/>
  </si>
  <si>
    <t>rslt_Status_Nm</t>
    <phoneticPr fontId="1" type="noConversion"/>
  </si>
  <si>
    <t>p_ispn_Chk_Mgnt_Seq</t>
    <phoneticPr fontId="1" type="noConversion"/>
  </si>
  <si>
    <t>ispn_Chk_Seq</t>
    <phoneticPr fontId="1" type="noConversion"/>
  </si>
  <si>
    <t>dtlcnsttypecd</t>
    <phoneticPr fontId="1" type="noConversion"/>
  </si>
  <si>
    <t>ispn_Chk_Mgnt_Seq</t>
    <phoneticPr fontId="1" type="noConversion"/>
  </si>
  <si>
    <t>plc_Prt</t>
    <phoneticPr fontId="1" type="noConversion"/>
  </si>
  <si>
    <t>wrk_Amnt</t>
    <phoneticPr fontId="1" type="noConversion"/>
  </si>
  <si>
    <t>site_No</t>
    <phoneticPr fontId="1" type="noConversion"/>
  </si>
  <si>
    <t>ispn_Chk_Item_Seq</t>
    <phoneticPr fontId="1" type="noConversion"/>
  </si>
  <si>
    <t>site_Chk_Seq</t>
    <phoneticPr fontId="1" type="noConversion"/>
  </si>
  <si>
    <t>cntr_Chk</t>
    <phoneticPr fontId="1" type="noConversion"/>
  </si>
  <si>
    <t>p_chk_Dt</t>
    <phoneticPr fontId="1" type="noConversion"/>
  </si>
  <si>
    <t>p_ispn_Chk_Seq</t>
    <phoneticPr fontId="1" type="noConversion"/>
  </si>
  <si>
    <t>ispn_Chk_Item_Seq</t>
    <phoneticPr fontId="1" type="noConversion"/>
  </si>
  <si>
    <t>cntr_Chk</t>
    <phoneticPr fontId="1" type="noConversion"/>
  </si>
  <si>
    <t>ispn_Rqsts_No</t>
    <phoneticPr fontId="1" type="noConversion"/>
  </si>
  <si>
    <t>rqsts_Dt</t>
    <phoneticPr fontId="1" type="noConversion"/>
  </si>
  <si>
    <t>ispn_Prt</t>
    <phoneticPr fontId="1" type="noConversion"/>
  </si>
  <si>
    <t>ispn_Call_Tm</t>
    <phoneticPr fontId="1" type="noConversion"/>
  </si>
  <si>
    <t>ispn_Dtls</t>
    <phoneticPr fontId="1" type="noConversion"/>
  </si>
  <si>
    <t>ispn_CallTm</t>
    <phoneticPr fontId="1" type="noConversion"/>
  </si>
  <si>
    <t>ispn_Rslt</t>
    <phoneticPr fontId="1" type="noConversion"/>
  </si>
  <si>
    <t>msr_Dtls</t>
    <phoneticPr fontId="1" type="noConversion"/>
  </si>
  <si>
    <t>rslt_Dtls</t>
    <phoneticPr fontId="1" type="noConversion"/>
  </si>
  <si>
    <t>rslt_Instr</t>
    <phoneticPr fontId="1" type="noConversion"/>
  </si>
  <si>
    <t>eng_Nm1</t>
    <phoneticPr fontId="1" type="noConversion"/>
  </si>
  <si>
    <t>eng_Nm2</t>
    <phoneticPr fontId="1" type="noConversion"/>
  </si>
  <si>
    <t>p={data:DTO.in}</t>
    <phoneticPr fontId="1" type="noConversion"/>
  </si>
  <si>
    <t>p={data:DTO.in[]}</t>
    <phoneticPr fontId="1" type="noConversion"/>
  </si>
  <si>
    <t>검측요청서 조회(상세)</t>
    <phoneticPr fontId="1" type="noConversion"/>
  </si>
  <si>
    <t>시공사 점검(체크리스트)작성</t>
    <phoneticPr fontId="1" type="noConversion"/>
  </si>
  <si>
    <t>체크리스트항목 저장</t>
    <phoneticPr fontId="1" type="noConversion"/>
  </si>
  <si>
    <t>BldChkupWrtItemSaveDTO // 체크리스트항목 저장</t>
    <phoneticPr fontId="1" type="noConversion"/>
  </si>
  <si>
    <t>p=siteNo</t>
    <phoneticPr fontId="1" type="noConversion"/>
  </si>
  <si>
    <t>p=userid</t>
    <phoneticPr fontId="1" type="noConversion"/>
  </si>
  <si>
    <t>p=null</t>
    <phoneticPr fontId="1" type="noConversion"/>
  </si>
  <si>
    <t>p=cnsttypecd</t>
    <phoneticPr fontId="1" type="noConversion"/>
  </si>
  <si>
    <t>p=code set "IS01"</t>
    <phoneticPr fontId="1" type="noConversion"/>
  </si>
  <si>
    <t>ispnItem</t>
    <phoneticPr fontId="1" type="noConversion"/>
  </si>
  <si>
    <t>ispnStd</t>
    <phoneticPr fontId="1" type="noConversion"/>
  </si>
  <si>
    <t>ispn_Item</t>
    <phoneticPr fontId="1" type="noConversion"/>
  </si>
  <si>
    <t>ispn_Std</t>
    <phoneticPr fontId="1" type="noConversion"/>
  </si>
  <si>
    <t>dtlcnsttype_nm</t>
    <phoneticPr fontId="1" type="noConversion"/>
  </si>
  <si>
    <t>dtlcnsttypeNm</t>
    <phoneticPr fontId="1" type="noConversion"/>
  </si>
  <si>
    <t>전체공종명-세부공종명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</si>
  <si>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검측마스터체크리스트</t>
    </r>
    <r>
      <rPr>
        <sz val="11"/>
        <color theme="1"/>
        <rFont val="맑은 고딕"/>
        <family val="2"/>
        <charset val="129"/>
        <scheme val="minor"/>
      </rPr>
      <t xml:space="preserve"> 유무조회(신규작성시 세부공종, 점검일자에대한 중복확인 시 "확정"버튼 처리에서만 체크되게.)</t>
    </r>
    <phoneticPr fontId="1" type="noConversion"/>
  </si>
  <si>
    <t>w_mode</t>
  </si>
  <si>
    <t>wMode</t>
    <phoneticPr fontId="1" type="noConversion"/>
  </si>
  <si>
    <t>W/RW [작성/재작성]</t>
    <phoneticPr fontId="1" type="noConversion"/>
  </si>
  <si>
    <t>작성모드</t>
    <phoneticPr fontId="1" type="noConversion"/>
  </si>
  <si>
    <t>rsltNotiDt</t>
    <phoneticPr fontId="1" type="noConversion"/>
  </si>
  <si>
    <t>rslt_Noti_Dt</t>
    <phoneticPr fontId="1" type="noConversion"/>
  </si>
  <si>
    <t>통보일자</t>
    <phoneticPr fontId="1" type="noConversion"/>
  </si>
  <si>
    <t>plcPrt</t>
    <phoneticPr fontId="1" type="noConversion"/>
  </si>
  <si>
    <t>현장번호[담당,관할]</t>
  </si>
  <si>
    <t>saveType</t>
    <phoneticPr fontId="1" type="noConversion"/>
  </si>
  <si>
    <t>save_Type</t>
    <phoneticPr fontId="1" type="noConversion"/>
  </si>
  <si>
    <t>저장상태[임시저장,확정][S,C]</t>
    <phoneticPr fontId="1" type="noConversion"/>
  </si>
  <si>
    <t>W/RW/U [작성/재작성/수정]</t>
    <phoneticPr fontId="1" type="noConversion"/>
  </si>
  <si>
    <t>서비스명</t>
    <phoneticPr fontId="1" type="noConversion"/>
  </si>
  <si>
    <t>DTO</t>
    <phoneticPr fontId="1" type="noConversion"/>
  </si>
  <si>
    <t>bld_chkup_wrt_save</t>
  </si>
  <si>
    <t>bld_chkup_wrt_save</t>
    <phoneticPr fontId="1" type="noConversion"/>
  </si>
  <si>
    <t>DTO-DIC</t>
    <phoneticPr fontId="1" type="noConversion"/>
  </si>
  <si>
    <t>체크리스트항목, 마스터상세  동시저장</t>
    <phoneticPr fontId="1" type="noConversion"/>
  </si>
  <si>
    <t>작성자</t>
    <phoneticPr fontId="1" type="noConversion"/>
  </si>
  <si>
    <t>sysRegId</t>
    <phoneticPr fontId="1" type="noConversion"/>
  </si>
  <si>
    <t>sys_Reg_Id</t>
    <phoneticPr fontId="1" type="noConversion"/>
  </si>
  <si>
    <t>공통</t>
    <phoneticPr fontId="1" type="noConversion"/>
  </si>
  <si>
    <t>-</t>
    <phoneticPr fontId="1" type="noConversion"/>
  </si>
  <si>
    <t>BaseDTOIn.java</t>
    <phoneticPr fontId="1" type="noConversion"/>
  </si>
  <si>
    <t>서비스명-DIC</t>
    <phoneticPr fontId="1" type="noConversion"/>
  </si>
  <si>
    <t>out-notused</t>
    <phoneticPr fontId="1" type="noConversion"/>
  </si>
  <si>
    <t>chk_user_Nm</t>
    <phoneticPr fontId="1" type="noConversion"/>
  </si>
  <si>
    <t>chkUserNm</t>
    <phoneticPr fontId="1" type="noConversion"/>
  </si>
  <si>
    <t>cusr</t>
    <phoneticPr fontId="1" type="noConversion"/>
  </si>
  <si>
    <t>susr</t>
    <phoneticPr fontId="1" type="noConversion"/>
  </si>
  <si>
    <t>rsltStatus</t>
    <phoneticPr fontId="1" type="noConversion"/>
  </si>
  <si>
    <t>test_rslt_wrt_dtl_save</t>
  </si>
  <si>
    <t>test_rslt_wrt_dtl_save</t>
    <phoneticPr fontId="1" type="noConversion"/>
  </si>
  <si>
    <t>test_rslt_wrt_item_save</t>
    <phoneticPr fontId="1" type="noConversion"/>
  </si>
  <si>
    <t>tv_ispn_rqsts_no</t>
  </si>
  <si>
    <t>tv_cusr</t>
  </si>
  <si>
    <t>et_rslt_dtls</t>
  </si>
  <si>
    <t>rslt_status_t, rslt_status_f</t>
    <phoneticPr fontId="1" type="noConversion"/>
  </si>
  <si>
    <t>et_rslt_instr</t>
  </si>
  <si>
    <t>tv_eng_nm1</t>
  </si>
  <si>
    <t>tv_eng_nm2</t>
    <phoneticPr fontId="1" type="noConversion"/>
  </si>
  <si>
    <t>부적합 보고서</t>
    <phoneticPr fontId="1" type="noConversion"/>
  </si>
  <si>
    <t>부적합</t>
    <phoneticPr fontId="1" type="noConversion"/>
  </si>
  <si>
    <t>NCR</t>
    <phoneticPr fontId="1" type="noConversion"/>
  </si>
  <si>
    <t>시정조치</t>
    <phoneticPr fontId="1" type="noConversion"/>
  </si>
  <si>
    <t>CAR</t>
    <phoneticPr fontId="1" type="noConversion"/>
  </si>
  <si>
    <t>부적합 보고서 조회(상세)</t>
    <phoneticPr fontId="1" type="noConversion"/>
  </si>
  <si>
    <t>보고서</t>
    <phoneticPr fontId="1" type="noConversion"/>
  </si>
  <si>
    <t>RPRT</t>
    <phoneticPr fontId="1" type="noConversion"/>
  </si>
  <si>
    <t>ncr_rprt_dtl</t>
  </si>
  <si>
    <t>ncr_rprt_dtl</t>
    <phoneticPr fontId="1" type="noConversion"/>
  </si>
  <si>
    <t>시공사/감리사</t>
    <phoneticPr fontId="1" type="noConversion"/>
  </si>
  <si>
    <t>car_rprt_dtl</t>
    <phoneticPr fontId="1" type="noConversion"/>
  </si>
  <si>
    <t>시정조치 보고서</t>
    <phoneticPr fontId="1" type="noConversion"/>
  </si>
  <si>
    <t>시정조치 보고서 조회(상세)</t>
    <phoneticPr fontId="1" type="noConversion"/>
  </si>
  <si>
    <t>CarRprtDtlDTO // 시정조치 보고서</t>
    <phoneticPr fontId="1" type="noConversion"/>
  </si>
  <si>
    <t>NcrRprtDtlDTO // 부적합 보고서</t>
    <phoneticPr fontId="1" type="noConversion"/>
  </si>
  <si>
    <t>CsrBslListDTO</t>
    <phoneticPr fontId="1" type="noConversion"/>
  </si>
  <si>
    <t>DrwListDTO</t>
    <phoneticPr fontId="1" type="noConversion"/>
  </si>
  <si>
    <t>csr_bsl_file_download</t>
    <phoneticPr fontId="1" type="noConversion"/>
  </si>
  <si>
    <t>공사기준조회 파일다운로드</t>
    <phoneticPr fontId="1" type="noConversion"/>
  </si>
  <si>
    <t>파일</t>
    <phoneticPr fontId="1" type="noConversion"/>
  </si>
  <si>
    <t>drw_list_code</t>
    <phoneticPr fontId="1" type="noConversion"/>
  </si>
  <si>
    <t>사진관리조회</t>
    <phoneticPr fontId="1" type="noConversion"/>
  </si>
  <si>
    <t>pic_mng_list</t>
    <phoneticPr fontId="1" type="noConversion"/>
  </si>
  <si>
    <t>PicMngListDTO</t>
    <phoneticPr fontId="1" type="noConversion"/>
  </si>
  <si>
    <t>pic_mng_dtl</t>
    <phoneticPr fontId="1" type="noConversion"/>
  </si>
  <si>
    <t>PicMngDTLDTO</t>
    <phoneticPr fontId="1" type="noConversion"/>
  </si>
  <si>
    <t>사진관리상세조회</t>
    <phoneticPr fontId="1" type="noConversion"/>
  </si>
  <si>
    <t>pic_mng_item_list</t>
    <phoneticPr fontId="1" type="noConversion"/>
  </si>
  <si>
    <t>PicMngItemListDTO</t>
    <phoneticPr fontId="1" type="noConversion"/>
  </si>
  <si>
    <t>사진관리저장</t>
    <phoneticPr fontId="1" type="noConversion"/>
  </si>
  <si>
    <t>사진관리삭제</t>
    <phoneticPr fontId="1" type="noConversion"/>
  </si>
  <si>
    <t>pic_mng_item_delete</t>
    <phoneticPr fontId="1" type="noConversion"/>
  </si>
  <si>
    <t>pic_mng_item_save</t>
    <phoneticPr fontId="1" type="noConversion"/>
  </si>
  <si>
    <t>pic_mng_save</t>
    <phoneticPr fontId="1" type="noConversion"/>
  </si>
  <si>
    <t>PicMngItemSaveDTO</t>
    <phoneticPr fontId="1" type="noConversion"/>
  </si>
  <si>
    <t>PicMngSaveDTO</t>
    <phoneticPr fontId="1" type="noConversion"/>
  </si>
  <si>
    <t>PicMngDeleteDTO</t>
    <phoneticPr fontId="1" type="noConversion"/>
  </si>
  <si>
    <t>보고서 일련번호</t>
    <phoneticPr fontId="1" type="noConversion"/>
  </si>
  <si>
    <t>rprt_Seq</t>
    <phoneticPr fontId="1" type="noConversion"/>
  </si>
  <si>
    <t>보고서 구분</t>
    <phoneticPr fontId="1" type="noConversion"/>
  </si>
  <si>
    <t>rprtType</t>
  </si>
  <si>
    <t>rprt_Type</t>
    <phoneticPr fontId="1" type="noConversion"/>
  </si>
  <si>
    <t>p_rprt_Seq</t>
    <phoneticPr fontId="1" type="noConversion"/>
  </si>
  <si>
    <t>p_rprt_Type</t>
    <phoneticPr fontId="1" type="noConversion"/>
  </si>
  <si>
    <t>rprtNo</t>
    <phoneticPr fontId="1" type="noConversion"/>
  </si>
  <si>
    <t>rprt_No</t>
    <phoneticPr fontId="1" type="noConversion"/>
  </si>
  <si>
    <t>보고서번호</t>
    <phoneticPr fontId="1" type="noConversion"/>
  </si>
  <si>
    <t>전체공종명-세부공종명[공종]</t>
    <phoneticPr fontId="1" type="noConversion"/>
  </si>
  <si>
    <t>발행일자</t>
    <phoneticPr fontId="1" type="noConversion"/>
  </si>
  <si>
    <t>issDt</t>
    <phoneticPr fontId="1" type="noConversion"/>
  </si>
  <si>
    <t>iss_Dt</t>
    <phoneticPr fontId="1" type="noConversion"/>
  </si>
  <si>
    <t>제목</t>
    <phoneticPr fontId="1" type="noConversion"/>
  </si>
  <si>
    <t>조치기한</t>
    <phoneticPr fontId="1" type="noConversion"/>
  </si>
  <si>
    <t>부적합내용</t>
    <phoneticPr fontId="1" type="noConversion"/>
  </si>
  <si>
    <t>부적합내용 이미지</t>
    <phoneticPr fontId="1" type="noConversion"/>
  </si>
  <si>
    <t>담당감리원</t>
  </si>
  <si>
    <t>책임감리원</t>
  </si>
  <si>
    <t xml:space="preserve">조치결과     </t>
  </si>
  <si>
    <t xml:space="preserve">조치결과 이미지    </t>
    <phoneticPr fontId="1" type="noConversion"/>
  </si>
  <si>
    <t>조치결과 내용</t>
    <phoneticPr fontId="1" type="noConversion"/>
  </si>
  <si>
    <t>조치책임자</t>
  </si>
  <si>
    <t>현장소장</t>
  </si>
  <si>
    <t>title</t>
    <phoneticPr fontId="1" type="noConversion"/>
  </si>
  <si>
    <t>actDl</t>
    <phoneticPr fontId="1" type="noConversion"/>
  </si>
  <si>
    <t>act_Dl</t>
    <phoneticPr fontId="1" type="noConversion"/>
  </si>
  <si>
    <t>ncrDtls</t>
  </si>
  <si>
    <t>ncrImgUrl</t>
    <phoneticPr fontId="1" type="noConversion"/>
  </si>
  <si>
    <t>chrgSprv</t>
  </si>
  <si>
    <t>rspnSprv</t>
  </si>
  <si>
    <t>chrg_Sprv</t>
    <phoneticPr fontId="1" type="noConversion"/>
  </si>
  <si>
    <t>rspn_Sprv</t>
    <phoneticPr fontId="1" type="noConversion"/>
  </si>
  <si>
    <t>actRslt</t>
    <phoneticPr fontId="1" type="noConversion"/>
  </si>
  <si>
    <t>actDtls</t>
  </si>
  <si>
    <t>actRsltImgUrl</t>
    <phoneticPr fontId="1" type="noConversion"/>
  </si>
  <si>
    <t>act_Rslt</t>
    <phoneticPr fontId="1" type="noConversion"/>
  </si>
  <si>
    <t>act_Rslt_Img_Url</t>
    <phoneticPr fontId="1" type="noConversion"/>
  </si>
  <si>
    <t>act_Dtls</t>
    <phoneticPr fontId="1" type="noConversion"/>
  </si>
  <si>
    <t>actRspn</t>
  </si>
  <si>
    <t>act_Rspn</t>
    <phoneticPr fontId="1" type="noConversion"/>
  </si>
  <si>
    <t>siteMngr</t>
  </si>
  <si>
    <t>site_Mngr</t>
    <phoneticPr fontId="1" type="noConversion"/>
  </si>
  <si>
    <t>car_rprt_dtl</t>
  </si>
  <si>
    <t>자격사항</t>
    <phoneticPr fontId="1" type="noConversion"/>
  </si>
  <si>
    <t>qlfcDtls</t>
  </si>
  <si>
    <t>qlfc_Dtls</t>
    <phoneticPr fontId="1" type="noConversion"/>
  </si>
  <si>
    <t>csr_bsl_file_download</t>
  </si>
  <si>
    <t>시정조치 보고서 파일다운로드</t>
    <phoneticPr fontId="1" type="noConversion"/>
  </si>
  <si>
    <t>시정조치 보고서 파일 조회</t>
    <phoneticPr fontId="1" type="noConversion"/>
  </si>
  <si>
    <t>CarRprtFileItemListDTO // 시정조치 보고서 파일 조회</t>
    <phoneticPr fontId="1" type="noConversion"/>
  </si>
  <si>
    <t>car_rprt_file_item_list</t>
  </si>
  <si>
    <t>car_rprt_file_item_list</t>
    <phoneticPr fontId="1" type="noConversion"/>
  </si>
  <si>
    <t>car_rprt_file_download</t>
  </si>
  <si>
    <t>car_rprt_file_download</t>
    <phoneticPr fontId="1" type="noConversion"/>
  </si>
  <si>
    <t>파일명</t>
    <phoneticPr fontId="1" type="noConversion"/>
  </si>
  <si>
    <t>파일크기</t>
    <phoneticPr fontId="1" type="noConversion"/>
  </si>
  <si>
    <t>fileName</t>
  </si>
  <si>
    <t>fileSize</t>
  </si>
  <si>
    <t>file_Name</t>
    <phoneticPr fontId="1" type="noConversion"/>
  </si>
  <si>
    <t>file_Size</t>
    <phoneticPr fontId="1" type="noConversion"/>
  </si>
  <si>
    <t>조치요구사항</t>
    <phoneticPr fontId="1" type="noConversion"/>
  </si>
  <si>
    <t xml:space="preserve">조치결과확인 </t>
    <phoneticPr fontId="1" type="noConversion"/>
  </si>
  <si>
    <t>p_file_Asrt</t>
    <phoneticPr fontId="1" type="noConversion"/>
  </si>
  <si>
    <t>파일구분[조치요구:RQSTS,조치결과:RSLT]</t>
    <phoneticPr fontId="1" type="noConversion"/>
  </si>
  <si>
    <t>조치사항</t>
    <phoneticPr fontId="1" type="noConversion"/>
  </si>
  <si>
    <t>csr_bsl_list</t>
  </si>
  <si>
    <t>공사기준번호</t>
    <phoneticPr fontId="1" type="noConversion"/>
  </si>
  <si>
    <t>p_cnstr_Std_Seq</t>
    <phoneticPr fontId="1" type="noConversion"/>
  </si>
  <si>
    <t>공사기준명</t>
    <phoneticPr fontId="1" type="noConversion"/>
  </si>
  <si>
    <t>p_cnstr_Std_Nm</t>
    <phoneticPr fontId="1" type="noConversion"/>
  </si>
  <si>
    <t>cnstrStdNm</t>
    <phoneticPr fontId="1" type="noConversion"/>
  </si>
  <si>
    <t>cnstr_Std_Nm</t>
    <phoneticPr fontId="1" type="noConversion"/>
  </si>
  <si>
    <t>p_cnstr_Std_Cls</t>
    <phoneticPr fontId="1" type="noConversion"/>
  </si>
  <si>
    <t>cnstrStdSeq</t>
    <phoneticPr fontId="1" type="noConversion"/>
  </si>
  <si>
    <t>cnstr_Std_Seq</t>
    <phoneticPr fontId="1" type="noConversion"/>
  </si>
  <si>
    <t>CarRprtFileDownloadDTO // 시정조치 보고서 파일 조회</t>
    <phoneticPr fontId="1" type="noConversion"/>
  </si>
  <si>
    <t>CsrBslFileDownloadDTO</t>
    <phoneticPr fontId="1" type="noConversion"/>
  </si>
  <si>
    <t>drw_list_file_download</t>
  </si>
  <si>
    <t>drw_list_file_download</t>
    <phoneticPr fontId="1" type="noConversion"/>
  </si>
  <si>
    <t>DrwListFileDownload</t>
    <phoneticPr fontId="1" type="noConversion"/>
  </si>
  <si>
    <t>도면조회 파일다운로드</t>
    <phoneticPr fontId="1" type="noConversion"/>
  </si>
  <si>
    <t>drw_list</t>
  </si>
  <si>
    <t>p_pln_Cls_Seq</t>
    <phoneticPr fontId="1" type="noConversion"/>
  </si>
  <si>
    <t>도면분류구분</t>
    <phoneticPr fontId="1" type="noConversion"/>
  </si>
  <si>
    <t>도면명</t>
    <phoneticPr fontId="1" type="noConversion"/>
  </si>
  <si>
    <t>p_pln_Nm</t>
    <phoneticPr fontId="1" type="noConversion"/>
  </si>
  <si>
    <t>도면번호</t>
  </si>
  <si>
    <t>도면번호</t>
    <phoneticPr fontId="1" type="noConversion"/>
  </si>
  <si>
    <t>plnSeq</t>
  </si>
  <si>
    <t>pln_Seq</t>
    <phoneticPr fontId="1" type="noConversion"/>
  </si>
  <si>
    <t>plnNm</t>
    <phoneticPr fontId="1" type="noConversion"/>
  </si>
  <si>
    <t>pln_Nm</t>
    <phoneticPr fontId="1" type="noConversion"/>
  </si>
  <si>
    <t>sysRegDate</t>
  </si>
  <si>
    <t>등록일</t>
    <phoneticPr fontId="1" type="noConversion"/>
  </si>
  <si>
    <t>sys_Reg_Date</t>
    <phoneticPr fontId="1" type="noConversion"/>
  </si>
  <si>
    <t>p_pln_Seq</t>
    <phoneticPr fontId="1" type="noConversion"/>
  </si>
  <si>
    <t>plnFileName</t>
    <phoneticPr fontId="1" type="noConversion"/>
  </si>
  <si>
    <t>pln_file_Name</t>
    <phoneticPr fontId="1" type="noConversion"/>
  </si>
  <si>
    <t>CodeDTO</t>
    <phoneticPr fontId="1" type="noConversion"/>
  </si>
  <si>
    <t>도면조회 공통코드 [대,중,소]</t>
    <phoneticPr fontId="1" type="noConversion"/>
  </si>
  <si>
    <t>pRprtSeq</t>
    <phoneticPr fontId="1" type="noConversion"/>
  </si>
  <si>
    <t>pRprtType</t>
    <phoneticPr fontId="1" type="noConversion"/>
  </si>
  <si>
    <t>pFileAsrt</t>
    <phoneticPr fontId="1" type="noConversion"/>
  </si>
  <si>
    <t>pCnstrStdCls</t>
    <phoneticPr fontId="1" type="noConversion"/>
  </si>
  <si>
    <t>pCnstrStdNm</t>
    <phoneticPr fontId="1" type="noConversion"/>
  </si>
  <si>
    <t>pCnstrStdSeq</t>
    <phoneticPr fontId="1" type="noConversion"/>
  </si>
  <si>
    <t>pPlnClsSeq</t>
    <phoneticPr fontId="1" type="noConversion"/>
  </si>
  <si>
    <t>pPlnNm</t>
    <phoneticPr fontId="1" type="noConversion"/>
  </si>
  <si>
    <t>pPlnSeq</t>
    <phoneticPr fontId="1" type="noConversion"/>
  </si>
  <si>
    <t>보고서 구분[부적합:NCR,시정조치:CAR]</t>
    <phoneticPr fontId="1" type="noConversion"/>
  </si>
  <si>
    <t>actRsltChk</t>
    <phoneticPr fontId="1" type="noConversion"/>
  </si>
  <si>
    <t>act_Rslt_Chk</t>
    <phoneticPr fontId="1" type="noConversion"/>
  </si>
  <si>
    <t>ncr_Img_Url</t>
    <phoneticPr fontId="1" type="noConversion"/>
  </si>
  <si>
    <t>ncr_Dtls</t>
    <phoneticPr fontId="1" type="noConversion"/>
  </si>
  <si>
    <t>rprtSeq</t>
    <phoneticPr fontId="1" type="noConversion"/>
  </si>
  <si>
    <t>요구서</t>
    <phoneticPr fontId="1" type="noConversion"/>
  </si>
  <si>
    <t>ncr_Dtls</t>
    <phoneticPr fontId="1" type="noConversion"/>
  </si>
  <si>
    <t>ncr_rprt_file_download</t>
    <phoneticPr fontId="1" type="noConversion"/>
  </si>
  <si>
    <t>ncr_rprt_file_download</t>
    <phoneticPr fontId="1" type="noConversion"/>
  </si>
  <si>
    <t>NcrRprtFileDownloadDTO // 부적합 보고서</t>
    <phoneticPr fontId="1" type="noConversion"/>
  </si>
  <si>
    <t>부적합 보고서 파일다운로드</t>
    <phoneticPr fontId="1" type="noConversion"/>
  </si>
  <si>
    <t>파일구분[조치요구:RQSTS,조치결과:RSLT]</t>
  </si>
  <si>
    <t>pFileAsrt</t>
  </si>
  <si>
    <t>p_file_Asrt</t>
  </si>
  <si>
    <t>공사기준구분 : DM01</t>
    <phoneticPr fontId="1" type="noConversion"/>
  </si>
  <si>
    <t>drw_list_file_download</t>
    <phoneticPr fontId="1" type="noConversion"/>
  </si>
  <si>
    <t>서비스구분</t>
    <phoneticPr fontId="1" type="noConversion"/>
  </si>
  <si>
    <t>부적합내용 이미지 실제파일명</t>
    <phoneticPr fontId="1" type="noConversion"/>
  </si>
  <si>
    <t>ncrImgFileName</t>
    <phoneticPr fontId="1" type="noConversion"/>
  </si>
  <si>
    <t>ncr_Img_File_Name</t>
    <phoneticPr fontId="1" type="noConversion"/>
  </si>
  <si>
    <t>조치결과 내용 이미지 실제파일명</t>
    <phoneticPr fontId="1" type="noConversion"/>
  </si>
  <si>
    <t>actRsltImgFileName</t>
    <phoneticPr fontId="1" type="noConversion"/>
  </si>
  <si>
    <t>act_Rslt_Img_File_Name</t>
    <phoneticPr fontId="1" type="noConversion"/>
  </si>
  <si>
    <t>파일다운로드</t>
    <phoneticPr fontId="1" type="noConversion"/>
  </si>
  <si>
    <t>fileUrl</t>
    <phoneticPr fontId="1" type="noConversion"/>
  </si>
  <si>
    <t>file_Url</t>
    <phoneticPr fontId="1" type="noConversion"/>
  </si>
  <si>
    <t>pic_mng_list</t>
  </si>
  <si>
    <t>날짜</t>
    <phoneticPr fontId="1" type="noConversion"/>
  </si>
  <si>
    <t>fileName</t>
    <phoneticPr fontId="1" type="noConversion"/>
  </si>
  <si>
    <t>pic_mng_dtl</t>
  </si>
  <si>
    <t>sysRegDt</t>
    <phoneticPr fontId="1" type="noConversion"/>
  </si>
  <si>
    <t>sys_Reg_Dt</t>
    <phoneticPr fontId="1" type="noConversion"/>
  </si>
  <si>
    <t>prt</t>
    <phoneticPr fontId="1" type="noConversion"/>
  </si>
  <si>
    <t>공사사진일련번호</t>
    <phoneticPr fontId="1" type="noConversion"/>
  </si>
  <si>
    <t>cnstrpht_seq</t>
  </si>
  <si>
    <t>cnstrphtSeq</t>
    <phoneticPr fontId="1" type="noConversion"/>
  </si>
  <si>
    <t>내용</t>
    <phoneticPr fontId="1" type="noConversion"/>
  </si>
  <si>
    <t>cnts</t>
    <phoneticPr fontId="1" type="noConversion"/>
  </si>
  <si>
    <t>사진관리사진정보조회</t>
    <phoneticPr fontId="1" type="noConversion"/>
  </si>
  <si>
    <t>사진관리사진정보저장</t>
    <phoneticPr fontId="1" type="noConversion"/>
  </si>
  <si>
    <t>W/U [작성/수정]</t>
    <phoneticPr fontId="1" type="noConversion"/>
  </si>
  <si>
    <t>pic_mng_item_list</t>
  </si>
  <si>
    <t>파일일련번호</t>
    <phoneticPr fontId="1" type="noConversion"/>
  </si>
  <si>
    <t>fileSeq</t>
    <phoneticPr fontId="1" type="noConversion"/>
  </si>
  <si>
    <t>file_Seq</t>
    <phoneticPr fontId="1" type="noConversion"/>
  </si>
  <si>
    <t>pic_mng_save</t>
  </si>
  <si>
    <t>pic_mng_save</t>
    <phoneticPr fontId="1" type="noConversion"/>
  </si>
  <si>
    <t>pic_mng_item_save</t>
  </si>
  <si>
    <t>multipart-request-parameter</t>
    <phoneticPr fontId="1" type="noConversion"/>
  </si>
  <si>
    <t>파일 정보</t>
    <phoneticPr fontId="1" type="noConversion"/>
  </si>
  <si>
    <t>pic_mng_item_delete</t>
  </si>
  <si>
    <t>pSiteNo</t>
    <phoneticPr fontId="1" type="noConversion"/>
  </si>
  <si>
    <t>pCnsttypecd</t>
    <phoneticPr fontId="1" type="noConversion"/>
  </si>
  <si>
    <t>pCnstrphtSeq</t>
    <phoneticPr fontId="1" type="noConversion"/>
  </si>
  <si>
    <t>p_cnstrpht_seq</t>
    <phoneticPr fontId="1" type="noConversion"/>
  </si>
  <si>
    <t>cnstrphtSeq</t>
    <phoneticPr fontId="1" type="noConversion"/>
  </si>
  <si>
    <t>cnstrpht_seq</t>
    <phoneticPr fontId="1" type="noConversion"/>
  </si>
  <si>
    <t>pYyyymm</t>
    <phoneticPr fontId="1" type="noConversion"/>
  </si>
  <si>
    <t>p_Yyyymm</t>
    <phoneticPr fontId="1" type="noConversion"/>
  </si>
  <si>
    <t>이름</t>
    <phoneticPr fontId="1" type="noConversion"/>
  </si>
  <si>
    <t>이름-참고</t>
    <phoneticPr fontId="1" type="noConversion"/>
  </si>
  <si>
    <t>검측체크리스트 작성이력</t>
    <phoneticPr fontId="1" type="noConversion"/>
  </si>
  <si>
    <t>검측체크리스트 목록</t>
    <phoneticPr fontId="1" type="noConversion"/>
  </si>
  <si>
    <t>atchSeq</t>
  </si>
  <si>
    <t>pAtchSeq</t>
    <phoneticPr fontId="1" type="noConversion"/>
  </si>
  <si>
    <t>p_Atch_Seq</t>
    <phoneticPr fontId="1" type="noConversion"/>
  </si>
  <si>
    <t>No</t>
  </si>
  <si>
    <t>파일 일련번호</t>
    <phoneticPr fontId="1" type="noConversion"/>
  </si>
  <si>
    <t>pic_mng_list</t>
    <phoneticPr fontId="1" type="noConversion"/>
  </si>
  <si>
    <t>사진관리</t>
  </si>
  <si>
    <t>pic_mng_item_list_file_download</t>
    <phoneticPr fontId="1" type="noConversion"/>
  </si>
  <si>
    <t>사진관리사진정보조회  파일다운로드</t>
    <phoneticPr fontId="1" type="noConversion"/>
  </si>
  <si>
    <t>picMngItemListFileDownloadDTO</t>
    <phoneticPr fontId="1" type="noConversion"/>
  </si>
  <si>
    <t>사진관리</t>
    <phoneticPr fontId="1" type="noConversion"/>
  </si>
  <si>
    <t>공사사진일련번호</t>
  </si>
  <si>
    <t>파일일련번호</t>
  </si>
  <si>
    <t>pCnstrphtSeq</t>
  </si>
  <si>
    <t>p_cnstrpht_seq</t>
  </si>
  <si>
    <t>multipart-request-parameter</t>
  </si>
  <si>
    <t>pFileSeq</t>
    <phoneticPr fontId="1" type="noConversion"/>
  </si>
  <si>
    <t>p_file_Seq</t>
    <phoneticPr fontId="1" type="noConversion"/>
  </si>
  <si>
    <t>uploadfile</t>
    <phoneticPr fontId="1" type="noConversion"/>
  </si>
  <si>
    <t>drw_list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</si>
</sst>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trike/>
      <sz val="11"/>
      <color theme="1"/>
      <name val="맑은 고딕"/>
      <family val="2"/>
      <charset val="129"/>
      <scheme val="minor"/>
    </font>
    <font>
      <strike/>
      <sz val="11"/>
      <color theme="1"/>
      <name val="맑은 고딕"/>
      <family val="3"/>
      <charset val="129"/>
      <scheme val="minor"/>
    </font>
    <font>
      <b/>
      <strike/>
      <sz val="11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6"/>
      <color rgb="FF000000"/>
      <name val="굴림체"/>
      <family val="3"/>
      <charset val="129"/>
    </font>
    <font>
      <sz val="9"/>
      <color rgb="FFFF0000"/>
      <name val="맑은 고딕"/>
      <family val="3"/>
      <charset val="129"/>
      <scheme val="minor"/>
    </font>
    <font>
      <strike/>
      <sz val="9"/>
      <color rgb="FFFF00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2" fillId="2" borderId="1" xfId="0" applyFont="1" applyFill="1" applyBorder="1">
      <alignment vertical="center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0" fillId="0" borderId="1" xfId="0" applyBorder="1" applyAlignment="1"/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7" fillId="0" borderId="0" xfId="0" applyFont="1">
      <alignment vertical="center"/>
    </xf>
    <xf numFmtId="0" fontId="4" fillId="2" borderId="1" xfId="0" applyFont="1" applyFill="1" applyBorder="1" applyAlignment="1">
      <alignment vertical="center" wrapText="1"/>
    </xf>
    <xf numFmtId="0" fontId="4" fillId="2" borderId="0" xfId="0" applyFont="1" applyFill="1">
      <alignment vertical="center"/>
    </xf>
    <xf numFmtId="0" fontId="4" fillId="2" borderId="3" xfId="0" applyFont="1" applyFill="1" applyBorder="1" applyAlignment="1">
      <alignment vertical="center" wrapText="1"/>
    </xf>
    <xf numFmtId="0" fontId="4" fillId="2" borderId="4" xfId="0" applyFont="1" applyFill="1" applyBorder="1" applyAlignment="1">
      <alignment vertical="center" wrapText="1"/>
    </xf>
    <xf numFmtId="0" fontId="4" fillId="2" borderId="5" xfId="0" applyFont="1" applyFill="1" applyBorder="1">
      <alignment vertical="center"/>
    </xf>
    <xf numFmtId="0" fontId="4" fillId="2" borderId="7" xfId="0" applyFont="1" applyFill="1" applyBorder="1" applyAlignment="1">
      <alignment vertical="center" wrapText="1"/>
    </xf>
    <xf numFmtId="0" fontId="4" fillId="0" borderId="6" xfId="0" applyFont="1" applyBorder="1">
      <alignment vertical="center"/>
    </xf>
    <xf numFmtId="0" fontId="8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top" wrapText="1"/>
    </xf>
    <xf numFmtId="0" fontId="9" fillId="0" borderId="0" xfId="0" applyFont="1">
      <alignment vertical="center"/>
    </xf>
    <xf numFmtId="0" fontId="4" fillId="4" borderId="7" xfId="0" applyFont="1" applyFill="1" applyBorder="1" applyAlignment="1">
      <alignment vertical="center" wrapText="1"/>
    </xf>
    <xf numFmtId="0" fontId="4" fillId="4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0" borderId="8" xfId="0" applyFont="1" applyBorder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4" fillId="5" borderId="4" xfId="0" applyFont="1" applyFill="1" applyBorder="1" applyAlignment="1">
      <alignment vertical="center" wrapText="1"/>
    </xf>
    <xf numFmtId="0" fontId="4" fillId="5" borderId="0" xfId="0" applyFont="1" applyFill="1">
      <alignment vertical="center"/>
    </xf>
    <xf numFmtId="0" fontId="4" fillId="5" borderId="5" xfId="0" applyFont="1" applyFill="1" applyBorder="1">
      <alignment vertical="center"/>
    </xf>
    <xf numFmtId="0" fontId="4" fillId="5" borderId="6" xfId="0" applyFont="1" applyFill="1" applyBorder="1">
      <alignment vertical="center"/>
    </xf>
    <xf numFmtId="0" fontId="4" fillId="0" borderId="0" xfId="0" applyFont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4" xfId="0" applyFont="1" applyFill="1" applyBorder="1" applyAlignment="1">
      <alignment vertical="center" wrapText="1"/>
    </xf>
    <xf numFmtId="0" fontId="4" fillId="2" borderId="15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 applyAlignment="1">
      <alignment vertical="center" wrapText="1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2" borderId="0" xfId="0" applyFont="1" applyFill="1" applyBorder="1">
      <alignment vertical="center"/>
    </xf>
    <xf numFmtId="0" fontId="11" fillId="0" borderId="4" xfId="0" applyFont="1" applyBorder="1" applyAlignment="1">
      <alignment vertical="center" wrapText="1"/>
    </xf>
    <xf numFmtId="0" fontId="12" fillId="0" borderId="0" xfId="0" applyFont="1" applyAlignment="1">
      <alignment horizontal="center" vertical="center" readingOrder="1"/>
    </xf>
    <xf numFmtId="0" fontId="4" fillId="5" borderId="3" xfId="0" applyFont="1" applyFill="1" applyBorder="1" applyAlignment="1">
      <alignment vertical="center" wrapText="1"/>
    </xf>
    <xf numFmtId="0" fontId="4" fillId="0" borderId="0" xfId="0" applyFont="1" applyFill="1">
      <alignment vertical="center"/>
    </xf>
    <xf numFmtId="0" fontId="4" fillId="0" borderId="1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17" xfId="0" applyFont="1" applyBorder="1">
      <alignment vertical="center"/>
    </xf>
    <xf numFmtId="0" fontId="4" fillId="0" borderId="8" xfId="0" applyFont="1" applyFill="1" applyBorder="1" applyAlignment="1">
      <alignment vertical="center" wrapText="1"/>
    </xf>
    <xf numFmtId="0" fontId="4" fillId="0" borderId="2" xfId="0" applyFont="1" applyFill="1" applyBorder="1" applyAlignment="1">
      <alignment vertical="center" wrapText="1"/>
    </xf>
    <xf numFmtId="0" fontId="4" fillId="0" borderId="16" xfId="0" applyFont="1" applyFill="1" applyBorder="1">
      <alignment vertical="center"/>
    </xf>
    <xf numFmtId="0" fontId="4" fillId="0" borderId="4" xfId="0" applyFont="1" applyFill="1" applyBorder="1" applyAlignment="1">
      <alignment vertical="center" wrapText="1"/>
    </xf>
    <xf numFmtId="0" fontId="4" fillId="0" borderId="5" xfId="0" applyFont="1" applyFill="1" applyBorder="1">
      <alignment vertical="center"/>
    </xf>
    <xf numFmtId="0" fontId="4" fillId="0" borderId="7" xfId="0" applyFont="1" applyFill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4" fillId="2" borderId="16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3" xfId="0" applyFont="1" applyFill="1" applyBorder="1">
      <alignment vertical="center"/>
    </xf>
    <xf numFmtId="0" fontId="2" fillId="2" borderId="18" xfId="0" applyFont="1" applyFill="1" applyBorder="1">
      <alignment vertical="center"/>
    </xf>
    <xf numFmtId="0" fontId="0" fillId="0" borderId="18" xfId="0" applyBorder="1" applyAlignment="1">
      <alignment vertical="center" wrapText="1"/>
    </xf>
    <xf numFmtId="0" fontId="0" fillId="0" borderId="18" xfId="0" applyBorder="1" applyAlignment="1">
      <alignment vertical="top" wrapText="1"/>
    </xf>
    <xf numFmtId="0" fontId="3" fillId="0" borderId="18" xfId="0" applyFont="1" applyBorder="1" applyAlignment="1">
      <alignment vertical="center" wrapText="1"/>
    </xf>
    <xf numFmtId="0" fontId="9" fillId="0" borderId="18" xfId="0" applyFont="1" applyBorder="1" applyAlignment="1">
      <alignment vertical="center" wrapText="1"/>
    </xf>
    <xf numFmtId="0" fontId="2" fillId="2" borderId="19" xfId="0" applyFont="1" applyFill="1" applyBorder="1">
      <alignment vertical="center"/>
    </xf>
    <xf numFmtId="0" fontId="0" fillId="0" borderId="19" xfId="0" applyBorder="1">
      <alignment vertical="center"/>
    </xf>
    <xf numFmtId="0" fontId="0" fillId="0" borderId="19" xfId="0" applyBorder="1" applyAlignment="1">
      <alignment vertical="top"/>
    </xf>
    <xf numFmtId="0" fontId="0" fillId="0" borderId="19" xfId="0" applyBorder="1" applyAlignment="1">
      <alignment vertical="top" wrapText="1"/>
    </xf>
    <xf numFmtId="0" fontId="8" fillId="0" borderId="19" xfId="0" applyFont="1" applyBorder="1">
      <alignment vertical="center"/>
    </xf>
    <xf numFmtId="0" fontId="3" fillId="0" borderId="19" xfId="0" applyFont="1" applyBorder="1" applyAlignment="1">
      <alignment vertical="center" wrapText="1"/>
    </xf>
    <xf numFmtId="0" fontId="0" fillId="0" borderId="20" xfId="0" applyBorder="1">
      <alignment vertical="center"/>
    </xf>
    <xf numFmtId="0" fontId="2" fillId="2" borderId="21" xfId="0" applyFont="1" applyFill="1" applyBorder="1">
      <alignment vertical="center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vertical="top" wrapText="1"/>
    </xf>
    <xf numFmtId="0" fontId="3" fillId="0" borderId="21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readingOrder="1"/>
    </xf>
    <xf numFmtId="0" fontId="0" fillId="0" borderId="22" xfId="0" applyBorder="1">
      <alignment vertical="center"/>
    </xf>
    <xf numFmtId="0" fontId="4" fillId="6" borderId="0" xfId="0" applyFont="1" applyFill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6" borderId="2" xfId="0" applyFont="1" applyFill="1" applyBorder="1" applyAlignment="1">
      <alignment vertical="center" wrapText="1"/>
    </xf>
    <xf numFmtId="0" fontId="4" fillId="0" borderId="17" xfId="0" applyFont="1" applyFill="1" applyBorder="1">
      <alignment vertical="center"/>
    </xf>
    <xf numFmtId="0" fontId="4" fillId="6" borderId="16" xfId="0" applyFont="1" applyFill="1" applyBorder="1">
      <alignment vertical="center"/>
    </xf>
    <xf numFmtId="0" fontId="4" fillId="6" borderId="4" xfId="0" applyFont="1" applyFill="1" applyBorder="1" applyAlignment="1">
      <alignment vertical="center" wrapText="1"/>
    </xf>
    <xf numFmtId="0" fontId="4" fillId="6" borderId="5" xfId="0" applyFont="1" applyFill="1" applyBorder="1">
      <alignment vertical="center"/>
    </xf>
    <xf numFmtId="0" fontId="4" fillId="6" borderId="7" xfId="0" applyFont="1" applyFill="1" applyBorder="1" applyAlignment="1">
      <alignment vertical="center" wrapText="1"/>
    </xf>
    <xf numFmtId="0" fontId="4" fillId="7" borderId="0" xfId="0" applyFont="1" applyFill="1">
      <alignment vertical="center"/>
    </xf>
    <xf numFmtId="0" fontId="4" fillId="7" borderId="1" xfId="0" applyFont="1" applyFill="1" applyBorder="1" applyAlignment="1">
      <alignment vertical="center" wrapText="1"/>
    </xf>
    <xf numFmtId="0" fontId="4" fillId="7" borderId="2" xfId="0" applyFont="1" applyFill="1" applyBorder="1" applyAlignment="1">
      <alignment vertical="center" wrapText="1"/>
    </xf>
    <xf numFmtId="0" fontId="4" fillId="8" borderId="5" xfId="0" applyFont="1" applyFill="1" applyBorder="1">
      <alignment vertical="center"/>
    </xf>
    <xf numFmtId="0" fontId="4" fillId="8" borderId="7" xfId="0" applyFont="1" applyFill="1" applyBorder="1" applyAlignment="1">
      <alignment vertical="center" wrapText="1"/>
    </xf>
    <xf numFmtId="0" fontId="4" fillId="7" borderId="6" xfId="0" applyFont="1" applyFill="1" applyBorder="1">
      <alignment vertical="center"/>
    </xf>
    <xf numFmtId="0" fontId="4" fillId="7" borderId="3" xfId="0" applyFont="1" applyFill="1" applyBorder="1" applyAlignment="1">
      <alignment vertical="center" wrapText="1"/>
    </xf>
    <xf numFmtId="0" fontId="4" fillId="7" borderId="4" xfId="0" applyFont="1" applyFill="1" applyBorder="1" applyAlignment="1">
      <alignment vertical="center" wrapText="1"/>
    </xf>
    <xf numFmtId="0" fontId="4" fillId="7" borderId="5" xfId="0" applyFont="1" applyFill="1" applyBorder="1">
      <alignment vertical="center"/>
    </xf>
    <xf numFmtId="0" fontId="4" fillId="7" borderId="7" xfId="0" applyFont="1" applyFill="1" applyBorder="1" applyAlignment="1">
      <alignment vertical="center" wrapText="1"/>
    </xf>
    <xf numFmtId="0" fontId="13" fillId="3" borderId="6" xfId="0" applyFont="1" applyFill="1" applyBorder="1">
      <alignment vertical="center"/>
    </xf>
    <xf numFmtId="0" fontId="14" fillId="3" borderId="1" xfId="0" applyFont="1" applyFill="1" applyBorder="1" applyAlignment="1">
      <alignment vertical="center" wrapText="1"/>
    </xf>
    <xf numFmtId="0" fontId="13" fillId="3" borderId="1" xfId="0" applyFont="1" applyFill="1" applyBorder="1" applyAlignment="1">
      <alignment vertical="center" wrapText="1"/>
    </xf>
    <xf numFmtId="0" fontId="13" fillId="3" borderId="17" xfId="0" applyFont="1" applyFill="1" applyBorder="1">
      <alignment vertical="center"/>
    </xf>
    <xf numFmtId="0" fontId="13" fillId="3" borderId="5" xfId="0" applyFont="1" applyFill="1" applyBorder="1">
      <alignment vertical="center"/>
    </xf>
    <xf numFmtId="0" fontId="14" fillId="3" borderId="7" xfId="0" applyFont="1" applyFill="1" applyBorder="1" applyAlignment="1">
      <alignment vertical="center" wrapText="1"/>
    </xf>
    <xf numFmtId="0" fontId="13" fillId="3" borderId="7" xfId="0" applyFont="1" applyFill="1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P48"/>
  <sheetViews>
    <sheetView tabSelected="1" topLeftCell="F1" zoomScale="85" zoomScaleNormal="85" workbookViewId="0">
      <pane ySplit="2" topLeftCell="A3" activePane="bottomLeft" state="frozen"/>
      <selection pane="bottomLeft" activeCell="L24" sqref="L24"/>
    </sheetView>
  </sheetViews>
  <sheetFormatPr defaultRowHeight="16.5" x14ac:dyDescent="0.3"/>
  <cols>
    <col min="2" max="2" width="16.125" bestFit="1" customWidth="1"/>
    <col min="3" max="3" width="27.125" customWidth="1"/>
    <col min="4" max="4" width="24.25" style="85" customWidth="1"/>
    <col min="5" max="5" width="49" customWidth="1"/>
    <col min="6" max="7" width="24.125" bestFit="1" customWidth="1"/>
    <col min="8" max="9" width="13.125" bestFit="1" customWidth="1"/>
    <col min="10" max="10" width="21" customWidth="1"/>
    <col min="11" max="11" width="34.875" customWidth="1"/>
    <col min="12" max="12" width="52.125" bestFit="1" customWidth="1"/>
    <col min="13" max="13" width="67.25" bestFit="1" customWidth="1"/>
  </cols>
  <sheetData>
    <row r="1" spans="2:16" x14ac:dyDescent="0.3">
      <c r="C1" t="s">
        <v>60</v>
      </c>
      <c r="D1" s="79" t="s">
        <v>60</v>
      </c>
    </row>
    <row r="2" spans="2:16" x14ac:dyDescent="0.3">
      <c r="B2" s="3" t="s">
        <v>0</v>
      </c>
      <c r="C2" s="68" t="s">
        <v>507</v>
      </c>
      <c r="D2" s="80" t="s">
        <v>33</v>
      </c>
      <c r="E2" s="73"/>
      <c r="F2" s="3" t="s">
        <v>138</v>
      </c>
      <c r="G2" s="3" t="s">
        <v>139</v>
      </c>
      <c r="H2" s="3" t="s">
        <v>14</v>
      </c>
      <c r="I2" s="3" t="s">
        <v>14</v>
      </c>
      <c r="J2" s="3" t="s">
        <v>3</v>
      </c>
      <c r="K2" s="3" t="s">
        <v>126</v>
      </c>
      <c r="L2" s="3" t="s">
        <v>125</v>
      </c>
      <c r="M2" s="3"/>
      <c r="N2" s="3"/>
      <c r="O2" s="3"/>
      <c r="P2" s="3"/>
    </row>
    <row r="3" spans="2:16" x14ac:dyDescent="0.3">
      <c r="B3" s="1" t="s">
        <v>1</v>
      </c>
      <c r="C3" s="69" t="s">
        <v>61</v>
      </c>
      <c r="D3" s="81" t="s">
        <v>61</v>
      </c>
      <c r="E3" s="74" t="s">
        <v>229</v>
      </c>
      <c r="F3" s="2" t="s">
        <v>2</v>
      </c>
      <c r="G3" s="2" t="s">
        <v>31</v>
      </c>
      <c r="H3" s="2" t="s">
        <v>10</v>
      </c>
      <c r="I3" s="2" t="s">
        <v>10</v>
      </c>
      <c r="J3" s="2" t="s">
        <v>4</v>
      </c>
      <c r="K3" s="2" t="s">
        <v>5</v>
      </c>
      <c r="L3" s="2"/>
      <c r="M3" s="5"/>
      <c r="N3" s="1"/>
      <c r="O3" s="1"/>
      <c r="P3" s="1"/>
    </row>
    <row r="4" spans="2:16" x14ac:dyDescent="0.3">
      <c r="B4" s="1" t="s">
        <v>1</v>
      </c>
      <c r="C4" s="69"/>
      <c r="D4" s="81"/>
      <c r="E4" s="74"/>
      <c r="F4" s="2"/>
      <c r="G4" s="2"/>
      <c r="H4" s="2"/>
      <c r="I4" s="2"/>
      <c r="J4" s="2"/>
      <c r="K4" s="2" t="s">
        <v>15</v>
      </c>
      <c r="L4" s="2"/>
      <c r="M4" s="1"/>
      <c r="N4" s="1"/>
      <c r="O4" s="1"/>
      <c r="P4" s="1"/>
    </row>
    <row r="5" spans="2:16" x14ac:dyDescent="0.3">
      <c r="B5" s="1" t="s">
        <v>1</v>
      </c>
      <c r="C5" s="69"/>
      <c r="D5" s="81"/>
      <c r="E5" s="74"/>
      <c r="F5" s="2"/>
      <c r="G5" s="2"/>
      <c r="H5" s="2"/>
      <c r="I5" s="2"/>
      <c r="J5" s="2"/>
      <c r="K5" s="2" t="s">
        <v>16</v>
      </c>
      <c r="L5" s="2" t="s">
        <v>44</v>
      </c>
      <c r="M5" s="1"/>
      <c r="N5" s="1"/>
      <c r="O5" s="1"/>
      <c r="P5" s="1"/>
    </row>
    <row r="6" spans="2:16" x14ac:dyDescent="0.3">
      <c r="B6" s="1" t="s">
        <v>1</v>
      </c>
      <c r="C6" s="69"/>
      <c r="D6" s="81"/>
      <c r="E6" s="74"/>
      <c r="F6" s="2"/>
      <c r="G6" s="2"/>
      <c r="H6" s="2"/>
      <c r="I6" s="2"/>
      <c r="J6" s="2"/>
      <c r="K6" s="2"/>
      <c r="L6" s="2" t="s">
        <v>225</v>
      </c>
      <c r="M6" s="1"/>
      <c r="N6" s="1"/>
      <c r="O6" s="1"/>
      <c r="P6" s="1"/>
    </row>
    <row r="7" spans="2:16" s="4" customFormat="1" ht="21.75" customHeight="1" x14ac:dyDescent="0.3">
      <c r="B7" s="5" t="s">
        <v>1</v>
      </c>
      <c r="C7" s="70" t="s">
        <v>38</v>
      </c>
      <c r="D7" s="82" t="str">
        <f>ToCamelLower(C7)</f>
        <v>codeControlSite</v>
      </c>
      <c r="E7" s="75"/>
      <c r="F7" s="6" t="s">
        <v>8</v>
      </c>
      <c r="G7" s="6" t="s">
        <v>8</v>
      </c>
      <c r="H7" s="6" t="s">
        <v>224</v>
      </c>
      <c r="I7" s="6" t="s">
        <v>224</v>
      </c>
      <c r="J7" s="6" t="s">
        <v>17</v>
      </c>
      <c r="K7" s="6" t="s">
        <v>286</v>
      </c>
      <c r="L7" s="6" t="s">
        <v>222</v>
      </c>
      <c r="M7" s="6" t="s">
        <v>43</v>
      </c>
      <c r="N7" s="5"/>
      <c r="O7" s="5"/>
      <c r="P7" s="5"/>
    </row>
    <row r="8" spans="2:16" s="4" customFormat="1" ht="21.75" customHeight="1" x14ac:dyDescent="0.3">
      <c r="B8" s="5" t="s">
        <v>1</v>
      </c>
      <c r="C8" s="70" t="s">
        <v>39</v>
      </c>
      <c r="D8" s="82" t="str">
        <f t="shared" ref="D8:D45" si="0">ToCamelLower(C8)</f>
        <v>codeChargeSite</v>
      </c>
      <c r="E8" s="75"/>
      <c r="F8" s="6" t="s">
        <v>7</v>
      </c>
      <c r="G8" s="6" t="s">
        <v>7</v>
      </c>
      <c r="H8" s="6" t="s">
        <v>130</v>
      </c>
      <c r="I8" s="6" t="s">
        <v>130</v>
      </c>
      <c r="J8" s="6" t="s">
        <v>19</v>
      </c>
      <c r="K8" s="6" t="s">
        <v>287</v>
      </c>
      <c r="L8" s="6" t="s">
        <v>202</v>
      </c>
      <c r="M8" s="6" t="s">
        <v>43</v>
      </c>
      <c r="N8" s="5"/>
      <c r="O8" s="5"/>
      <c r="P8" s="5"/>
    </row>
    <row r="9" spans="2:16" s="4" customFormat="1" ht="21.75" customHeight="1" x14ac:dyDescent="0.3">
      <c r="B9" s="5" t="s">
        <v>1</v>
      </c>
      <c r="C9" s="70" t="s">
        <v>40</v>
      </c>
      <c r="D9" s="82" t="str">
        <f t="shared" si="0"/>
        <v>codeCnsttypecd</v>
      </c>
      <c r="E9" s="75"/>
      <c r="F9" s="6" t="s">
        <v>9</v>
      </c>
      <c r="G9" s="6" t="s">
        <v>9</v>
      </c>
      <c r="H9" s="6" t="s">
        <v>12</v>
      </c>
      <c r="I9" s="6" t="s">
        <v>12</v>
      </c>
      <c r="J9" s="6" t="s">
        <v>20</v>
      </c>
      <c r="K9" s="6" t="s">
        <v>288</v>
      </c>
      <c r="L9" s="6" t="s">
        <v>202</v>
      </c>
      <c r="M9" s="6" t="s">
        <v>43</v>
      </c>
      <c r="N9" s="5"/>
      <c r="O9" s="5"/>
      <c r="P9" s="5"/>
    </row>
    <row r="10" spans="2:16" s="4" customFormat="1" ht="21.75" customHeight="1" x14ac:dyDescent="0.3">
      <c r="B10" s="5" t="s">
        <v>1</v>
      </c>
      <c r="C10" s="70" t="s">
        <v>41</v>
      </c>
      <c r="D10" s="82" t="str">
        <f t="shared" si="0"/>
        <v>codeDtlcnsttypecd</v>
      </c>
      <c r="E10" s="76" t="s">
        <v>223</v>
      </c>
      <c r="F10" s="6" t="s">
        <v>11</v>
      </c>
      <c r="G10" s="6" t="s">
        <v>11</v>
      </c>
      <c r="H10" s="6" t="s">
        <v>13</v>
      </c>
      <c r="I10" s="6" t="s">
        <v>13</v>
      </c>
      <c r="J10" s="6" t="s">
        <v>21</v>
      </c>
      <c r="K10" s="6" t="s">
        <v>289</v>
      </c>
      <c r="L10" s="6" t="s">
        <v>202</v>
      </c>
      <c r="M10" s="6" t="s">
        <v>43</v>
      </c>
      <c r="N10" s="5"/>
      <c r="O10" s="5"/>
      <c r="P10" s="5"/>
    </row>
    <row r="11" spans="2:16" s="4" customFormat="1" ht="21.75" customHeight="1" x14ac:dyDescent="0.3">
      <c r="B11" s="5" t="s">
        <v>1</v>
      </c>
      <c r="C11" s="70" t="s">
        <v>42</v>
      </c>
      <c r="D11" s="82" t="str">
        <f t="shared" si="0"/>
        <v>codeCommon</v>
      </c>
      <c r="E11" s="76" t="s">
        <v>26</v>
      </c>
      <c r="F11" s="6" t="s">
        <v>23</v>
      </c>
      <c r="G11" s="6" t="s">
        <v>32</v>
      </c>
      <c r="H11" s="6" t="s">
        <v>24</v>
      </c>
      <c r="I11" s="6" t="s">
        <v>24</v>
      </c>
      <c r="J11" s="6" t="s">
        <v>25</v>
      </c>
      <c r="K11" s="6" t="s">
        <v>290</v>
      </c>
      <c r="L11" s="6" t="s">
        <v>202</v>
      </c>
      <c r="M11" s="6" t="s">
        <v>43</v>
      </c>
      <c r="N11" s="5"/>
      <c r="O11" s="5"/>
      <c r="P11" s="5"/>
    </row>
    <row r="12" spans="2:16" x14ac:dyDescent="0.3">
      <c r="B12" s="1" t="s">
        <v>53</v>
      </c>
      <c r="C12" s="71" t="s">
        <v>75</v>
      </c>
      <c r="D12" s="82" t="str">
        <f t="shared" si="0"/>
        <v>testChkMain</v>
      </c>
      <c r="E12" s="74" t="s">
        <v>230</v>
      </c>
      <c r="F12" s="8" t="s">
        <v>553</v>
      </c>
      <c r="G12" s="8" t="s">
        <v>553</v>
      </c>
      <c r="H12" s="2" t="s">
        <v>18</v>
      </c>
      <c r="I12" s="2" t="s">
        <v>18</v>
      </c>
      <c r="J12" s="1" t="s">
        <v>128</v>
      </c>
      <c r="K12" s="6" t="s">
        <v>280</v>
      </c>
      <c r="L12" s="6" t="s">
        <v>202</v>
      </c>
      <c r="M12" s="1"/>
      <c r="N12" s="1"/>
      <c r="O12" s="1"/>
      <c r="P12" s="1"/>
    </row>
    <row r="13" spans="2:16" x14ac:dyDescent="0.3">
      <c r="B13" s="1" t="s">
        <v>53</v>
      </c>
      <c r="C13" s="71" t="s">
        <v>74</v>
      </c>
      <c r="D13" s="82" t="str">
        <f t="shared" si="0"/>
        <v>testChkList</v>
      </c>
      <c r="E13" s="74" t="s">
        <v>231</v>
      </c>
      <c r="F13" s="8" t="s">
        <v>552</v>
      </c>
      <c r="G13" s="8" t="s">
        <v>552</v>
      </c>
      <c r="H13" s="2" t="s">
        <v>18</v>
      </c>
      <c r="I13" s="2" t="s">
        <v>18</v>
      </c>
      <c r="J13" s="1"/>
      <c r="K13" s="6" t="s">
        <v>280</v>
      </c>
      <c r="L13" s="6" t="s">
        <v>202</v>
      </c>
      <c r="M13" s="1"/>
      <c r="N13" s="1"/>
      <c r="O13" s="1"/>
      <c r="P13" s="1"/>
    </row>
    <row r="14" spans="2:16" ht="33" x14ac:dyDescent="0.3">
      <c r="B14" s="1" t="s">
        <v>22</v>
      </c>
      <c r="C14" s="71" t="s">
        <v>315</v>
      </c>
      <c r="D14" s="82" t="str">
        <f t="shared" si="0"/>
        <v>bldChkupWrtSave</v>
      </c>
      <c r="E14" s="74" t="s">
        <v>285</v>
      </c>
      <c r="F14" s="8" t="s">
        <v>283</v>
      </c>
      <c r="G14" s="8" t="s">
        <v>317</v>
      </c>
      <c r="H14" s="2" t="s">
        <v>18</v>
      </c>
      <c r="I14" s="2" t="s">
        <v>18</v>
      </c>
      <c r="J14" s="1"/>
      <c r="K14" s="6" t="s">
        <v>281</v>
      </c>
      <c r="L14" s="6" t="s">
        <v>204</v>
      </c>
      <c r="M14" s="1"/>
      <c r="N14" s="1"/>
      <c r="O14" s="1"/>
      <c r="P14" s="1"/>
    </row>
    <row r="15" spans="2:16" s="31" customFormat="1" ht="33" x14ac:dyDescent="0.3">
      <c r="B15" s="27" t="s">
        <v>22</v>
      </c>
      <c r="C15" s="72" t="s">
        <v>200</v>
      </c>
      <c r="D15" s="82" t="str">
        <f t="shared" si="0"/>
        <v>bldChkupWrtItemSave</v>
      </c>
      <c r="E15" s="77" t="s">
        <v>285</v>
      </c>
      <c r="F15" s="29" t="s">
        <v>50</v>
      </c>
      <c r="G15" s="29" t="s">
        <v>284</v>
      </c>
      <c r="H15" s="28" t="s">
        <v>18</v>
      </c>
      <c r="I15" s="28" t="s">
        <v>18</v>
      </c>
      <c r="J15" s="27"/>
      <c r="K15" s="30" t="s">
        <v>281</v>
      </c>
      <c r="L15" s="30" t="s">
        <v>204</v>
      </c>
      <c r="M15" s="27"/>
      <c r="N15" s="27"/>
      <c r="O15" s="27"/>
      <c r="P15" s="27"/>
    </row>
    <row r="16" spans="2:16" s="31" customFormat="1" ht="33" x14ac:dyDescent="0.3">
      <c r="B16" s="27" t="s">
        <v>22</v>
      </c>
      <c r="C16" s="72" t="s">
        <v>198</v>
      </c>
      <c r="D16" s="82" t="str">
        <f t="shared" si="0"/>
        <v>bldChkupWrtDtlSave</v>
      </c>
      <c r="E16" s="77" t="s">
        <v>232</v>
      </c>
      <c r="F16" s="29" t="s">
        <v>50</v>
      </c>
      <c r="G16" s="29" t="s">
        <v>201</v>
      </c>
      <c r="H16" s="28" t="s">
        <v>10</v>
      </c>
      <c r="I16" s="28" t="s">
        <v>10</v>
      </c>
      <c r="J16" s="27"/>
      <c r="K16" s="30" t="s">
        <v>280</v>
      </c>
      <c r="L16" s="30" t="s">
        <v>204</v>
      </c>
      <c r="M16" s="27"/>
      <c r="N16" s="27"/>
      <c r="O16" s="27"/>
      <c r="P16" s="27"/>
    </row>
    <row r="17" spans="2:16" ht="82.5" x14ac:dyDescent="0.3">
      <c r="B17" s="1" t="s">
        <v>22</v>
      </c>
      <c r="C17" s="71" t="s">
        <v>141</v>
      </c>
      <c r="D17" s="82" t="str">
        <f t="shared" si="0"/>
        <v>bldChkupWrtDupChk</v>
      </c>
      <c r="E17" s="74" t="s">
        <v>233</v>
      </c>
      <c r="F17" s="8" t="s">
        <v>50</v>
      </c>
      <c r="G17" s="7" t="s">
        <v>298</v>
      </c>
      <c r="H17" s="2" t="s">
        <v>18</v>
      </c>
      <c r="I17" s="2" t="s">
        <v>18</v>
      </c>
      <c r="J17" s="2" t="s">
        <v>27</v>
      </c>
      <c r="K17" s="6" t="s">
        <v>280</v>
      </c>
      <c r="L17" s="6" t="s">
        <v>203</v>
      </c>
      <c r="M17" s="1"/>
      <c r="N17" s="1"/>
      <c r="O17" s="1"/>
      <c r="P17" s="1"/>
    </row>
    <row r="18" spans="2:16" ht="33" x14ac:dyDescent="0.3">
      <c r="B18" s="1" t="s">
        <v>22</v>
      </c>
      <c r="C18" s="71" t="s">
        <v>214</v>
      </c>
      <c r="D18" s="82" t="str">
        <f t="shared" si="0"/>
        <v>bldChkupWrtItemList</v>
      </c>
      <c r="E18" s="74" t="s">
        <v>234</v>
      </c>
      <c r="F18" s="8" t="s">
        <v>50</v>
      </c>
      <c r="G18" s="8" t="s">
        <v>145</v>
      </c>
      <c r="H18" s="2" t="s">
        <v>18</v>
      </c>
      <c r="I18" s="2" t="s">
        <v>18</v>
      </c>
      <c r="J18" s="2"/>
      <c r="K18" s="6" t="s">
        <v>280</v>
      </c>
      <c r="L18" s="6" t="s">
        <v>202</v>
      </c>
      <c r="M18" s="1"/>
      <c r="N18" s="1"/>
      <c r="O18" s="1"/>
      <c r="P18" s="1"/>
    </row>
    <row r="19" spans="2:16" ht="33" x14ac:dyDescent="0.3">
      <c r="B19" s="1" t="s">
        <v>22</v>
      </c>
      <c r="C19" s="71" t="s">
        <v>165</v>
      </c>
      <c r="D19" s="82" t="str">
        <f t="shared" si="0"/>
        <v>bldChkupWrtDtl</v>
      </c>
      <c r="E19" s="74" t="s">
        <v>235</v>
      </c>
      <c r="F19" s="8" t="s">
        <v>50</v>
      </c>
      <c r="G19" s="8" t="s">
        <v>166</v>
      </c>
      <c r="H19" s="2" t="s">
        <v>18</v>
      </c>
      <c r="I19" s="2" t="s">
        <v>18</v>
      </c>
      <c r="J19" s="2"/>
      <c r="K19" s="6" t="s">
        <v>280</v>
      </c>
      <c r="L19" s="6" t="s">
        <v>203</v>
      </c>
      <c r="M19" s="1"/>
      <c r="N19" s="1"/>
      <c r="O19" s="1"/>
      <c r="P19" s="1"/>
    </row>
    <row r="20" spans="2:16" x14ac:dyDescent="0.3">
      <c r="B20" s="1" t="s">
        <v>22</v>
      </c>
      <c r="C20" s="71" t="s">
        <v>167</v>
      </c>
      <c r="D20" s="82" t="str">
        <f t="shared" si="0"/>
        <v>testReqDocDtl</v>
      </c>
      <c r="E20" s="74" t="s">
        <v>236</v>
      </c>
      <c r="F20" s="8" t="s">
        <v>51</v>
      </c>
      <c r="G20" s="8" t="s">
        <v>282</v>
      </c>
      <c r="H20" s="2" t="s">
        <v>18</v>
      </c>
      <c r="I20" s="2" t="s">
        <v>18</v>
      </c>
      <c r="J20" s="2"/>
      <c r="K20" s="6" t="s">
        <v>280</v>
      </c>
      <c r="L20" s="6" t="s">
        <v>203</v>
      </c>
      <c r="M20" s="1"/>
      <c r="N20" s="1"/>
      <c r="O20" s="1"/>
      <c r="P20" s="1"/>
    </row>
    <row r="21" spans="2:16" x14ac:dyDescent="0.3">
      <c r="B21" s="1" t="s">
        <v>22</v>
      </c>
      <c r="C21" s="71" t="s">
        <v>168</v>
      </c>
      <c r="D21" s="82" t="str">
        <f t="shared" si="0"/>
        <v>testReqDocSave</v>
      </c>
      <c r="E21" s="74" t="s">
        <v>237</v>
      </c>
      <c r="F21" s="8" t="s">
        <v>51</v>
      </c>
      <c r="G21" s="8" t="s">
        <v>29</v>
      </c>
      <c r="H21" s="2" t="s">
        <v>10</v>
      </c>
      <c r="I21" s="2" t="s">
        <v>10</v>
      </c>
      <c r="J21" s="2" t="s">
        <v>28</v>
      </c>
      <c r="K21" s="6" t="s">
        <v>280</v>
      </c>
      <c r="L21" s="6" t="s">
        <v>204</v>
      </c>
      <c r="M21" s="1"/>
      <c r="N21" s="1"/>
      <c r="O21" s="1"/>
      <c r="P21" s="1"/>
    </row>
    <row r="22" spans="2:16" x14ac:dyDescent="0.3">
      <c r="B22" s="1" t="s">
        <v>6</v>
      </c>
      <c r="C22" s="71" t="s">
        <v>190</v>
      </c>
      <c r="D22" s="82" t="str">
        <f t="shared" si="0"/>
        <v>testRsltWrtList</v>
      </c>
      <c r="E22" s="74" t="s">
        <v>238</v>
      </c>
      <c r="F22" s="8" t="s">
        <v>55</v>
      </c>
      <c r="G22" s="8" t="s">
        <v>186</v>
      </c>
      <c r="H22" s="2" t="s">
        <v>18</v>
      </c>
      <c r="I22" s="2" t="s">
        <v>18</v>
      </c>
      <c r="J22" s="2"/>
      <c r="K22" s="6" t="s">
        <v>280</v>
      </c>
      <c r="L22" s="6" t="s">
        <v>202</v>
      </c>
      <c r="M22" s="1"/>
      <c r="N22" s="1"/>
      <c r="O22" s="1"/>
      <c r="P22" s="1"/>
    </row>
    <row r="23" spans="2:16" x14ac:dyDescent="0.3">
      <c r="B23" s="1" t="s">
        <v>6</v>
      </c>
      <c r="C23" s="71" t="s">
        <v>192</v>
      </c>
      <c r="D23" s="82" t="str">
        <f t="shared" si="0"/>
        <v>testRsltWrtSave</v>
      </c>
      <c r="E23" s="74" t="s">
        <v>239</v>
      </c>
      <c r="F23" s="8" t="s">
        <v>55</v>
      </c>
      <c r="G23" s="8" t="s">
        <v>187</v>
      </c>
      <c r="H23" s="2" t="s">
        <v>10</v>
      </c>
      <c r="I23" s="2" t="s">
        <v>10</v>
      </c>
      <c r="J23" s="2"/>
      <c r="K23" s="6" t="s">
        <v>281</v>
      </c>
      <c r="L23" s="6" t="s">
        <v>204</v>
      </c>
      <c r="M23" s="1"/>
      <c r="N23" s="1"/>
      <c r="O23" s="1"/>
      <c r="P23" s="1"/>
    </row>
    <row r="24" spans="2:16" x14ac:dyDescent="0.3">
      <c r="B24" s="1" t="s">
        <v>6</v>
      </c>
      <c r="C24" s="71" t="s">
        <v>206</v>
      </c>
      <c r="D24" s="82" t="str">
        <f t="shared" si="0"/>
        <v>testRsltNotiDtl</v>
      </c>
      <c r="E24" s="74" t="s">
        <v>240</v>
      </c>
      <c r="F24" s="8" t="s">
        <v>52</v>
      </c>
      <c r="G24" s="8" t="s">
        <v>188</v>
      </c>
      <c r="H24" s="2" t="s">
        <v>10</v>
      </c>
      <c r="I24" s="2" t="s">
        <v>10</v>
      </c>
      <c r="J24" s="2"/>
      <c r="K24" s="6" t="s">
        <v>280</v>
      </c>
      <c r="L24" s="6" t="s">
        <v>203</v>
      </c>
      <c r="M24" s="1"/>
      <c r="N24" s="1"/>
      <c r="O24" s="1"/>
      <c r="P24" s="1"/>
    </row>
    <row r="25" spans="2:16" x14ac:dyDescent="0.3">
      <c r="B25" s="1" t="s">
        <v>6</v>
      </c>
      <c r="C25" s="71" t="s">
        <v>194</v>
      </c>
      <c r="D25" s="82" t="str">
        <f t="shared" si="0"/>
        <v>testRsltNotiSave</v>
      </c>
      <c r="E25" s="74" t="s">
        <v>241</v>
      </c>
      <c r="F25" s="8" t="s">
        <v>52</v>
      </c>
      <c r="G25" s="8" t="s">
        <v>189</v>
      </c>
      <c r="H25" s="2" t="s">
        <v>18</v>
      </c>
      <c r="I25" s="2" t="s">
        <v>18</v>
      </c>
      <c r="J25" s="2"/>
      <c r="K25" s="6" t="s">
        <v>280</v>
      </c>
      <c r="L25" s="6" t="s">
        <v>204</v>
      </c>
      <c r="M25" s="1"/>
      <c r="N25" s="1"/>
      <c r="O25" s="1"/>
      <c r="P25" s="1"/>
    </row>
    <row r="26" spans="2:16" x14ac:dyDescent="0.3">
      <c r="B26" s="1"/>
      <c r="C26" s="71"/>
      <c r="D26" s="83"/>
      <c r="E26" s="74"/>
      <c r="F26" s="8"/>
      <c r="G26" s="8"/>
      <c r="H26" s="2"/>
      <c r="I26" s="2"/>
      <c r="J26" s="2"/>
      <c r="K26" s="2"/>
      <c r="L26" s="2"/>
      <c r="M26" s="1"/>
      <c r="N26" s="1"/>
      <c r="O26" s="1"/>
      <c r="P26" s="1"/>
    </row>
    <row r="27" spans="2:16" x14ac:dyDescent="0.3">
      <c r="B27" s="1" t="s">
        <v>351</v>
      </c>
      <c r="C27" s="71" t="s">
        <v>350</v>
      </c>
      <c r="D27" s="82" t="str">
        <f t="shared" si="0"/>
        <v>ncrRprtDtl</v>
      </c>
      <c r="E27" s="74" t="s">
        <v>356</v>
      </c>
      <c r="F27" s="8" t="s">
        <v>341</v>
      </c>
      <c r="G27" s="8" t="s">
        <v>346</v>
      </c>
      <c r="H27" s="2" t="s">
        <v>10</v>
      </c>
      <c r="I27" s="2" t="s">
        <v>10</v>
      </c>
      <c r="J27" s="2"/>
      <c r="K27" s="6" t="s">
        <v>280</v>
      </c>
      <c r="L27" s="6" t="s">
        <v>204</v>
      </c>
      <c r="M27" s="1"/>
      <c r="N27" s="1"/>
      <c r="O27" s="1"/>
      <c r="P27" s="1"/>
    </row>
    <row r="28" spans="2:16" ht="33" x14ac:dyDescent="0.3">
      <c r="B28" s="1" t="s">
        <v>351</v>
      </c>
      <c r="C28" s="71" t="s">
        <v>499</v>
      </c>
      <c r="D28" s="82" t="str">
        <f t="shared" si="0"/>
        <v>ncrRprtFileDownload</v>
      </c>
      <c r="E28" s="74" t="s">
        <v>500</v>
      </c>
      <c r="F28" s="8" t="s">
        <v>341</v>
      </c>
      <c r="G28" s="8" t="s">
        <v>501</v>
      </c>
      <c r="H28" s="2"/>
      <c r="I28" s="2"/>
      <c r="J28" s="2"/>
      <c r="K28" s="6" t="s">
        <v>280</v>
      </c>
      <c r="L28" s="2" t="s">
        <v>361</v>
      </c>
      <c r="M28" s="1"/>
      <c r="N28" s="1"/>
      <c r="O28" s="1"/>
      <c r="P28" s="1"/>
    </row>
    <row r="29" spans="2:16" x14ac:dyDescent="0.3">
      <c r="B29" s="1" t="s">
        <v>351</v>
      </c>
      <c r="C29" s="71" t="s">
        <v>352</v>
      </c>
      <c r="D29" s="82" t="str">
        <f t="shared" si="0"/>
        <v>carRprtDtl</v>
      </c>
      <c r="E29" s="74" t="s">
        <v>355</v>
      </c>
      <c r="F29" s="8" t="s">
        <v>353</v>
      </c>
      <c r="G29" s="8" t="s">
        <v>354</v>
      </c>
      <c r="H29" s="2" t="s">
        <v>10</v>
      </c>
      <c r="I29" s="2" t="s">
        <v>10</v>
      </c>
      <c r="J29" s="2"/>
      <c r="K29" s="6" t="s">
        <v>280</v>
      </c>
      <c r="L29" s="6" t="s">
        <v>204</v>
      </c>
      <c r="M29" s="1"/>
      <c r="N29" s="1"/>
      <c r="O29" s="1"/>
      <c r="P29" s="1"/>
    </row>
    <row r="30" spans="2:16" x14ac:dyDescent="0.3">
      <c r="B30" s="1" t="s">
        <v>351</v>
      </c>
      <c r="C30" s="71" t="s">
        <v>432</v>
      </c>
      <c r="D30" s="82" t="str">
        <f t="shared" si="0"/>
        <v>carRprtFileItemList</v>
      </c>
      <c r="E30" s="74" t="s">
        <v>430</v>
      </c>
      <c r="F30" s="8" t="s">
        <v>353</v>
      </c>
      <c r="G30" s="8" t="s">
        <v>429</v>
      </c>
      <c r="H30" s="2"/>
      <c r="I30" s="2"/>
      <c r="J30" s="2"/>
      <c r="K30" s="6" t="s">
        <v>280</v>
      </c>
      <c r="L30" s="6" t="s">
        <v>204</v>
      </c>
      <c r="M30" s="1"/>
      <c r="N30" s="1"/>
      <c r="O30" s="1"/>
      <c r="P30" s="1"/>
    </row>
    <row r="31" spans="2:16" ht="33" x14ac:dyDescent="0.3">
      <c r="B31" s="1" t="s">
        <v>351</v>
      </c>
      <c r="C31" s="71" t="s">
        <v>434</v>
      </c>
      <c r="D31" s="82" t="str">
        <f t="shared" si="0"/>
        <v>carRprtFileDownload</v>
      </c>
      <c r="E31" s="74" t="s">
        <v>456</v>
      </c>
      <c r="F31" s="8" t="s">
        <v>353</v>
      </c>
      <c r="G31" s="8" t="s">
        <v>428</v>
      </c>
      <c r="H31" s="2"/>
      <c r="I31" s="2"/>
      <c r="J31" s="2"/>
      <c r="K31" s="6" t="s">
        <v>280</v>
      </c>
      <c r="L31" s="2" t="s">
        <v>361</v>
      </c>
      <c r="M31" s="1"/>
      <c r="N31" s="1"/>
      <c r="O31" s="1"/>
      <c r="P31" s="1"/>
    </row>
    <row r="32" spans="2:16" x14ac:dyDescent="0.3">
      <c r="B32" s="1"/>
      <c r="C32" s="71"/>
      <c r="D32" s="83"/>
      <c r="E32" s="74"/>
      <c r="F32" s="8"/>
      <c r="G32" s="8"/>
      <c r="H32" s="2"/>
      <c r="I32" s="2"/>
      <c r="J32" s="2"/>
      <c r="K32" s="2"/>
      <c r="L32" s="2"/>
      <c r="M32" s="1"/>
      <c r="N32" s="1"/>
      <c r="O32" s="1"/>
      <c r="P32" s="1"/>
    </row>
    <row r="33" spans="2:16" x14ac:dyDescent="0.3">
      <c r="B33" s="1" t="s">
        <v>59</v>
      </c>
      <c r="C33" s="71" t="s">
        <v>101</v>
      </c>
      <c r="D33" s="82" t="str">
        <f t="shared" si="0"/>
        <v>csrBslList</v>
      </c>
      <c r="E33" s="74" t="s">
        <v>357</v>
      </c>
      <c r="F33" s="8" t="s">
        <v>58</v>
      </c>
      <c r="G33" s="8" t="s">
        <v>58</v>
      </c>
      <c r="H33" s="2"/>
      <c r="I33" s="2"/>
      <c r="J33" s="2"/>
      <c r="K33" s="6" t="s">
        <v>280</v>
      </c>
      <c r="L33" s="6" t="s">
        <v>204</v>
      </c>
      <c r="M33" s="1"/>
      <c r="N33" s="1"/>
      <c r="O33" s="1"/>
      <c r="P33" s="1"/>
    </row>
    <row r="34" spans="2:16" x14ac:dyDescent="0.3">
      <c r="B34" s="1" t="s">
        <v>1</v>
      </c>
      <c r="C34" s="71" t="s">
        <v>359</v>
      </c>
      <c r="D34" s="82" t="str">
        <f t="shared" si="0"/>
        <v>csrBslFileDownload</v>
      </c>
      <c r="E34" s="74" t="s">
        <v>457</v>
      </c>
      <c r="F34" s="8" t="s">
        <v>58</v>
      </c>
      <c r="G34" s="8" t="s">
        <v>360</v>
      </c>
      <c r="H34" s="2"/>
      <c r="I34" s="2"/>
      <c r="J34" s="2"/>
      <c r="K34" s="6" t="s">
        <v>280</v>
      </c>
      <c r="L34" s="2" t="s">
        <v>361</v>
      </c>
      <c r="M34" s="1"/>
      <c r="N34" s="1"/>
      <c r="O34" s="1"/>
      <c r="P34" s="1"/>
    </row>
    <row r="35" spans="2:16" x14ac:dyDescent="0.3">
      <c r="B35" s="1" t="s">
        <v>59</v>
      </c>
      <c r="C35" s="71" t="s">
        <v>94</v>
      </c>
      <c r="D35" s="82" t="str">
        <f t="shared" si="0"/>
        <v>drwList</v>
      </c>
      <c r="E35" s="78" t="s">
        <v>358</v>
      </c>
      <c r="F35" s="8" t="s">
        <v>57</v>
      </c>
      <c r="G35" s="8" t="s">
        <v>57</v>
      </c>
      <c r="H35" s="2"/>
      <c r="I35" s="2"/>
      <c r="J35" s="2"/>
      <c r="K35" s="6" t="s">
        <v>280</v>
      </c>
      <c r="L35" s="6" t="s">
        <v>204</v>
      </c>
      <c r="M35" s="1"/>
      <c r="N35" s="1"/>
      <c r="O35" s="1"/>
      <c r="P35" s="1"/>
    </row>
    <row r="36" spans="2:16" s="4" customFormat="1" ht="21.75" customHeight="1" x14ac:dyDescent="0.3">
      <c r="B36" s="5" t="s">
        <v>1</v>
      </c>
      <c r="C36" s="71" t="s">
        <v>362</v>
      </c>
      <c r="D36" s="82" t="str">
        <f t="shared" si="0"/>
        <v>drwListCode</v>
      </c>
      <c r="E36" s="78" t="s">
        <v>479</v>
      </c>
      <c r="F36" s="8" t="s">
        <v>57</v>
      </c>
      <c r="G36" s="8" t="s">
        <v>480</v>
      </c>
      <c r="H36" s="6"/>
      <c r="I36" s="6"/>
      <c r="J36" s="6"/>
      <c r="K36" s="6" t="s">
        <v>290</v>
      </c>
      <c r="L36" s="6" t="s">
        <v>202</v>
      </c>
      <c r="M36" s="6" t="s">
        <v>43</v>
      </c>
      <c r="N36" s="5"/>
      <c r="O36" s="5"/>
      <c r="P36" s="5"/>
    </row>
    <row r="37" spans="2:16" x14ac:dyDescent="0.3">
      <c r="B37" s="1" t="s">
        <v>1</v>
      </c>
      <c r="C37" s="71" t="s">
        <v>459</v>
      </c>
      <c r="D37" s="82" t="str">
        <f t="shared" si="0"/>
        <v>drwListFileDownload</v>
      </c>
      <c r="E37" s="78" t="s">
        <v>460</v>
      </c>
      <c r="F37" s="8" t="s">
        <v>57</v>
      </c>
      <c r="G37" s="8" t="s">
        <v>461</v>
      </c>
      <c r="H37" s="2"/>
      <c r="I37" s="2"/>
      <c r="J37" s="2"/>
      <c r="K37" s="6" t="s">
        <v>280</v>
      </c>
      <c r="L37" s="2" t="s">
        <v>361</v>
      </c>
      <c r="M37" s="1"/>
      <c r="N37" s="1"/>
      <c r="O37" s="1"/>
      <c r="P37" s="1"/>
    </row>
    <row r="38" spans="2:16" x14ac:dyDescent="0.3">
      <c r="B38" s="1"/>
      <c r="C38" s="71"/>
      <c r="D38" s="83"/>
      <c r="E38" s="74"/>
      <c r="F38" s="8"/>
      <c r="G38" s="8"/>
      <c r="H38" s="2"/>
      <c r="I38" s="2"/>
      <c r="J38" s="2"/>
      <c r="K38" s="2"/>
      <c r="L38" s="2"/>
      <c r="M38" s="1"/>
      <c r="N38" s="1"/>
      <c r="O38" s="1"/>
      <c r="P38" s="1"/>
    </row>
    <row r="39" spans="2:16" ht="15" customHeight="1" x14ac:dyDescent="0.3">
      <c r="B39" s="1" t="s">
        <v>59</v>
      </c>
      <c r="C39" s="71" t="s">
        <v>364</v>
      </c>
      <c r="D39" s="82" t="str">
        <f t="shared" si="0"/>
        <v>picMngList</v>
      </c>
      <c r="E39" s="78" t="s">
        <v>365</v>
      </c>
      <c r="F39" s="8" t="s">
        <v>56</v>
      </c>
      <c r="G39" s="8" t="s">
        <v>363</v>
      </c>
      <c r="H39" s="2"/>
      <c r="I39" s="2"/>
      <c r="J39" s="2"/>
      <c r="K39" s="6" t="s">
        <v>280</v>
      </c>
      <c r="L39" s="6" t="s">
        <v>204</v>
      </c>
      <c r="M39" s="1"/>
      <c r="N39" s="1"/>
      <c r="O39" s="1"/>
      <c r="P39" s="1"/>
    </row>
    <row r="40" spans="2:16" ht="15" customHeight="1" x14ac:dyDescent="0.3">
      <c r="B40" s="1" t="s">
        <v>1</v>
      </c>
      <c r="C40" s="71" t="s">
        <v>366</v>
      </c>
      <c r="D40" s="82" t="str">
        <f t="shared" si="0"/>
        <v>picMngDtl</v>
      </c>
      <c r="E40" s="78" t="s">
        <v>367</v>
      </c>
      <c r="F40" s="8" t="s">
        <v>56</v>
      </c>
      <c r="G40" s="8" t="s">
        <v>368</v>
      </c>
      <c r="H40" s="2"/>
      <c r="I40" s="2"/>
      <c r="J40" s="2"/>
      <c r="K40" s="6" t="s">
        <v>280</v>
      </c>
      <c r="L40" s="6" t="s">
        <v>204</v>
      </c>
      <c r="M40" s="1"/>
      <c r="N40" s="1"/>
      <c r="O40" s="1"/>
      <c r="P40" s="1"/>
    </row>
    <row r="41" spans="2:16" ht="15" customHeight="1" x14ac:dyDescent="0.3">
      <c r="B41" s="1" t="s">
        <v>1</v>
      </c>
      <c r="C41" s="71" t="s">
        <v>369</v>
      </c>
      <c r="D41" s="82" t="str">
        <f t="shared" si="0"/>
        <v>picMngItemList</v>
      </c>
      <c r="E41" s="78" t="s">
        <v>370</v>
      </c>
      <c r="F41" s="8" t="s">
        <v>56</v>
      </c>
      <c r="G41" s="8" t="s">
        <v>529</v>
      </c>
      <c r="H41" s="2"/>
      <c r="I41" s="2"/>
      <c r="J41" s="2"/>
      <c r="K41" s="6" t="s">
        <v>280</v>
      </c>
      <c r="L41" s="6" t="s">
        <v>204</v>
      </c>
      <c r="M41" s="1"/>
      <c r="N41" s="1"/>
      <c r="O41" s="1"/>
      <c r="P41" s="1"/>
    </row>
    <row r="42" spans="2:16" ht="36" customHeight="1" x14ac:dyDescent="0.3">
      <c r="B42" s="1" t="s">
        <v>1</v>
      </c>
      <c r="C42" s="71" t="s">
        <v>561</v>
      </c>
      <c r="D42" s="82" t="str">
        <f t="shared" ref="D42" si="1">ToCamelLower(C42)</f>
        <v>picMngItemListFileDownload</v>
      </c>
      <c r="E42" s="82" t="s">
        <v>563</v>
      </c>
      <c r="F42" s="8" t="s">
        <v>56</v>
      </c>
      <c r="G42" s="8" t="s">
        <v>562</v>
      </c>
      <c r="H42" s="2"/>
      <c r="I42" s="2"/>
      <c r="J42" s="2"/>
      <c r="K42" s="6" t="s">
        <v>280</v>
      </c>
      <c r="L42" s="6" t="s">
        <v>204</v>
      </c>
      <c r="M42" s="1"/>
      <c r="N42" s="1"/>
      <c r="O42" s="1"/>
      <c r="P42" s="1"/>
    </row>
    <row r="43" spans="2:16" ht="15" customHeight="1" x14ac:dyDescent="0.3">
      <c r="B43" s="1" t="s">
        <v>1</v>
      </c>
      <c r="C43" s="71" t="s">
        <v>375</v>
      </c>
      <c r="D43" s="82" t="str">
        <f t="shared" si="0"/>
        <v>picMngSave</v>
      </c>
      <c r="E43" s="78" t="s">
        <v>377</v>
      </c>
      <c r="F43" s="8" t="s">
        <v>56</v>
      </c>
      <c r="G43" s="8" t="s">
        <v>371</v>
      </c>
      <c r="H43" s="2"/>
      <c r="I43" s="2"/>
      <c r="J43" s="2"/>
      <c r="K43" s="6" t="s">
        <v>280</v>
      </c>
      <c r="L43" s="6" t="s">
        <v>204</v>
      </c>
      <c r="M43" s="1"/>
      <c r="N43" s="1"/>
      <c r="O43" s="1"/>
      <c r="P43" s="1"/>
    </row>
    <row r="44" spans="2:16" ht="15" customHeight="1" x14ac:dyDescent="0.3">
      <c r="B44" s="1" t="s">
        <v>1</v>
      </c>
      <c r="C44" s="71" t="s">
        <v>374</v>
      </c>
      <c r="D44" s="82" t="str">
        <f t="shared" si="0"/>
        <v>picMngItemSave</v>
      </c>
      <c r="E44" s="78" t="s">
        <v>376</v>
      </c>
      <c r="F44" s="8" t="s">
        <v>56</v>
      </c>
      <c r="G44" s="8" t="s">
        <v>530</v>
      </c>
      <c r="H44" s="2"/>
      <c r="I44" s="2"/>
      <c r="J44" s="2"/>
      <c r="K44" s="6" t="s">
        <v>280</v>
      </c>
      <c r="L44" s="6" t="s">
        <v>204</v>
      </c>
      <c r="M44" s="1"/>
      <c r="N44" s="1"/>
      <c r="O44" s="1"/>
      <c r="P44" s="1"/>
    </row>
    <row r="45" spans="2:16" ht="15" customHeight="1" x14ac:dyDescent="0.3">
      <c r="B45" s="1" t="s">
        <v>1</v>
      </c>
      <c r="C45" s="71" t="s">
        <v>373</v>
      </c>
      <c r="D45" s="82" t="str">
        <f t="shared" si="0"/>
        <v>picMngItemDelete</v>
      </c>
      <c r="E45" s="78" t="s">
        <v>378</v>
      </c>
      <c r="F45" s="8" t="s">
        <v>56</v>
      </c>
      <c r="G45" s="8" t="s">
        <v>372</v>
      </c>
      <c r="H45" s="2"/>
      <c r="I45" s="2"/>
      <c r="J45" s="2"/>
      <c r="K45" s="6" t="s">
        <v>280</v>
      </c>
      <c r="L45" s="6" t="s">
        <v>204</v>
      </c>
      <c r="M45" s="1"/>
      <c r="N45" s="1"/>
      <c r="O45" s="1"/>
      <c r="P45" s="1"/>
    </row>
    <row r="46" spans="2:16" x14ac:dyDescent="0.3">
      <c r="B46" s="1"/>
      <c r="C46" s="71"/>
      <c r="D46" s="83"/>
      <c r="E46" s="74"/>
      <c r="F46" s="8"/>
      <c r="G46" s="8"/>
      <c r="H46" s="2"/>
      <c r="I46" s="2"/>
      <c r="J46" s="2"/>
      <c r="K46" s="2"/>
      <c r="L46" s="2"/>
      <c r="M46" s="1"/>
      <c r="N46" s="1"/>
      <c r="O46" s="1"/>
      <c r="P46" s="1"/>
    </row>
    <row r="48" spans="2:16" ht="20.25" x14ac:dyDescent="0.3">
      <c r="C48" s="51"/>
      <c r="D48" s="84"/>
    </row>
  </sheetData>
  <phoneticPr fontId="1" type="noConversion"/>
  <pageMargins left="0.7" right="0.7" top="0.75" bottom="0.75" header="0.3" footer="0.3"/>
  <pageSetup paperSize="9" scale="38" orientation="landscape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M256"/>
  <sheetViews>
    <sheetView topLeftCell="C1" workbookViewId="0">
      <selection activeCell="G11" sqref="G11:G19"/>
    </sheetView>
  </sheetViews>
  <sheetFormatPr defaultRowHeight="12" x14ac:dyDescent="0.3"/>
  <cols>
    <col min="1" max="1" width="2.875" style="11" customWidth="1"/>
    <col min="2" max="2" width="22.25" style="11" bestFit="1" customWidth="1"/>
    <col min="3" max="3" width="43.125" style="11" customWidth="1"/>
    <col min="4" max="4" width="16.5" style="11" bestFit="1" customWidth="1"/>
    <col min="5" max="5" width="18.125" style="11" bestFit="1" customWidth="1"/>
    <col min="6" max="6" width="23.875" style="11" bestFit="1" customWidth="1"/>
    <col min="7" max="7" width="19.125" style="11" bestFit="1" customWidth="1"/>
    <col min="8" max="8" width="10.5" style="11" bestFit="1" customWidth="1"/>
    <col min="9" max="9" width="26.25" style="11" customWidth="1"/>
    <col min="10" max="11" width="18.5" style="11" customWidth="1"/>
    <col min="12" max="12" width="13.375" style="11" customWidth="1"/>
    <col min="13" max="13" width="10.25" style="11" customWidth="1"/>
    <col min="14" max="16384" width="9" style="11"/>
  </cols>
  <sheetData>
    <row r="2" spans="2:13" x14ac:dyDescent="0.3">
      <c r="B2" s="14" t="s">
        <v>226</v>
      </c>
      <c r="C2" s="14" t="s">
        <v>227</v>
      </c>
      <c r="D2" s="14" t="s">
        <v>312</v>
      </c>
      <c r="E2" s="14" t="s">
        <v>324</v>
      </c>
      <c r="F2" s="14" t="s">
        <v>313</v>
      </c>
      <c r="G2" s="14" t="s">
        <v>316</v>
      </c>
      <c r="H2" s="14"/>
      <c r="I2" s="14" t="s">
        <v>102</v>
      </c>
      <c r="J2" s="14" t="s">
        <v>550</v>
      </c>
      <c r="K2" s="14" t="s">
        <v>551</v>
      </c>
      <c r="L2" s="14"/>
      <c r="M2" s="14" t="s">
        <v>3</v>
      </c>
    </row>
    <row r="3" spans="2:13" s="33" customFormat="1" ht="12" customHeight="1" thickBot="1" x14ac:dyDescent="0.35">
      <c r="B3" s="32" t="s">
        <v>321</v>
      </c>
      <c r="C3" s="32" t="s">
        <v>322</v>
      </c>
      <c r="D3" s="32" t="s">
        <v>322</v>
      </c>
      <c r="E3" s="32" t="s">
        <v>322</v>
      </c>
      <c r="F3" s="32" t="s">
        <v>323</v>
      </c>
      <c r="G3" s="32"/>
      <c r="H3" s="32" t="s">
        <v>126</v>
      </c>
      <c r="I3" s="32" t="s">
        <v>318</v>
      </c>
      <c r="J3" s="32" t="s">
        <v>319</v>
      </c>
      <c r="K3" s="32" t="s">
        <v>320</v>
      </c>
      <c r="L3" s="32"/>
      <c r="M3" s="32"/>
    </row>
    <row r="4" spans="2:13" ht="12.75" thickTop="1" x14ac:dyDescent="0.3">
      <c r="B4" s="13" t="str">
        <f>VLOOKUP($E4,서비스!$C:$G,4,0)</f>
        <v>로그인</v>
      </c>
      <c r="C4" s="13" t="str">
        <f>VLOOKUP($E4,서비스!$C:$G,5,0)</f>
        <v>login</v>
      </c>
      <c r="D4" s="13" t="str">
        <f>ToCamelLower(E4)</f>
        <v>login</v>
      </c>
      <c r="E4" s="13" t="s">
        <v>61</v>
      </c>
      <c r="F4" s="13" t="str">
        <f>ToCamel(G4) &amp; "DTO.java"</f>
        <v>LoginDTO.java</v>
      </c>
      <c r="G4" s="13" t="s">
        <v>61</v>
      </c>
      <c r="H4" s="13"/>
      <c r="I4" s="13" t="s">
        <v>103</v>
      </c>
      <c r="J4" s="13" t="s">
        <v>15</v>
      </c>
      <c r="K4" s="13" t="s">
        <v>45</v>
      </c>
      <c r="L4" s="13"/>
      <c r="M4" s="13"/>
    </row>
    <row r="5" spans="2:13" x14ac:dyDescent="0.3">
      <c r="B5" s="13" t="str">
        <f>VLOOKUP($E5,서비스!$C:$G,4,0)</f>
        <v>로그인</v>
      </c>
      <c r="C5" s="13" t="str">
        <f>VLOOKUP($E5,서비스!$C:$G,5,0)</f>
        <v>login</v>
      </c>
      <c r="D5" s="13" t="str">
        <f t="shared" ref="D5:D71" si="0">ToCamelLower(E5)</f>
        <v>login</v>
      </c>
      <c r="E5" s="13" t="s">
        <v>61</v>
      </c>
      <c r="F5" s="13" t="str">
        <f t="shared" ref="F5:F71" si="1">ToCamel(G5) &amp; "DTO.java"</f>
        <v>LoginDTO.java</v>
      </c>
      <c r="G5" s="13" t="s">
        <v>61</v>
      </c>
      <c r="H5" s="13"/>
      <c r="I5" s="13" t="s">
        <v>104</v>
      </c>
      <c r="J5" s="13" t="s">
        <v>46</v>
      </c>
      <c r="K5" s="13" t="s">
        <v>46</v>
      </c>
      <c r="L5" s="13"/>
      <c r="M5" s="13"/>
    </row>
    <row r="6" spans="2:13" s="17" customFormat="1" ht="12.75" thickBot="1" x14ac:dyDescent="0.35">
      <c r="B6" s="16" t="str">
        <f>VLOOKUP($E6,서비스!$C:$G,4,0)</f>
        <v>로그인</v>
      </c>
      <c r="C6" s="16" t="str">
        <f>VLOOKUP($E6,서비스!$C:$G,5,0)</f>
        <v>login</v>
      </c>
      <c r="D6" s="16" t="str">
        <f t="shared" si="0"/>
        <v>login</v>
      </c>
      <c r="E6" s="16" t="s">
        <v>61</v>
      </c>
      <c r="F6" s="16" t="str">
        <f t="shared" si="1"/>
        <v>LoginDTO.java</v>
      </c>
      <c r="G6" s="16" t="s">
        <v>61</v>
      </c>
      <c r="H6" s="16"/>
      <c r="I6" s="16" t="s">
        <v>105</v>
      </c>
      <c r="J6" s="16" t="s">
        <v>47</v>
      </c>
      <c r="K6" s="16" t="s">
        <v>47</v>
      </c>
      <c r="L6" s="16"/>
      <c r="M6" s="16" t="s">
        <v>48</v>
      </c>
    </row>
    <row r="7" spans="2:13" ht="12.75" thickTop="1" x14ac:dyDescent="0.3">
      <c r="B7" s="15" t="str">
        <f>VLOOKUP($E7,서비스!$C:$G,4,0)</f>
        <v>검측체크리스트 목록</v>
      </c>
      <c r="C7" s="15" t="str">
        <f>VLOOKUP($E7,서비스!$C:$G,5,0)</f>
        <v>검측체크리스트 목록</v>
      </c>
      <c r="D7" s="15" t="str">
        <f t="shared" si="0"/>
        <v>testChkMain</v>
      </c>
      <c r="E7" s="15" t="s">
        <v>75</v>
      </c>
      <c r="F7" s="15" t="str">
        <f t="shared" si="1"/>
        <v>TestChkMainDTO.java</v>
      </c>
      <c r="G7" s="15" t="s">
        <v>75</v>
      </c>
      <c r="H7" s="15" t="s">
        <v>126</v>
      </c>
      <c r="I7" s="15" t="s">
        <v>128</v>
      </c>
      <c r="J7" s="15" t="s">
        <v>131</v>
      </c>
      <c r="K7" s="15" t="s">
        <v>242</v>
      </c>
      <c r="L7" s="15"/>
      <c r="M7" s="15"/>
    </row>
    <row r="8" spans="2:13" x14ac:dyDescent="0.3">
      <c r="B8" s="13" t="str">
        <f>VLOOKUP($E8,서비스!$C:$G,4,0)</f>
        <v>검측체크리스트 목록</v>
      </c>
      <c r="C8" s="13" t="str">
        <f>VLOOKUP($E8,서비스!$C:$G,5,0)</f>
        <v>검측체크리스트 목록</v>
      </c>
      <c r="D8" s="13" t="str">
        <f t="shared" si="0"/>
        <v>testChkMain</v>
      </c>
      <c r="E8" s="13" t="s">
        <v>75</v>
      </c>
      <c r="F8" s="13" t="str">
        <f t="shared" si="1"/>
        <v>TestChkMainDTO.java</v>
      </c>
      <c r="G8" s="13" t="s">
        <v>75</v>
      </c>
      <c r="H8" s="13" t="s">
        <v>126</v>
      </c>
      <c r="I8" s="13" t="s">
        <v>127</v>
      </c>
      <c r="J8" s="13" t="s">
        <v>132</v>
      </c>
      <c r="K8" s="13" t="s">
        <v>243</v>
      </c>
      <c r="L8" s="13"/>
      <c r="M8" s="13"/>
    </row>
    <row r="9" spans="2:13" x14ac:dyDescent="0.3">
      <c r="B9" s="13" t="str">
        <f>VLOOKUP($E9,서비스!$C:$G,4,0)</f>
        <v>검측체크리스트 목록</v>
      </c>
      <c r="C9" s="13" t="str">
        <f>VLOOKUP($E9,서비스!$C:$G,5,0)</f>
        <v>검측체크리스트 목록</v>
      </c>
      <c r="D9" s="13" t="str">
        <f t="shared" si="0"/>
        <v>testChkMain</v>
      </c>
      <c r="E9" s="13" t="s">
        <v>75</v>
      </c>
      <c r="F9" s="13" t="str">
        <f t="shared" si="1"/>
        <v>TestChkMainDTO.java</v>
      </c>
      <c r="G9" s="13" t="s">
        <v>75</v>
      </c>
      <c r="H9" s="13" t="s">
        <v>126</v>
      </c>
      <c r="I9" s="13" t="s">
        <v>129</v>
      </c>
      <c r="J9" s="13" t="s">
        <v>133</v>
      </c>
      <c r="K9" s="13" t="s">
        <v>244</v>
      </c>
      <c r="L9" s="13"/>
      <c r="M9" s="13"/>
    </row>
    <row r="10" spans="2:13" x14ac:dyDescent="0.3">
      <c r="B10" s="13" t="str">
        <f>VLOOKUP($E10,서비스!$C:$G,4,0)</f>
        <v>검측체크리스트 목록</v>
      </c>
      <c r="C10" s="13" t="str">
        <f>VLOOKUP($E10,서비스!$C:$G,5,0)</f>
        <v>검측체크리스트 목록</v>
      </c>
      <c r="D10" s="13" t="str">
        <f t="shared" si="0"/>
        <v>testChkMain</v>
      </c>
      <c r="E10" s="13" t="s">
        <v>75</v>
      </c>
      <c r="F10" s="13" t="str">
        <f t="shared" si="1"/>
        <v>TestChkMainDTO.java</v>
      </c>
      <c r="G10" s="13" t="s">
        <v>75</v>
      </c>
      <c r="H10" s="13" t="s">
        <v>126</v>
      </c>
      <c r="I10" s="13" t="s">
        <v>112</v>
      </c>
      <c r="J10" s="13" t="s">
        <v>134</v>
      </c>
      <c r="K10" s="13" t="s">
        <v>245</v>
      </c>
      <c r="L10" s="13"/>
      <c r="M10" s="13"/>
    </row>
    <row r="11" spans="2:13" x14ac:dyDescent="0.3">
      <c r="B11" s="13" t="str">
        <f>VLOOKUP($E11,서비스!$C:$G,4,0)</f>
        <v>검측체크리스트 목록</v>
      </c>
      <c r="C11" s="13" t="str">
        <f>VLOOKUP($E11,서비스!$C:$G,5,0)</f>
        <v>검측체크리스트 목록</v>
      </c>
      <c r="D11" s="13" t="str">
        <f t="shared" si="0"/>
        <v>testChkMain</v>
      </c>
      <c r="E11" s="13" t="s">
        <v>75</v>
      </c>
      <c r="F11" s="13" t="str">
        <f t="shared" si="1"/>
        <v>TestChkMainDTO.java</v>
      </c>
      <c r="G11" s="13" t="s">
        <v>75</v>
      </c>
      <c r="H11" s="13" t="s">
        <v>125</v>
      </c>
      <c r="I11" s="13" t="s">
        <v>124</v>
      </c>
      <c r="J11" s="13" t="s">
        <v>123</v>
      </c>
      <c r="K11" s="13" t="s">
        <v>246</v>
      </c>
      <c r="L11" s="13"/>
      <c r="M11" s="13"/>
    </row>
    <row r="12" spans="2:13" x14ac:dyDescent="0.3">
      <c r="B12" s="13" t="str">
        <f>VLOOKUP($E12,서비스!$C:$G,4,0)</f>
        <v>검측체크리스트 목록</v>
      </c>
      <c r="C12" s="13" t="str">
        <f>VLOOKUP($E12,서비스!$C:$G,5,0)</f>
        <v>검측체크리스트 목록</v>
      </c>
      <c r="D12" s="13" t="str">
        <f t="shared" si="0"/>
        <v>testChkMain</v>
      </c>
      <c r="E12" s="13" t="s">
        <v>75</v>
      </c>
      <c r="F12" s="13" t="str">
        <f t="shared" si="1"/>
        <v>TestChkMainDTO.java</v>
      </c>
      <c r="G12" s="13" t="s">
        <v>75</v>
      </c>
      <c r="H12" s="13" t="s">
        <v>125</v>
      </c>
      <c r="I12" s="13" t="s">
        <v>107</v>
      </c>
      <c r="J12" s="13" t="s">
        <v>13</v>
      </c>
      <c r="K12" s="13" t="s">
        <v>13</v>
      </c>
      <c r="L12" s="13"/>
      <c r="M12" s="13"/>
    </row>
    <row r="13" spans="2:13" x14ac:dyDescent="0.3">
      <c r="B13" s="13" t="str">
        <f>VLOOKUP($E13,서비스!$C:$G,4,0)</f>
        <v>검측체크리스트 목록</v>
      </c>
      <c r="C13" s="13" t="str">
        <f>VLOOKUP($E13,서비스!$C:$G,5,0)</f>
        <v>검측체크리스트 목록</v>
      </c>
      <c r="D13" s="13" t="str">
        <f t="shared" si="0"/>
        <v>testChkMain</v>
      </c>
      <c r="E13" s="13" t="s">
        <v>75</v>
      </c>
      <c r="F13" s="13" t="str">
        <f t="shared" si="1"/>
        <v>TestChkMainDTO.java</v>
      </c>
      <c r="G13" s="13" t="s">
        <v>75</v>
      </c>
      <c r="H13" s="13" t="s">
        <v>125</v>
      </c>
      <c r="I13" s="13" t="s">
        <v>11</v>
      </c>
      <c r="J13" s="13" t="s">
        <v>106</v>
      </c>
      <c r="K13" s="13" t="s">
        <v>106</v>
      </c>
      <c r="L13" s="13"/>
      <c r="M13" s="13"/>
    </row>
    <row r="14" spans="2:13" x14ac:dyDescent="0.3">
      <c r="B14" s="13" t="str">
        <f>VLOOKUP($E14,서비스!$C:$G,4,0)</f>
        <v>검측체크리스트 목록</v>
      </c>
      <c r="C14" s="13" t="str">
        <f>VLOOKUP($E14,서비스!$C:$G,5,0)</f>
        <v>검측체크리스트 목록</v>
      </c>
      <c r="D14" s="13" t="str">
        <f t="shared" si="0"/>
        <v>testChkMain</v>
      </c>
      <c r="E14" s="13" t="s">
        <v>75</v>
      </c>
      <c r="F14" s="13" t="str">
        <f t="shared" si="1"/>
        <v>TestChkMainDTO.java</v>
      </c>
      <c r="G14" s="13" t="s">
        <v>75</v>
      </c>
      <c r="H14" s="13" t="s">
        <v>125</v>
      </c>
      <c r="I14" s="13" t="s">
        <v>108</v>
      </c>
      <c r="J14" s="13" t="s">
        <v>109</v>
      </c>
      <c r="K14" s="13" t="s">
        <v>247</v>
      </c>
      <c r="L14" s="13"/>
      <c r="M14" s="13"/>
    </row>
    <row r="15" spans="2:13" x14ac:dyDescent="0.3">
      <c r="B15" s="13" t="str">
        <f>VLOOKUP($E15,서비스!$C:$G,4,0)</f>
        <v>검측체크리스트 목록</v>
      </c>
      <c r="C15" s="13" t="str">
        <f>VLOOKUP($E15,서비스!$C:$G,5,0)</f>
        <v>검측체크리스트 목록</v>
      </c>
      <c r="D15" s="13" t="str">
        <f t="shared" si="0"/>
        <v>testChkMain</v>
      </c>
      <c r="E15" s="13" t="s">
        <v>75</v>
      </c>
      <c r="F15" s="13" t="str">
        <f t="shared" si="1"/>
        <v>TestChkMainDTO.java</v>
      </c>
      <c r="G15" s="13" t="s">
        <v>75</v>
      </c>
      <c r="H15" s="13" t="s">
        <v>125</v>
      </c>
      <c r="I15" s="13" t="s">
        <v>110</v>
      </c>
      <c r="J15" s="13" t="s">
        <v>113</v>
      </c>
      <c r="K15" s="13" t="s">
        <v>248</v>
      </c>
      <c r="L15" s="13"/>
      <c r="M15" s="13"/>
    </row>
    <row r="16" spans="2:13" x14ac:dyDescent="0.3">
      <c r="B16" s="13" t="str">
        <f>VLOOKUP($E16,서비스!$C:$G,4,0)</f>
        <v>검측체크리스트 목록</v>
      </c>
      <c r="C16" s="13" t="str">
        <f>VLOOKUP($E16,서비스!$C:$G,5,0)</f>
        <v>검측체크리스트 목록</v>
      </c>
      <c r="D16" s="13" t="str">
        <f t="shared" si="0"/>
        <v>testChkMain</v>
      </c>
      <c r="E16" s="13" t="s">
        <v>75</v>
      </c>
      <c r="F16" s="13" t="str">
        <f t="shared" si="1"/>
        <v>TestChkMainDTO.java</v>
      </c>
      <c r="G16" s="13" t="s">
        <v>75</v>
      </c>
      <c r="H16" s="13" t="s">
        <v>125</v>
      </c>
      <c r="I16" s="13" t="s">
        <v>111</v>
      </c>
      <c r="J16" s="13" t="s">
        <v>114</v>
      </c>
      <c r="K16" s="13" t="s">
        <v>249</v>
      </c>
      <c r="L16" s="13"/>
      <c r="M16" s="13"/>
    </row>
    <row r="17" spans="2:13" x14ac:dyDescent="0.3">
      <c r="B17" s="13" t="str">
        <f>VLOOKUP($E17,서비스!$C:$G,4,0)</f>
        <v>검측체크리스트 목록</v>
      </c>
      <c r="C17" s="13" t="str">
        <f>VLOOKUP($E17,서비스!$C:$G,5,0)</f>
        <v>검측체크리스트 목록</v>
      </c>
      <c r="D17" s="13" t="str">
        <f t="shared" si="0"/>
        <v>testChkMain</v>
      </c>
      <c r="E17" s="13" t="s">
        <v>75</v>
      </c>
      <c r="F17" s="13" t="str">
        <f t="shared" si="1"/>
        <v>TestChkMainDTO.java</v>
      </c>
      <c r="G17" s="13" t="s">
        <v>75</v>
      </c>
      <c r="H17" s="13" t="s">
        <v>125</v>
      </c>
      <c r="I17" s="13" t="s">
        <v>116</v>
      </c>
      <c r="J17" s="13" t="s">
        <v>115</v>
      </c>
      <c r="K17" s="13" t="s">
        <v>250</v>
      </c>
      <c r="L17" s="13"/>
      <c r="M17" s="13"/>
    </row>
    <row r="18" spans="2:13" x14ac:dyDescent="0.3">
      <c r="B18" s="13" t="str">
        <f>VLOOKUP($E18,서비스!$C:$G,4,0)</f>
        <v>검측체크리스트 목록</v>
      </c>
      <c r="C18" s="13" t="str">
        <f>VLOOKUP($E18,서비스!$C:$G,5,0)</f>
        <v>검측체크리스트 목록</v>
      </c>
      <c r="D18" s="13" t="str">
        <f t="shared" si="0"/>
        <v>testChkMain</v>
      </c>
      <c r="E18" s="13" t="s">
        <v>75</v>
      </c>
      <c r="F18" s="13" t="str">
        <f t="shared" si="1"/>
        <v>TestChkMainDTO.java</v>
      </c>
      <c r="G18" s="13" t="s">
        <v>75</v>
      </c>
      <c r="H18" s="13" t="s">
        <v>125</v>
      </c>
      <c r="I18" s="13" t="s">
        <v>117</v>
      </c>
      <c r="J18" s="13" t="s">
        <v>118</v>
      </c>
      <c r="K18" s="13" t="s">
        <v>251</v>
      </c>
      <c r="L18" s="13"/>
      <c r="M18" s="13"/>
    </row>
    <row r="19" spans="2:13" x14ac:dyDescent="0.3">
      <c r="B19" s="13" t="str">
        <f>VLOOKUP($E19,서비스!$C:$G,4,0)</f>
        <v>검측체크리스트 목록</v>
      </c>
      <c r="C19" s="13" t="str">
        <f>VLOOKUP($E19,서비스!$C:$G,5,0)</f>
        <v>검측체크리스트 목록</v>
      </c>
      <c r="D19" s="13" t="str">
        <f t="shared" si="0"/>
        <v>testChkMain</v>
      </c>
      <c r="E19" s="13" t="s">
        <v>75</v>
      </c>
      <c r="F19" s="13" t="str">
        <f t="shared" si="1"/>
        <v>TestChkMainDTO.java</v>
      </c>
      <c r="G19" s="13" t="s">
        <v>75</v>
      </c>
      <c r="H19" s="13" t="s">
        <v>125</v>
      </c>
      <c r="I19" s="13" t="s">
        <v>122</v>
      </c>
      <c r="J19" s="13" t="s">
        <v>119</v>
      </c>
      <c r="K19" s="13" t="s">
        <v>252</v>
      </c>
      <c r="L19" s="13"/>
      <c r="M19" s="13"/>
    </row>
    <row r="20" spans="2:13" s="17" customFormat="1" ht="12.75" thickBot="1" x14ac:dyDescent="0.35">
      <c r="B20" s="16" t="str">
        <f>VLOOKUP($E20,서비스!$C:$G,4,0)</f>
        <v>검측체크리스트 목록</v>
      </c>
      <c r="C20" s="16" t="str">
        <f>VLOOKUP($E20,서비스!$C:$G,5,0)</f>
        <v>검측체크리스트 목록</v>
      </c>
      <c r="D20" s="16" t="str">
        <f t="shared" si="0"/>
        <v>testChkMain</v>
      </c>
      <c r="E20" s="16" t="s">
        <v>75</v>
      </c>
      <c r="F20" s="16" t="str">
        <f t="shared" si="1"/>
        <v>TestChkMainDTO.java</v>
      </c>
      <c r="G20" s="16" t="s">
        <v>75</v>
      </c>
      <c r="H20" s="16" t="s">
        <v>125</v>
      </c>
      <c r="I20" s="16" t="s">
        <v>121</v>
      </c>
      <c r="J20" s="16" t="s">
        <v>120</v>
      </c>
      <c r="K20" s="16" t="s">
        <v>253</v>
      </c>
      <c r="L20" s="16"/>
      <c r="M20" s="16"/>
    </row>
    <row r="21" spans="2:13" ht="12.75" thickTop="1" x14ac:dyDescent="0.3">
      <c r="B21" s="15" t="str">
        <f>VLOOKUP($E21,서비스!$C:$G,4,0)</f>
        <v>검측체크리스트 작성이력</v>
      </c>
      <c r="C21" s="15" t="str">
        <f>VLOOKUP($E21,서비스!$C:$G,5,0)</f>
        <v>검측체크리스트 작성이력</v>
      </c>
      <c r="D21" s="15" t="str">
        <f t="shared" si="0"/>
        <v>testChkList</v>
      </c>
      <c r="E21" s="15" t="s">
        <v>74</v>
      </c>
      <c r="F21" s="15" t="str">
        <f t="shared" si="1"/>
        <v>TestChkListDTO.java</v>
      </c>
      <c r="G21" s="15" t="s">
        <v>74</v>
      </c>
      <c r="H21" s="15" t="s">
        <v>126</v>
      </c>
      <c r="I21" s="15" t="s">
        <v>124</v>
      </c>
      <c r="J21" s="15" t="s">
        <v>136</v>
      </c>
      <c r="K21" s="15" t="s">
        <v>254</v>
      </c>
      <c r="L21" s="15"/>
      <c r="M21" s="15"/>
    </row>
    <row r="22" spans="2:13" x14ac:dyDescent="0.3">
      <c r="B22" s="13" t="str">
        <f>VLOOKUP($E22,서비스!$C:$G,4,0)</f>
        <v>검측체크리스트 작성이력</v>
      </c>
      <c r="C22" s="13" t="str">
        <f>VLOOKUP($E22,서비스!$C:$G,5,0)</f>
        <v>검측체크리스트 작성이력</v>
      </c>
      <c r="D22" s="13" t="str">
        <f t="shared" si="0"/>
        <v>testChkList</v>
      </c>
      <c r="E22" s="13" t="s">
        <v>74</v>
      </c>
      <c r="F22" s="13" t="str">
        <f t="shared" si="1"/>
        <v>TestChkListDTO.java</v>
      </c>
      <c r="G22" s="13" t="s">
        <v>74</v>
      </c>
      <c r="H22" s="13" t="s">
        <v>125</v>
      </c>
      <c r="I22" s="13" t="s">
        <v>30</v>
      </c>
      <c r="J22" s="13" t="s">
        <v>135</v>
      </c>
      <c r="K22" s="13" t="s">
        <v>255</v>
      </c>
      <c r="L22" s="13"/>
      <c r="M22" s="13"/>
    </row>
    <row r="23" spans="2:13" x14ac:dyDescent="0.3">
      <c r="B23" s="13" t="str">
        <f>VLOOKUP($E23,서비스!$C:$G,4,0)</f>
        <v>검측체크리스트 작성이력</v>
      </c>
      <c r="C23" s="13" t="str">
        <f>VLOOKUP($E23,서비스!$C:$G,5,0)</f>
        <v>검측체크리스트 작성이력</v>
      </c>
      <c r="D23" s="13" t="str">
        <f t="shared" si="0"/>
        <v>testChkList</v>
      </c>
      <c r="E23" s="13" t="s">
        <v>74</v>
      </c>
      <c r="F23" s="13" t="str">
        <f t="shared" si="1"/>
        <v>TestChkListDTO.java</v>
      </c>
      <c r="G23" s="13" t="s">
        <v>74</v>
      </c>
      <c r="H23" s="13" t="s">
        <v>125</v>
      </c>
      <c r="I23" s="13" t="s">
        <v>108</v>
      </c>
      <c r="J23" s="13" t="s">
        <v>109</v>
      </c>
      <c r="K23" s="13" t="s">
        <v>247</v>
      </c>
      <c r="L23" s="13"/>
      <c r="M23" s="13"/>
    </row>
    <row r="24" spans="2:13" x14ac:dyDescent="0.3">
      <c r="B24" s="13" t="str">
        <f>VLOOKUP($E24,서비스!$C:$G,4,0)</f>
        <v>검측체크리스트 작성이력</v>
      </c>
      <c r="C24" s="13" t="str">
        <f>VLOOKUP($E24,서비스!$C:$G,5,0)</f>
        <v>검측체크리스트 작성이력</v>
      </c>
      <c r="D24" s="13" t="str">
        <f t="shared" si="0"/>
        <v>testChkList</v>
      </c>
      <c r="E24" s="13" t="s">
        <v>74</v>
      </c>
      <c r="F24" s="13" t="str">
        <f t="shared" si="1"/>
        <v>TestChkListDTO.java</v>
      </c>
      <c r="G24" s="13" t="s">
        <v>74</v>
      </c>
      <c r="H24" s="13" t="s">
        <v>125</v>
      </c>
      <c r="I24" s="13" t="s">
        <v>107</v>
      </c>
      <c r="J24" s="13" t="s">
        <v>13</v>
      </c>
      <c r="K24" s="13" t="s">
        <v>256</v>
      </c>
      <c r="L24" s="13"/>
      <c r="M24" s="13"/>
    </row>
    <row r="25" spans="2:13" x14ac:dyDescent="0.3">
      <c r="B25" s="13" t="str">
        <f>VLOOKUP($E25,서비스!$C:$G,4,0)</f>
        <v>검측체크리스트 작성이력</v>
      </c>
      <c r="C25" s="13" t="str">
        <f>VLOOKUP($E25,서비스!$C:$G,5,0)</f>
        <v>검측체크리스트 작성이력</v>
      </c>
      <c r="D25" s="13" t="str">
        <f t="shared" si="0"/>
        <v>testChkList</v>
      </c>
      <c r="E25" s="13" t="s">
        <v>74</v>
      </c>
      <c r="F25" s="13" t="str">
        <f t="shared" si="1"/>
        <v>TestChkListDTO.java</v>
      </c>
      <c r="G25" s="13" t="s">
        <v>74</v>
      </c>
      <c r="H25" s="13" t="s">
        <v>125</v>
      </c>
      <c r="I25" s="13" t="s">
        <v>11</v>
      </c>
      <c r="J25" s="13" t="s">
        <v>106</v>
      </c>
      <c r="K25" s="13" t="s">
        <v>106</v>
      </c>
      <c r="L25" s="13"/>
      <c r="M25" s="13"/>
    </row>
    <row r="26" spans="2:13" x14ac:dyDescent="0.3">
      <c r="B26" s="13" t="str">
        <f>VLOOKUP($E26,서비스!$C:$G,4,0)</f>
        <v>검측체크리스트 작성이력</v>
      </c>
      <c r="C26" s="13" t="str">
        <f>VLOOKUP($E26,서비스!$C:$G,5,0)</f>
        <v>검측체크리스트 작성이력</v>
      </c>
      <c r="D26" s="13" t="str">
        <f t="shared" si="0"/>
        <v>testChkList</v>
      </c>
      <c r="E26" s="13" t="s">
        <v>74</v>
      </c>
      <c r="F26" s="13" t="str">
        <f t="shared" si="1"/>
        <v>TestChkListDTO.java</v>
      </c>
      <c r="G26" s="13" t="s">
        <v>74</v>
      </c>
      <c r="H26" s="13" t="s">
        <v>125</v>
      </c>
      <c r="I26" s="13" t="s">
        <v>297</v>
      </c>
      <c r="J26" s="13" t="s">
        <v>296</v>
      </c>
      <c r="K26" s="13" t="s">
        <v>295</v>
      </c>
      <c r="L26" s="13"/>
      <c r="M26" s="13"/>
    </row>
    <row r="27" spans="2:13" s="21" customFormat="1" x14ac:dyDescent="0.3">
      <c r="B27" s="20" t="str">
        <f>VLOOKUP($E27,서비스!$C:$G,4,0)</f>
        <v>검측체크리스트 작성이력</v>
      </c>
      <c r="C27" s="20" t="str">
        <f>VLOOKUP($E27,서비스!$C:$G,5,0)</f>
        <v>검측체크리스트 작성이력</v>
      </c>
      <c r="D27" s="20" t="str">
        <f t="shared" si="0"/>
        <v>testChkList</v>
      </c>
      <c r="E27" s="20" t="s">
        <v>74</v>
      </c>
      <c r="F27" s="20" t="str">
        <f t="shared" si="1"/>
        <v>TestChkListDTO.java</v>
      </c>
      <c r="G27" s="20" t="s">
        <v>74</v>
      </c>
      <c r="H27" s="20" t="s">
        <v>125</v>
      </c>
      <c r="I27" s="20" t="s">
        <v>110</v>
      </c>
      <c r="J27" s="20" t="s">
        <v>113</v>
      </c>
      <c r="K27" s="20" t="s">
        <v>248</v>
      </c>
      <c r="L27" s="20"/>
      <c r="M27" s="20"/>
    </row>
    <row r="28" spans="2:13" s="21" customFormat="1" x14ac:dyDescent="0.3">
      <c r="B28" s="20" t="str">
        <f>VLOOKUP($E28,서비스!$C:$G,4,0)</f>
        <v>검측체크리스트 작성이력</v>
      </c>
      <c r="C28" s="20" t="str">
        <f>VLOOKUP($E28,서비스!$C:$G,5,0)</f>
        <v>검측체크리스트 작성이력</v>
      </c>
      <c r="D28" s="20" t="str">
        <f t="shared" si="0"/>
        <v>testChkList</v>
      </c>
      <c r="E28" s="20" t="s">
        <v>74</v>
      </c>
      <c r="F28" s="20" t="str">
        <f t="shared" si="1"/>
        <v>TestChkListDTO.java</v>
      </c>
      <c r="G28" s="20" t="s">
        <v>74</v>
      </c>
      <c r="H28" s="20" t="s">
        <v>125</v>
      </c>
      <c r="I28" s="20" t="s">
        <v>305</v>
      </c>
      <c r="J28" s="20" t="s">
        <v>303</v>
      </c>
      <c r="K28" s="20" t="s">
        <v>304</v>
      </c>
      <c r="L28" s="20"/>
      <c r="M28" s="20"/>
    </row>
    <row r="29" spans="2:13" s="21" customFormat="1" x14ac:dyDescent="0.3">
      <c r="B29" s="20" t="str">
        <f>VLOOKUP($E29,서비스!$C:$G,4,0)</f>
        <v>검측체크리스트 작성이력</v>
      </c>
      <c r="C29" s="20" t="str">
        <f>VLOOKUP($E29,서비스!$C:$G,5,0)</f>
        <v>검측체크리스트 작성이력</v>
      </c>
      <c r="D29" s="20" t="str">
        <f t="shared" ref="D29:D30" si="2">ToCamelLower(E29)</f>
        <v>testChkList</v>
      </c>
      <c r="E29" s="20" t="s">
        <v>74</v>
      </c>
      <c r="F29" s="20" t="str">
        <f t="shared" ref="F29:F30" si="3">ToCamel(G29) &amp; "DTO.java"</f>
        <v>TestChkListDTO.java</v>
      </c>
      <c r="G29" s="20" t="s">
        <v>74</v>
      </c>
      <c r="H29" s="20" t="s">
        <v>125</v>
      </c>
      <c r="I29" s="20" t="s">
        <v>307</v>
      </c>
      <c r="J29" s="22" t="s">
        <v>130</v>
      </c>
      <c r="K29" s="20" t="s">
        <v>260</v>
      </c>
      <c r="L29" s="20"/>
      <c r="M29" s="20"/>
    </row>
    <row r="30" spans="2:13" s="38" customFormat="1" x14ac:dyDescent="0.3">
      <c r="B30" s="36" t="str">
        <f>VLOOKUP($E30,서비스!$C:$G,4,0)</f>
        <v>검측체크리스트 작성이력</v>
      </c>
      <c r="C30" s="36" t="str">
        <f>VLOOKUP($E30,서비스!$C:$G,5,0)</f>
        <v>검측체크리스트 작성이력</v>
      </c>
      <c r="D30" s="36" t="str">
        <f t="shared" si="2"/>
        <v>testChkList</v>
      </c>
      <c r="E30" s="36" t="s">
        <v>74</v>
      </c>
      <c r="F30" s="36" t="str">
        <f t="shared" si="3"/>
        <v>TestChkListDTO.java</v>
      </c>
      <c r="G30" s="36" t="s">
        <v>74</v>
      </c>
      <c r="H30" s="36" t="s">
        <v>125</v>
      </c>
      <c r="I30" s="36" t="s">
        <v>379</v>
      </c>
      <c r="J30" s="52" t="s">
        <v>495</v>
      </c>
      <c r="K30" s="36" t="s">
        <v>380</v>
      </c>
      <c r="L30" s="36"/>
      <c r="M30" s="36"/>
    </row>
    <row r="31" spans="2:13" s="38" customFormat="1" x14ac:dyDescent="0.3">
      <c r="B31" s="36" t="str">
        <f>VLOOKUP($E31,서비스!$C:$G,4,0)</f>
        <v>검측체크리스트 작성이력</v>
      </c>
      <c r="C31" s="36" t="str">
        <f>VLOOKUP($E31,서비스!$C:$G,5,0)</f>
        <v>검측체크리스트 작성이력</v>
      </c>
      <c r="D31" s="36" t="str">
        <f t="shared" si="0"/>
        <v>testChkList</v>
      </c>
      <c r="E31" s="36" t="s">
        <v>74</v>
      </c>
      <c r="F31" s="36" t="str">
        <f t="shared" si="1"/>
        <v>TestChkListDTO.java</v>
      </c>
      <c r="G31" s="36" t="s">
        <v>74</v>
      </c>
      <c r="H31" s="36" t="s">
        <v>125</v>
      </c>
      <c r="I31" s="36" t="s">
        <v>381</v>
      </c>
      <c r="J31" s="52" t="s">
        <v>382</v>
      </c>
      <c r="K31" s="36" t="s">
        <v>383</v>
      </c>
      <c r="L31" s="36"/>
      <c r="M31" s="36"/>
    </row>
    <row r="32" spans="2:13" x14ac:dyDescent="0.3">
      <c r="B32" s="13" t="str">
        <f>VLOOKUP($E32,서비스!$C:$G,4,0)</f>
        <v>검측체크리스트 작성이력</v>
      </c>
      <c r="C32" s="13" t="str">
        <f>VLOOKUP($E32,서비스!$C:$G,5,0)</f>
        <v>검측체크리스트 작성이력</v>
      </c>
      <c r="D32" s="13" t="str">
        <f t="shared" si="0"/>
        <v>testChkList</v>
      </c>
      <c r="E32" s="13" t="s">
        <v>74</v>
      </c>
      <c r="F32" s="13" t="str">
        <f t="shared" si="1"/>
        <v>TestChkListDTO.java</v>
      </c>
      <c r="G32" s="13" t="s">
        <v>74</v>
      </c>
      <c r="H32" s="13" t="s">
        <v>125</v>
      </c>
      <c r="I32" s="13" t="s">
        <v>111</v>
      </c>
      <c r="J32" s="13" t="s">
        <v>114</v>
      </c>
      <c r="K32" s="13" t="s">
        <v>249</v>
      </c>
      <c r="L32" s="13"/>
      <c r="M32" s="13"/>
    </row>
    <row r="33" spans="2:13" x14ac:dyDescent="0.3">
      <c r="B33" s="13" t="str">
        <f>VLOOKUP($E33,서비스!$C:$G,4,0)</f>
        <v>검측체크리스트 작성이력</v>
      </c>
      <c r="C33" s="13" t="str">
        <f>VLOOKUP($E33,서비스!$C:$G,5,0)</f>
        <v>검측체크리스트 작성이력</v>
      </c>
      <c r="D33" s="13" t="str">
        <f t="shared" si="0"/>
        <v>testChkList</v>
      </c>
      <c r="E33" s="13" t="s">
        <v>74</v>
      </c>
      <c r="F33" s="13" t="str">
        <f t="shared" si="1"/>
        <v>TestChkListDTO.java</v>
      </c>
      <c r="G33" s="13" t="s">
        <v>74</v>
      </c>
      <c r="H33" s="13" t="s">
        <v>125</v>
      </c>
      <c r="I33" s="13" t="s">
        <v>122</v>
      </c>
      <c r="J33" s="13" t="s">
        <v>119</v>
      </c>
      <c r="K33" s="13" t="s">
        <v>252</v>
      </c>
      <c r="L33" s="13"/>
      <c r="M33" s="13"/>
    </row>
    <row r="34" spans="2:13" s="17" customFormat="1" ht="12.75" thickBot="1" x14ac:dyDescent="0.35">
      <c r="B34" s="16" t="str">
        <f>VLOOKUP($E34,서비스!$C:$G,4,0)</f>
        <v>검측체크리스트 작성이력</v>
      </c>
      <c r="C34" s="16" t="str">
        <f>VLOOKUP($E34,서비스!$C:$G,5,0)</f>
        <v>검측체크리스트 작성이력</v>
      </c>
      <c r="D34" s="16" t="str">
        <f t="shared" si="0"/>
        <v>testChkList</v>
      </c>
      <c r="E34" s="16" t="s">
        <v>74</v>
      </c>
      <c r="F34" s="16" t="str">
        <f t="shared" si="1"/>
        <v>TestChkListDTO.java</v>
      </c>
      <c r="G34" s="16" t="s">
        <v>74</v>
      </c>
      <c r="H34" s="16" t="s">
        <v>125</v>
      </c>
      <c r="I34" s="16" t="s">
        <v>121</v>
      </c>
      <c r="J34" s="16" t="s">
        <v>120</v>
      </c>
      <c r="K34" s="16" t="s">
        <v>253</v>
      </c>
      <c r="L34" s="16"/>
      <c r="M34" s="16"/>
    </row>
    <row r="35" spans="2:13" ht="12" customHeight="1" thickTop="1" x14ac:dyDescent="0.3">
      <c r="B35" s="15" t="str">
        <f>VLOOKUP($E35,서비스!$C:$G,4,0)</f>
        <v>시공사 점검(체크리스트)작성</v>
      </c>
      <c r="C35" s="15" t="str">
        <f>VLOOKUP($E35,서비스!$C:$G,5,0)</f>
        <v>체크리스트항목, 마스터상세  동시저장</v>
      </c>
      <c r="D35" s="15" t="str">
        <f t="shared" si="0"/>
        <v>bldChkupWrtSave</v>
      </c>
      <c r="E35" s="15" t="s">
        <v>315</v>
      </c>
      <c r="F35" s="15" t="str">
        <f t="shared" si="1"/>
        <v>BldChkupWrtDtlSaveDTO.java</v>
      </c>
      <c r="G35" s="15" t="s">
        <v>197</v>
      </c>
      <c r="H35" s="15" t="s">
        <v>126</v>
      </c>
      <c r="I35" s="15" t="s">
        <v>162</v>
      </c>
      <c r="J35" s="15" t="s">
        <v>163</v>
      </c>
      <c r="K35" s="15" t="s">
        <v>163</v>
      </c>
      <c r="L35" s="15" t="s">
        <v>164</v>
      </c>
      <c r="M35" s="15"/>
    </row>
    <row r="36" spans="2:13" ht="12" customHeight="1" x14ac:dyDescent="0.3">
      <c r="B36" s="15" t="str">
        <f>VLOOKUP($E36,서비스!$C:$G,4,0)</f>
        <v>시공사 점검(체크리스트)작성</v>
      </c>
      <c r="C36" s="15" t="str">
        <f>VLOOKUP($E36,서비스!$C:$G,5,0)</f>
        <v>체크리스트항목, 마스터상세  동시저장</v>
      </c>
      <c r="D36" s="15" t="str">
        <f t="shared" si="0"/>
        <v>bldChkupWrtSave</v>
      </c>
      <c r="E36" s="15" t="s">
        <v>314</v>
      </c>
      <c r="F36" s="15" t="str">
        <f t="shared" si="1"/>
        <v>BldChkupWrtDtlSaveDTO.java</v>
      </c>
      <c r="G36" s="15" t="s">
        <v>197</v>
      </c>
      <c r="H36" s="15" t="s">
        <v>126</v>
      </c>
      <c r="I36" s="15" t="s">
        <v>302</v>
      </c>
      <c r="J36" s="15" t="s">
        <v>300</v>
      </c>
      <c r="K36" s="15" t="s">
        <v>299</v>
      </c>
      <c r="L36" s="15" t="s">
        <v>311</v>
      </c>
      <c r="M36" s="15"/>
    </row>
    <row r="37" spans="2:13" ht="26.25" customHeight="1" x14ac:dyDescent="0.3">
      <c r="B37" s="13" t="str">
        <f>VLOOKUP($E37,서비스!$C:$G,4,0)</f>
        <v>시공사 점검(체크리스트)작성</v>
      </c>
      <c r="C37" s="13" t="str">
        <f>VLOOKUP($E37,서비스!$C:$G,5,0)</f>
        <v>체크리스트항목, 마스터상세  동시저장</v>
      </c>
      <c r="D37" s="13" t="str">
        <f t="shared" si="0"/>
        <v>bldChkupWrtSave</v>
      </c>
      <c r="E37" s="13" t="s">
        <v>314</v>
      </c>
      <c r="F37" s="13" t="str">
        <f t="shared" si="1"/>
        <v>BldChkupWrtDtlSaveDTO.java</v>
      </c>
      <c r="G37" s="13" t="s">
        <v>197</v>
      </c>
      <c r="H37" s="13" t="s">
        <v>126</v>
      </c>
      <c r="I37" s="13" t="s">
        <v>124</v>
      </c>
      <c r="J37" s="13" t="s">
        <v>144</v>
      </c>
      <c r="K37" s="13" t="s">
        <v>257</v>
      </c>
      <c r="L37" s="13" t="s">
        <v>161</v>
      </c>
      <c r="M37" s="13"/>
    </row>
    <row r="38" spans="2:13" ht="26.25" customHeight="1" x14ac:dyDescent="0.3">
      <c r="B38" s="13" t="str">
        <f>VLOOKUP($E38,서비스!$C:$G,4,0)</f>
        <v>시공사 점검(체크리스트)작성</v>
      </c>
      <c r="C38" s="13" t="str">
        <f>VLOOKUP($E38,서비스!$C:$G,5,0)</f>
        <v>체크리스트항목, 마스터상세  동시저장</v>
      </c>
      <c r="D38" s="13" t="str">
        <f t="shared" si="0"/>
        <v>bldChkupWrtSave</v>
      </c>
      <c r="E38" s="13" t="s">
        <v>314</v>
      </c>
      <c r="F38" s="13" t="str">
        <f t="shared" si="1"/>
        <v>BldChkupWrtDtlSaveDTO.java</v>
      </c>
      <c r="G38" s="13" t="s">
        <v>197</v>
      </c>
      <c r="H38" s="13" t="s">
        <v>126</v>
      </c>
      <c r="I38" s="13" t="s">
        <v>30</v>
      </c>
      <c r="J38" s="13" t="s">
        <v>135</v>
      </c>
      <c r="K38" s="13" t="s">
        <v>255</v>
      </c>
      <c r="L38" s="13" t="s">
        <v>161</v>
      </c>
      <c r="M38" s="13"/>
    </row>
    <row r="39" spans="2:13" ht="12" customHeight="1" x14ac:dyDescent="0.3">
      <c r="B39" s="13" t="str">
        <f>VLOOKUP($E39,서비스!$C:$G,4,0)</f>
        <v>시공사 점검(체크리스트)작성</v>
      </c>
      <c r="C39" s="13" t="str">
        <f>VLOOKUP($E39,서비스!$C:$G,5,0)</f>
        <v>체크리스트항목, 마스터상세  동시저장</v>
      </c>
      <c r="D39" s="13" t="str">
        <f t="shared" si="0"/>
        <v>bldChkupWrtSave</v>
      </c>
      <c r="E39" s="13" t="s">
        <v>314</v>
      </c>
      <c r="F39" s="13" t="str">
        <f t="shared" si="1"/>
        <v>BldChkupWrtDtlSaveDTO.java</v>
      </c>
      <c r="G39" s="13" t="s">
        <v>197</v>
      </c>
      <c r="H39" s="13" t="s">
        <v>126</v>
      </c>
      <c r="I39" s="13" t="s">
        <v>156</v>
      </c>
      <c r="J39" s="13" t="s">
        <v>12</v>
      </c>
      <c r="K39" s="13" t="s">
        <v>12</v>
      </c>
      <c r="L39" s="13"/>
      <c r="M39" s="13"/>
    </row>
    <row r="40" spans="2:13" ht="12" customHeight="1" x14ac:dyDescent="0.3">
      <c r="B40" s="13" t="str">
        <f>VLOOKUP($E40,서비스!$C:$G,4,0)</f>
        <v>시공사 점검(체크리스트)작성</v>
      </c>
      <c r="C40" s="13" t="str">
        <f>VLOOKUP($E40,서비스!$C:$G,5,0)</f>
        <v>체크리스트항목, 마스터상세  동시저장</v>
      </c>
      <c r="D40" s="13" t="str">
        <f t="shared" si="0"/>
        <v>bldChkupWrtSave</v>
      </c>
      <c r="E40" s="13" t="s">
        <v>314</v>
      </c>
      <c r="F40" s="13" t="str">
        <f t="shared" si="1"/>
        <v>BldChkupWrtDtlSaveDTO.java</v>
      </c>
      <c r="G40" s="13" t="s">
        <v>197</v>
      </c>
      <c r="H40" s="13" t="s">
        <v>126</v>
      </c>
      <c r="I40" s="13" t="s">
        <v>107</v>
      </c>
      <c r="J40" s="13" t="s">
        <v>13</v>
      </c>
      <c r="K40" s="13" t="s">
        <v>13</v>
      </c>
      <c r="L40" s="13"/>
      <c r="M40" s="13"/>
    </row>
    <row r="41" spans="2:13" ht="12" customHeight="1" x14ac:dyDescent="0.3">
      <c r="B41" s="13" t="str">
        <f>VLOOKUP($E41,서비스!$C:$G,4,0)</f>
        <v>시공사 점검(체크리스트)작성</v>
      </c>
      <c r="C41" s="13" t="str">
        <f>VLOOKUP($E41,서비스!$C:$G,5,0)</f>
        <v>체크리스트항목, 마스터상세  동시저장</v>
      </c>
      <c r="D41" s="13" t="str">
        <f t="shared" si="0"/>
        <v>bldChkupWrtSave</v>
      </c>
      <c r="E41" s="13" t="s">
        <v>314</v>
      </c>
      <c r="F41" s="13" t="str">
        <f t="shared" si="1"/>
        <v>BldChkupWrtDtlSaveDTO.java</v>
      </c>
      <c r="G41" s="13" t="s">
        <v>197</v>
      </c>
      <c r="H41" s="13" t="s">
        <v>126</v>
      </c>
      <c r="I41" s="13" t="s">
        <v>108</v>
      </c>
      <c r="J41" s="13" t="s">
        <v>109</v>
      </c>
      <c r="K41" s="13" t="s">
        <v>247</v>
      </c>
      <c r="L41" s="13"/>
      <c r="M41" s="13"/>
    </row>
    <row r="42" spans="2:13" ht="12" customHeight="1" x14ac:dyDescent="0.3">
      <c r="B42" s="13" t="str">
        <f>VLOOKUP($E42,서비스!$C:$G,4,0)</f>
        <v>시공사 점검(체크리스트)작성</v>
      </c>
      <c r="C42" s="13" t="str">
        <f>VLOOKUP($E42,서비스!$C:$G,5,0)</f>
        <v>체크리스트항목, 마스터상세  동시저장</v>
      </c>
      <c r="D42" s="13" t="str">
        <f t="shared" si="0"/>
        <v>bldChkupWrtSave</v>
      </c>
      <c r="E42" s="13" t="s">
        <v>314</v>
      </c>
      <c r="F42" s="13" t="str">
        <f t="shared" si="1"/>
        <v>BldChkupWrtDtlSaveDTO.java</v>
      </c>
      <c r="G42" s="13" t="s">
        <v>197</v>
      </c>
      <c r="H42" s="13" t="s">
        <v>126</v>
      </c>
      <c r="I42" s="13" t="s">
        <v>157</v>
      </c>
      <c r="J42" s="13" t="s">
        <v>159</v>
      </c>
      <c r="K42" s="13" t="s">
        <v>258</v>
      </c>
      <c r="L42" s="13"/>
      <c r="M42" s="13"/>
    </row>
    <row r="43" spans="2:13" ht="12" customHeight="1" x14ac:dyDescent="0.3">
      <c r="B43" s="13" t="str">
        <f>VLOOKUP($E43,서비스!$C:$G,4,0)</f>
        <v>시공사 점검(체크리스트)작성</v>
      </c>
      <c r="C43" s="13" t="str">
        <f>VLOOKUP($E43,서비스!$C:$G,5,0)</f>
        <v>체크리스트항목, 마스터상세  동시저장</v>
      </c>
      <c r="D43" s="13" t="str">
        <f t="shared" si="0"/>
        <v>bldChkupWrtSave</v>
      </c>
      <c r="E43" s="13" t="s">
        <v>314</v>
      </c>
      <c r="F43" s="13" t="str">
        <f t="shared" si="1"/>
        <v>BldChkupWrtDtlSaveDTO.java</v>
      </c>
      <c r="G43" s="13" t="s">
        <v>197</v>
      </c>
      <c r="H43" s="13" t="s">
        <v>126</v>
      </c>
      <c r="I43" s="13" t="s">
        <v>158</v>
      </c>
      <c r="J43" s="13" t="s">
        <v>160</v>
      </c>
      <c r="K43" s="13" t="s">
        <v>259</v>
      </c>
      <c r="L43" s="13"/>
      <c r="M43" s="13"/>
    </row>
    <row r="44" spans="2:13" s="17" customFormat="1" ht="12" customHeight="1" thickBot="1" x14ac:dyDescent="0.35">
      <c r="B44" s="16" t="str">
        <f>VLOOKUP($E44,서비스!$C:$G,4,0)</f>
        <v>시공사 점검(체크리스트)작성</v>
      </c>
      <c r="C44" s="16" t="str">
        <f>VLOOKUP($E44,서비스!$C:$G,5,0)</f>
        <v>체크리스트항목, 마스터상세  동시저장</v>
      </c>
      <c r="D44" s="16" t="str">
        <f t="shared" si="0"/>
        <v>bldChkupWrtSave</v>
      </c>
      <c r="E44" s="16" t="s">
        <v>314</v>
      </c>
      <c r="F44" s="16" t="str">
        <f t="shared" si="1"/>
        <v>BldChkupWrtDtlSaveDTO.java</v>
      </c>
      <c r="G44" s="16" t="s">
        <v>197</v>
      </c>
      <c r="H44" s="16" t="s">
        <v>126</v>
      </c>
      <c r="I44" s="16" t="s">
        <v>128</v>
      </c>
      <c r="J44" s="16" t="s">
        <v>130</v>
      </c>
      <c r="K44" s="16" t="s">
        <v>260</v>
      </c>
      <c r="L44" s="16"/>
      <c r="M44" s="16"/>
    </row>
    <row r="45" spans="2:13" s="24" customFormat="1" ht="12" customHeight="1" thickTop="1" thickBot="1" x14ac:dyDescent="0.35">
      <c r="B45" s="23" t="str">
        <f>VLOOKUP($E45,서비스!$C:$G,4,0)</f>
        <v>시공사 점검(체크리스트)작성</v>
      </c>
      <c r="C45" s="23" t="str">
        <f>VLOOKUP($E45,서비스!$C:$G,5,0)</f>
        <v>체크리스트항목, 마스터상세  동시저장</v>
      </c>
      <c r="D45" s="23" t="str">
        <f t="shared" si="0"/>
        <v>bldChkupWrtSave</v>
      </c>
      <c r="E45" s="23" t="s">
        <v>314</v>
      </c>
      <c r="F45" s="23" t="str">
        <f t="shared" si="1"/>
        <v>BldChkupWrtDtlSaveDTO.java</v>
      </c>
      <c r="G45" s="23" t="s">
        <v>197</v>
      </c>
      <c r="H45" s="23" t="s">
        <v>228</v>
      </c>
      <c r="I45" s="23" t="s">
        <v>310</v>
      </c>
      <c r="J45" s="23" t="s">
        <v>308</v>
      </c>
      <c r="K45" s="23" t="s">
        <v>309</v>
      </c>
      <c r="L45" s="23"/>
      <c r="M45" s="23"/>
    </row>
    <row r="46" spans="2:13" ht="12" customHeight="1" thickTop="1" x14ac:dyDescent="0.3">
      <c r="B46" s="15" t="str">
        <f>VLOOKUP($E46,서비스!$C:$G,4,0)</f>
        <v>시공사 점검(체크리스트)작성</v>
      </c>
      <c r="C46" s="15" t="str">
        <f>VLOOKUP($E46,서비스!$C:$G,5,0)</f>
        <v>체크리스트항목, 마스터상세  동시저장</v>
      </c>
      <c r="D46" s="15" t="str">
        <f t="shared" si="0"/>
        <v>bldChkupWrtSave</v>
      </c>
      <c r="E46" s="15" t="s">
        <v>314</v>
      </c>
      <c r="F46" s="15" t="str">
        <f t="shared" si="1"/>
        <v>BldChkupWrtItemSaveDTO.java</v>
      </c>
      <c r="G46" s="15" t="s">
        <v>199</v>
      </c>
      <c r="H46" s="15" t="s">
        <v>126</v>
      </c>
      <c r="I46" s="15" t="s">
        <v>162</v>
      </c>
      <c r="J46" s="15" t="s">
        <v>163</v>
      </c>
      <c r="K46" s="15" t="s">
        <v>163</v>
      </c>
      <c r="L46" s="15" t="s">
        <v>164</v>
      </c>
      <c r="M46" s="15"/>
    </row>
    <row r="47" spans="2:13" ht="12" customHeight="1" x14ac:dyDescent="0.3">
      <c r="B47" s="15" t="str">
        <f>VLOOKUP($E47,서비스!$C:$G,4,0)</f>
        <v>시공사 점검(체크리스트)작성</v>
      </c>
      <c r="C47" s="15" t="str">
        <f>VLOOKUP($E47,서비스!$C:$G,5,0)</f>
        <v>체크리스트항목, 마스터상세  동시저장</v>
      </c>
      <c r="D47" s="15" t="str">
        <f t="shared" si="0"/>
        <v>bldChkupWrtSave</v>
      </c>
      <c r="E47" s="15" t="s">
        <v>314</v>
      </c>
      <c r="F47" s="15" t="str">
        <f t="shared" si="1"/>
        <v>BldChkupWrtItemSaveDTO.java</v>
      </c>
      <c r="G47" s="15" t="s">
        <v>199</v>
      </c>
      <c r="H47" s="15" t="s">
        <v>126</v>
      </c>
      <c r="I47" s="15" t="s">
        <v>302</v>
      </c>
      <c r="J47" s="15" t="s">
        <v>300</v>
      </c>
      <c r="K47" s="15" t="s">
        <v>299</v>
      </c>
      <c r="L47" s="15" t="s">
        <v>301</v>
      </c>
      <c r="M47" s="15"/>
    </row>
    <row r="48" spans="2:13" ht="12" customHeight="1" x14ac:dyDescent="0.3">
      <c r="B48" s="13" t="str">
        <f>VLOOKUP($E48,서비스!$C:$G,4,0)</f>
        <v>시공사 점검(체크리스트)작성</v>
      </c>
      <c r="C48" s="13" t="str">
        <f>VLOOKUP($E48,서비스!$C:$G,5,0)</f>
        <v>체크리스트항목, 마스터상세  동시저장</v>
      </c>
      <c r="D48" s="13" t="str">
        <f t="shared" si="0"/>
        <v>bldChkupWrtSave</v>
      </c>
      <c r="E48" s="13" t="s">
        <v>314</v>
      </c>
      <c r="F48" s="13" t="str">
        <f t="shared" si="1"/>
        <v>BldChkupWrtItemSaveDTO.java</v>
      </c>
      <c r="G48" s="13" t="s">
        <v>199</v>
      </c>
      <c r="H48" s="13" t="s">
        <v>126</v>
      </c>
      <c r="I48" s="13" t="s">
        <v>30</v>
      </c>
      <c r="J48" s="13" t="s">
        <v>135</v>
      </c>
      <c r="K48" s="13" t="s">
        <v>255</v>
      </c>
      <c r="L48" s="13" t="s">
        <v>161</v>
      </c>
      <c r="M48" s="13"/>
    </row>
    <row r="49" spans="2:13" ht="12" customHeight="1" x14ac:dyDescent="0.3">
      <c r="B49" s="13" t="str">
        <f>VLOOKUP($E49,서비스!$C:$G,4,0)</f>
        <v>시공사 점검(체크리스트)작성</v>
      </c>
      <c r="C49" s="13" t="str">
        <f>VLOOKUP($E49,서비스!$C:$G,5,0)</f>
        <v>체크리스트항목, 마스터상세  동시저장</v>
      </c>
      <c r="D49" s="13" t="str">
        <f t="shared" si="0"/>
        <v>bldChkupWrtSave</v>
      </c>
      <c r="E49" s="13" t="s">
        <v>314</v>
      </c>
      <c r="F49" s="13" t="str">
        <f t="shared" si="1"/>
        <v>BldChkupWrtItemSaveDTO.java</v>
      </c>
      <c r="G49" s="13" t="s">
        <v>199</v>
      </c>
      <c r="H49" s="13" t="s">
        <v>126</v>
      </c>
      <c r="I49" s="13" t="s">
        <v>149</v>
      </c>
      <c r="J49" s="13" t="s">
        <v>154</v>
      </c>
      <c r="K49" s="13" t="s">
        <v>261</v>
      </c>
      <c r="L49" s="13" t="s">
        <v>161</v>
      </c>
      <c r="M49" s="13"/>
    </row>
    <row r="50" spans="2:13" ht="12" customHeight="1" x14ac:dyDescent="0.3">
      <c r="B50" s="13" t="str">
        <f>VLOOKUP($E50,서비스!$C:$G,4,0)</f>
        <v>시공사 점검(체크리스트)작성</v>
      </c>
      <c r="C50" s="13" t="str">
        <f>VLOOKUP($E50,서비스!$C:$G,5,0)</f>
        <v>체크리스트항목, 마스터상세  동시저장</v>
      </c>
      <c r="D50" s="13" t="str">
        <f t="shared" si="0"/>
        <v>bldChkupWrtSave</v>
      </c>
      <c r="E50" s="13" t="s">
        <v>314</v>
      </c>
      <c r="F50" s="13" t="str">
        <f t="shared" si="1"/>
        <v>BldChkupWrtItemSaveDTO.java</v>
      </c>
      <c r="G50" s="13" t="s">
        <v>199</v>
      </c>
      <c r="H50" s="13" t="s">
        <v>126</v>
      </c>
      <c r="I50" s="13" t="s">
        <v>215</v>
      </c>
      <c r="J50" s="13" t="s">
        <v>216</v>
      </c>
      <c r="K50" s="13" t="s">
        <v>262</v>
      </c>
      <c r="L50" s="13"/>
      <c r="M50" s="13"/>
    </row>
    <row r="51" spans="2:13" s="17" customFormat="1" ht="12" customHeight="1" thickBot="1" x14ac:dyDescent="0.35">
      <c r="B51" s="16" t="str">
        <f>VLOOKUP($E51,서비스!$C:$G,4,0)</f>
        <v>시공사 점검(체크리스트)작성</v>
      </c>
      <c r="C51" s="16" t="str">
        <f>VLOOKUP($E51,서비스!$C:$G,5,0)</f>
        <v>체크리스트항목, 마스터상세  동시저장</v>
      </c>
      <c r="D51" s="16" t="str">
        <f t="shared" si="0"/>
        <v>bldChkupWrtSave</v>
      </c>
      <c r="E51" s="16" t="s">
        <v>314</v>
      </c>
      <c r="F51" s="16" t="str">
        <f t="shared" ref="F51" si="4">ToCamel(G51) &amp; "DTO.java"</f>
        <v>BldChkupWrtItemSaveDTO.java</v>
      </c>
      <c r="G51" s="16" t="s">
        <v>199</v>
      </c>
      <c r="H51" s="16" t="s">
        <v>126</v>
      </c>
      <c r="I51" s="16" t="s">
        <v>148</v>
      </c>
      <c r="J51" s="16" t="s">
        <v>155</v>
      </c>
      <c r="K51" s="16" t="s">
        <v>263</v>
      </c>
      <c r="L51" s="16"/>
      <c r="M51" s="16"/>
    </row>
    <row r="52" spans="2:13" ht="27.75" customHeight="1" thickTop="1" x14ac:dyDescent="0.3">
      <c r="B52" s="15" t="str">
        <f>VLOOKUP($E52,서비스!$C:$G,4,0)</f>
        <v>시공사 점검(체크리스트)작성</v>
      </c>
      <c r="C52" s="15" t="str">
        <f>VLOOKUP($E52,서비스!$C:$G,5,0)</f>
        <v>검측마스터체크리스트 유무조회(신규작성시 세부공종, 점검일자에대한 중복확인 시 "확정"버튼 처리에서만 체크되게.)</v>
      </c>
      <c r="D52" s="15" t="str">
        <f t="shared" si="0"/>
        <v>bldChkupWrtDupChk</v>
      </c>
      <c r="E52" s="15" t="s">
        <v>140</v>
      </c>
      <c r="F52" s="15" t="str">
        <f t="shared" si="1"/>
        <v>BldChkupWrtDupChkDTO.java</v>
      </c>
      <c r="G52" s="15" t="s">
        <v>140</v>
      </c>
      <c r="H52" s="15" t="s">
        <v>126</v>
      </c>
      <c r="I52" s="15" t="s">
        <v>107</v>
      </c>
      <c r="J52" s="15" t="s">
        <v>142</v>
      </c>
      <c r="K52" s="15" t="s">
        <v>142</v>
      </c>
      <c r="L52" s="15"/>
      <c r="M52" s="15"/>
    </row>
    <row r="53" spans="2:13" ht="12" customHeight="1" x14ac:dyDescent="0.3">
      <c r="B53" s="13" t="str">
        <f>VLOOKUP($E53,서비스!$C:$G,4,0)</f>
        <v>시공사 점검(체크리스트)작성</v>
      </c>
      <c r="C53" s="13" t="str">
        <f>VLOOKUP($E53,서비스!$C:$G,5,0)</f>
        <v>검측마스터체크리스트 유무조회(신규작성시 세부공종, 점검일자에대한 중복확인 시 "확정"버튼 처리에서만 체크되게.)</v>
      </c>
      <c r="D53" s="13" t="str">
        <f t="shared" si="0"/>
        <v>bldChkupWrtDupChk</v>
      </c>
      <c r="E53" s="13" t="s">
        <v>140</v>
      </c>
      <c r="F53" s="13" t="str">
        <f t="shared" si="1"/>
        <v>BldChkupWrtDupChkDTO.java</v>
      </c>
      <c r="G53" s="13" t="s">
        <v>140</v>
      </c>
      <c r="H53" s="13" t="s">
        <v>185</v>
      </c>
      <c r="I53" s="13" t="s">
        <v>108</v>
      </c>
      <c r="J53" s="13" t="s">
        <v>143</v>
      </c>
      <c r="K53" s="13" t="s">
        <v>264</v>
      </c>
      <c r="L53" s="13"/>
      <c r="M53" s="13"/>
    </row>
    <row r="54" spans="2:13" s="34" customFormat="1" ht="12" customHeight="1" x14ac:dyDescent="0.3">
      <c r="B54" s="20" t="str">
        <f>VLOOKUP($E54,서비스!$C:$G,4,0)</f>
        <v>시공사 점검(체크리스트)작성</v>
      </c>
      <c r="C54" s="20" t="str">
        <f>VLOOKUP($E54,서비스!$C:$G,5,0)</f>
        <v>검측마스터체크리스트 유무조회(신규작성시 세부공종, 점검일자에대한 중복확인 시 "확정"버튼 처리에서만 체크되게.)</v>
      </c>
      <c r="D54" s="20" t="str">
        <f t="shared" si="0"/>
        <v>bldChkupWrtDupChk</v>
      </c>
      <c r="E54" s="22" t="s">
        <v>140</v>
      </c>
      <c r="F54" s="22" t="str">
        <f>ToCamel(G54) &amp; "DTO.java"</f>
        <v>BldChkupWrtDupChkDTO.java</v>
      </c>
      <c r="G54" s="22" t="s">
        <v>140</v>
      </c>
      <c r="H54" s="20" t="s">
        <v>126</v>
      </c>
      <c r="I54" s="20" t="s">
        <v>128</v>
      </c>
      <c r="J54" s="20" t="s">
        <v>131</v>
      </c>
      <c r="K54" s="20" t="s">
        <v>242</v>
      </c>
      <c r="L54" s="20"/>
      <c r="M54" s="20"/>
    </row>
    <row r="55" spans="2:13" ht="12" customHeight="1" x14ac:dyDescent="0.3">
      <c r="B55" s="15" t="str">
        <f>VLOOKUP($E55,서비스!$C:$G,4,0)</f>
        <v>시공사 점검(체크리스트)작성</v>
      </c>
      <c r="C55" s="15" t="str">
        <f>VLOOKUP($E55,서비스!$C:$G,5,0)</f>
        <v>검측마스터체크리스트 유무조회(신규작성시 세부공종, 점검일자에대한 중복확인 시 "확정"버튼 처리에서만 체크되게.)</v>
      </c>
      <c r="D55" s="15" t="str">
        <f t="shared" si="0"/>
        <v>bldChkupWrtDupChk</v>
      </c>
      <c r="E55" s="15" t="s">
        <v>140</v>
      </c>
      <c r="F55" s="15" t="str">
        <f t="shared" si="1"/>
        <v>BldChkupWrtDupChkDTO.java</v>
      </c>
      <c r="G55" s="15" t="s">
        <v>140</v>
      </c>
      <c r="H55" s="15" t="s">
        <v>325</v>
      </c>
      <c r="I55" s="15" t="s">
        <v>124</v>
      </c>
      <c r="J55" s="15" t="s">
        <v>144</v>
      </c>
      <c r="K55" s="15" t="s">
        <v>257</v>
      </c>
      <c r="L55" s="15"/>
      <c r="M55" s="15"/>
    </row>
    <row r="56" spans="2:13" s="17" customFormat="1" ht="12" customHeight="1" thickBot="1" x14ac:dyDescent="0.35">
      <c r="B56" s="16" t="str">
        <f>VLOOKUP($E56,서비스!$C:$G,4,0)</f>
        <v>시공사 점검(체크리스트)작성</v>
      </c>
      <c r="C56" s="16" t="str">
        <f>VLOOKUP($E56,서비스!$C:$G,5,0)</f>
        <v>검측마스터체크리스트 유무조회(신규작성시 세부공종, 점검일자에대한 중복확인 시 "확정"버튼 처리에서만 체크되게.)</v>
      </c>
      <c r="D56" s="16" t="str">
        <f t="shared" si="0"/>
        <v>bldChkupWrtDupChk</v>
      </c>
      <c r="E56" s="16" t="s">
        <v>140</v>
      </c>
      <c r="F56" s="16" t="str">
        <f t="shared" si="1"/>
        <v>BldChkupWrtDupChkDTO.java</v>
      </c>
      <c r="G56" s="16" t="s">
        <v>140</v>
      </c>
      <c r="H56" s="16" t="s">
        <v>125</v>
      </c>
      <c r="I56" s="16" t="s">
        <v>30</v>
      </c>
      <c r="J56" s="16" t="s">
        <v>135</v>
      </c>
      <c r="K56" s="16" t="s">
        <v>255</v>
      </c>
      <c r="L56" s="16"/>
      <c r="M56" s="16"/>
    </row>
    <row r="57" spans="2:13" ht="30" customHeight="1" thickTop="1" x14ac:dyDescent="0.3">
      <c r="B57" s="15" t="str">
        <f>VLOOKUP($E57,서비스!$C:$G,4,0)</f>
        <v>시공사 점검(체크리스트)작성</v>
      </c>
      <c r="C57" s="15" t="str">
        <f>VLOOKUP($E57,서비스!$C:$G,5,0)</f>
        <v>체크리스트항목조회</v>
      </c>
      <c r="D57" s="15" t="str">
        <f t="shared" si="0"/>
        <v>bldChkupWrtItemList</v>
      </c>
      <c r="E57" s="15" t="s">
        <v>214</v>
      </c>
      <c r="F57" s="15" t="str">
        <f t="shared" si="1"/>
        <v>BldChkupWrtItemListDTO.java</v>
      </c>
      <c r="G57" s="15" t="s">
        <v>214</v>
      </c>
      <c r="H57" s="15" t="s">
        <v>126</v>
      </c>
      <c r="I57" s="15" t="s">
        <v>302</v>
      </c>
      <c r="J57" s="15" t="s">
        <v>300</v>
      </c>
      <c r="K57" s="15" t="s">
        <v>299</v>
      </c>
      <c r="L57" s="15" t="s">
        <v>311</v>
      </c>
      <c r="M57" s="15"/>
    </row>
    <row r="58" spans="2:13" ht="12" customHeight="1" x14ac:dyDescent="0.3">
      <c r="B58" s="15" t="str">
        <f>VLOOKUP($E58,서비스!$C:$G,4,0)</f>
        <v>시공사 점검(체크리스트)작성</v>
      </c>
      <c r="C58" s="15" t="str">
        <f>VLOOKUP($E58,서비스!$C:$G,5,0)</f>
        <v>체크리스트항목조회</v>
      </c>
      <c r="D58" s="15" t="str">
        <f t="shared" si="0"/>
        <v>bldChkupWrtItemList</v>
      </c>
      <c r="E58" s="15" t="s">
        <v>214</v>
      </c>
      <c r="F58" s="15" t="str">
        <f t="shared" si="1"/>
        <v>BldChkupWrtItemListDTO.java</v>
      </c>
      <c r="G58" s="15" t="s">
        <v>214</v>
      </c>
      <c r="H58" s="15" t="s">
        <v>126</v>
      </c>
      <c r="I58" s="15" t="s">
        <v>124</v>
      </c>
      <c r="J58" s="15" t="s">
        <v>136</v>
      </c>
      <c r="K58" s="15" t="s">
        <v>254</v>
      </c>
      <c r="L58" s="15" t="s">
        <v>161</v>
      </c>
      <c r="M58" s="15"/>
    </row>
    <row r="59" spans="2:13" ht="12" customHeight="1" x14ac:dyDescent="0.3">
      <c r="B59" s="13" t="str">
        <f>VLOOKUP($E59,서비스!$C:$G,4,0)</f>
        <v>시공사 점검(체크리스트)작성</v>
      </c>
      <c r="C59" s="13" t="str">
        <f>VLOOKUP($E59,서비스!$C:$G,5,0)</f>
        <v>체크리스트항목조회</v>
      </c>
      <c r="D59" s="13" t="str">
        <f t="shared" si="0"/>
        <v>bldChkupWrtItemList</v>
      </c>
      <c r="E59" s="13" t="s">
        <v>214</v>
      </c>
      <c r="F59" s="13" t="str">
        <f t="shared" si="1"/>
        <v>BldChkupWrtItemListDTO.java</v>
      </c>
      <c r="G59" s="13" t="s">
        <v>214</v>
      </c>
      <c r="H59" s="13" t="s">
        <v>126</v>
      </c>
      <c r="I59" s="13" t="s">
        <v>30</v>
      </c>
      <c r="J59" s="13" t="s">
        <v>137</v>
      </c>
      <c r="K59" s="13" t="s">
        <v>265</v>
      </c>
      <c r="L59" s="13" t="s">
        <v>161</v>
      </c>
      <c r="M59" s="13"/>
    </row>
    <row r="60" spans="2:13" x14ac:dyDescent="0.3">
      <c r="B60" s="13" t="str">
        <f>VLOOKUP($E60,서비스!$C:$G,4,0)</f>
        <v>시공사 점검(체크리스트)작성</v>
      </c>
      <c r="C60" s="13" t="str">
        <f>VLOOKUP($E60,서비스!$C:$G,5,0)</f>
        <v>체크리스트항목조회</v>
      </c>
      <c r="D60" s="13" t="str">
        <f t="shared" si="0"/>
        <v>bldChkupWrtItemList</v>
      </c>
      <c r="E60" s="13" t="s">
        <v>214</v>
      </c>
      <c r="F60" s="13" t="str">
        <f t="shared" si="1"/>
        <v>BldChkupWrtItemListDTO.java</v>
      </c>
      <c r="G60" s="13" t="s">
        <v>214</v>
      </c>
      <c r="H60" s="13" t="s">
        <v>126</v>
      </c>
      <c r="I60" s="13" t="s">
        <v>107</v>
      </c>
      <c r="J60" s="13" t="s">
        <v>142</v>
      </c>
      <c r="K60" s="13" t="s">
        <v>142</v>
      </c>
      <c r="L60" s="13"/>
      <c r="M60" s="13"/>
    </row>
    <row r="61" spans="2:13" x14ac:dyDescent="0.3">
      <c r="B61" s="13" t="str">
        <f>VLOOKUP($E61,서비스!$C:$G,4,0)</f>
        <v>시공사 점검(체크리스트)작성</v>
      </c>
      <c r="C61" s="13" t="str">
        <f>VLOOKUP($E61,서비스!$C:$G,5,0)</f>
        <v>체크리스트항목조회</v>
      </c>
      <c r="D61" s="13" t="str">
        <f t="shared" si="0"/>
        <v>bldChkupWrtItemList</v>
      </c>
      <c r="E61" s="13" t="s">
        <v>214</v>
      </c>
      <c r="F61" s="13" t="str">
        <f t="shared" si="1"/>
        <v>BldChkupWrtItemListDTO.java</v>
      </c>
      <c r="G61" s="13" t="s">
        <v>214</v>
      </c>
      <c r="H61" s="13" t="s">
        <v>126</v>
      </c>
      <c r="I61" s="13" t="s">
        <v>128</v>
      </c>
      <c r="J61" s="13" t="s">
        <v>131</v>
      </c>
      <c r="K61" s="13" t="s">
        <v>242</v>
      </c>
      <c r="L61" s="13"/>
      <c r="M61" s="13"/>
    </row>
    <row r="62" spans="2:13" x14ac:dyDescent="0.3">
      <c r="B62" s="13" t="str">
        <f>VLOOKUP($E62,서비스!$C:$G,4,0)</f>
        <v>시공사 점검(체크리스트)작성</v>
      </c>
      <c r="C62" s="13" t="str">
        <f>VLOOKUP($E62,서비스!$C:$G,5,0)</f>
        <v>체크리스트항목조회</v>
      </c>
      <c r="D62" s="13" t="str">
        <f t="shared" si="0"/>
        <v>bldChkupWrtItemList</v>
      </c>
      <c r="E62" s="13" t="s">
        <v>214</v>
      </c>
      <c r="F62" s="13" t="str">
        <f t="shared" si="1"/>
        <v>BldChkupWrtItemListDTO.java</v>
      </c>
      <c r="G62" s="13" t="s">
        <v>214</v>
      </c>
      <c r="H62" s="13" t="s">
        <v>125</v>
      </c>
      <c r="I62" s="13" t="s">
        <v>149</v>
      </c>
      <c r="J62" s="13" t="s">
        <v>150</v>
      </c>
      <c r="K62" s="13" t="s">
        <v>266</v>
      </c>
      <c r="L62" s="13"/>
      <c r="M62" s="13"/>
    </row>
    <row r="63" spans="2:13" x14ac:dyDescent="0.3">
      <c r="B63" s="13" t="str">
        <f>VLOOKUP($E63,서비스!$C:$G,4,0)</f>
        <v>시공사 점검(체크리스트)작성</v>
      </c>
      <c r="C63" s="13" t="str">
        <f>VLOOKUP($E63,서비스!$C:$G,5,0)</f>
        <v>체크리스트항목조회</v>
      </c>
      <c r="D63" s="13" t="str">
        <f t="shared" si="0"/>
        <v>bldChkupWrtItemList</v>
      </c>
      <c r="E63" s="13" t="s">
        <v>214</v>
      </c>
      <c r="F63" s="13" t="str">
        <f t="shared" si="1"/>
        <v>BldChkupWrtItemListDTO.java</v>
      </c>
      <c r="G63" s="13" t="s">
        <v>214</v>
      </c>
      <c r="H63" s="13" t="s">
        <v>125</v>
      </c>
      <c r="I63" s="13" t="s">
        <v>146</v>
      </c>
      <c r="J63" s="19" t="s">
        <v>291</v>
      </c>
      <c r="K63" s="19" t="s">
        <v>293</v>
      </c>
      <c r="L63" s="13"/>
      <c r="M63" s="13"/>
    </row>
    <row r="64" spans="2:13" x14ac:dyDescent="0.3">
      <c r="B64" s="13" t="str">
        <f>VLOOKUP($E64,서비스!$C:$G,4,0)</f>
        <v>시공사 점검(체크리스트)작성</v>
      </c>
      <c r="C64" s="13" t="str">
        <f>VLOOKUP($E64,서비스!$C:$G,5,0)</f>
        <v>체크리스트항목조회</v>
      </c>
      <c r="D64" s="13" t="str">
        <f t="shared" si="0"/>
        <v>bldChkupWrtItemList</v>
      </c>
      <c r="E64" s="13" t="s">
        <v>214</v>
      </c>
      <c r="F64" s="13" t="str">
        <f t="shared" si="1"/>
        <v>BldChkupWrtItemListDTO.java</v>
      </c>
      <c r="G64" s="13" t="s">
        <v>214</v>
      </c>
      <c r="H64" s="13" t="s">
        <v>125</v>
      </c>
      <c r="I64" s="13" t="s">
        <v>147</v>
      </c>
      <c r="J64" s="19" t="s">
        <v>292</v>
      </c>
      <c r="K64" s="19" t="s">
        <v>294</v>
      </c>
      <c r="L64" s="13"/>
      <c r="M64" s="13"/>
    </row>
    <row r="65" spans="2:13" x14ac:dyDescent="0.3">
      <c r="B65" s="13" t="str">
        <f>VLOOKUP($E65,서비스!$C:$G,4,0)</f>
        <v>시공사 점검(체크리스트)작성</v>
      </c>
      <c r="C65" s="13" t="str">
        <f>VLOOKUP($E65,서비스!$C:$G,5,0)</f>
        <v>체크리스트항목조회</v>
      </c>
      <c r="D65" s="13" t="str">
        <f t="shared" si="0"/>
        <v>bldChkupWrtItemList</v>
      </c>
      <c r="E65" s="13" t="s">
        <v>214</v>
      </c>
      <c r="F65" s="13" t="str">
        <f t="shared" si="1"/>
        <v>BldChkupWrtItemListDTO.java</v>
      </c>
      <c r="G65" s="13" t="s">
        <v>214</v>
      </c>
      <c r="H65" s="13" t="s">
        <v>125</v>
      </c>
      <c r="I65" s="13" t="s">
        <v>148</v>
      </c>
      <c r="J65" s="13" t="s">
        <v>153</v>
      </c>
      <c r="K65" s="13" t="s">
        <v>267</v>
      </c>
      <c r="L65" s="13"/>
      <c r="M65" s="13"/>
    </row>
    <row r="66" spans="2:13" s="17" customFormat="1" ht="12.75" thickBot="1" x14ac:dyDescent="0.35">
      <c r="B66" s="16" t="str">
        <f>VLOOKUP($E66,서비스!$C:$G,4,0)</f>
        <v>시공사 점검(체크리스트)작성</v>
      </c>
      <c r="C66" s="16" t="str">
        <f>VLOOKUP($E66,서비스!$C:$G,5,0)</f>
        <v>체크리스트항목조회</v>
      </c>
      <c r="D66" s="16" t="str">
        <f t="shared" si="0"/>
        <v>bldChkupWrtItemList</v>
      </c>
      <c r="E66" s="16" t="s">
        <v>214</v>
      </c>
      <c r="F66" s="16" t="str">
        <f t="shared" si="1"/>
        <v>BldChkupWrtItemListDTO.java</v>
      </c>
      <c r="G66" s="16" t="s">
        <v>214</v>
      </c>
      <c r="H66" s="16" t="s">
        <v>125</v>
      </c>
      <c r="I66" s="16" t="s">
        <v>215</v>
      </c>
      <c r="J66" s="16" t="s">
        <v>216</v>
      </c>
      <c r="K66" s="16" t="s">
        <v>262</v>
      </c>
      <c r="L66" s="16"/>
      <c r="M66" s="16"/>
    </row>
    <row r="67" spans="2:13" ht="27.75" customHeight="1" thickTop="1" x14ac:dyDescent="0.3">
      <c r="B67" s="15" t="str">
        <f>VLOOKUP($E67,서비스!$C:$G,4,0)</f>
        <v>시공사 점검(체크리스트)작성</v>
      </c>
      <c r="C67" s="15" t="str">
        <f>VLOOKUP($E67,서비스!$C:$G,5,0)</f>
        <v>체크리스트마스터상세 : 수정시 조회필요</v>
      </c>
      <c r="D67" s="15" t="str">
        <f t="shared" si="0"/>
        <v>bldChkupWrtDtl</v>
      </c>
      <c r="E67" s="15" t="s">
        <v>165</v>
      </c>
      <c r="F67" s="15" t="str">
        <f t="shared" si="1"/>
        <v>BldChkupWrtDtlDTO.java</v>
      </c>
      <c r="G67" s="15" t="s">
        <v>165</v>
      </c>
      <c r="H67" s="15" t="s">
        <v>126</v>
      </c>
      <c r="I67" s="15" t="s">
        <v>302</v>
      </c>
      <c r="J67" s="15" t="s">
        <v>300</v>
      </c>
      <c r="K67" s="15" t="s">
        <v>299</v>
      </c>
      <c r="L67" s="15" t="s">
        <v>311</v>
      </c>
      <c r="M67" s="15"/>
    </row>
    <row r="68" spans="2:13" ht="12" customHeight="1" x14ac:dyDescent="0.3">
      <c r="B68" s="15" t="str">
        <f>VLOOKUP($E68,서비스!$C:$G,4,0)</f>
        <v>시공사 점검(체크리스트)작성</v>
      </c>
      <c r="C68" s="15" t="str">
        <f>VLOOKUP($E68,서비스!$C:$G,5,0)</f>
        <v>체크리스트마스터상세 : 수정시 조회필요</v>
      </c>
      <c r="D68" s="15" t="str">
        <f t="shared" si="0"/>
        <v>bldChkupWrtDtl</v>
      </c>
      <c r="E68" s="15" t="s">
        <v>165</v>
      </c>
      <c r="F68" s="15" t="str">
        <f t="shared" si="1"/>
        <v>BldChkupWrtDtlDTO.java</v>
      </c>
      <c r="G68" s="15" t="s">
        <v>165</v>
      </c>
      <c r="H68" s="15" t="s">
        <v>126</v>
      </c>
      <c r="I68" s="15" t="s">
        <v>124</v>
      </c>
      <c r="J68" s="15" t="s">
        <v>136</v>
      </c>
      <c r="K68" s="15" t="s">
        <v>254</v>
      </c>
      <c r="L68" s="15" t="s">
        <v>161</v>
      </c>
      <c r="M68" s="15"/>
    </row>
    <row r="69" spans="2:13" ht="12" customHeight="1" x14ac:dyDescent="0.3">
      <c r="B69" s="13" t="str">
        <f>VLOOKUP($E69,서비스!$C:$G,4,0)</f>
        <v>시공사 점검(체크리스트)작성</v>
      </c>
      <c r="C69" s="13" t="str">
        <f>VLOOKUP($E69,서비스!$C:$G,5,0)</f>
        <v>체크리스트마스터상세 : 수정시 조회필요</v>
      </c>
      <c r="D69" s="13" t="str">
        <f t="shared" si="0"/>
        <v>bldChkupWrtDtl</v>
      </c>
      <c r="E69" s="13" t="s">
        <v>165</v>
      </c>
      <c r="F69" s="13" t="str">
        <f t="shared" si="1"/>
        <v>BldChkupWrtDtlDTO.java</v>
      </c>
      <c r="G69" s="13" t="s">
        <v>165</v>
      </c>
      <c r="H69" s="13" t="s">
        <v>126</v>
      </c>
      <c r="I69" s="13" t="s">
        <v>30</v>
      </c>
      <c r="J69" s="13" t="s">
        <v>137</v>
      </c>
      <c r="K69" s="13" t="s">
        <v>265</v>
      </c>
      <c r="L69" s="13" t="s">
        <v>161</v>
      </c>
      <c r="M69" s="13"/>
    </row>
    <row r="70" spans="2:13" s="21" customFormat="1" ht="12" customHeight="1" x14ac:dyDescent="0.3">
      <c r="B70" s="20" t="str">
        <f>VLOOKUP($E70,서비스!$C:$G,4,0)</f>
        <v>시공사 점검(체크리스트)작성</v>
      </c>
      <c r="C70" s="20" t="str">
        <f>VLOOKUP($E70,서비스!$C:$G,5,0)</f>
        <v>체크리스트마스터상세 : 수정시 조회필요</v>
      </c>
      <c r="D70" s="20" t="str">
        <f t="shared" si="0"/>
        <v>bldChkupWrtDtl</v>
      </c>
      <c r="E70" s="20" t="s">
        <v>165</v>
      </c>
      <c r="F70" s="20" t="str">
        <f t="shared" si="1"/>
        <v>BldChkupWrtDtlDTO.java</v>
      </c>
      <c r="G70" s="20" t="s">
        <v>165</v>
      </c>
      <c r="H70" s="20" t="s">
        <v>126</v>
      </c>
      <c r="I70" s="20" t="s">
        <v>156</v>
      </c>
      <c r="J70" s="20" t="s">
        <v>12</v>
      </c>
      <c r="K70" s="20" t="s">
        <v>12</v>
      </c>
      <c r="L70" s="20"/>
      <c r="M70" s="20"/>
    </row>
    <row r="71" spans="2:13" s="21" customFormat="1" ht="12" customHeight="1" x14ac:dyDescent="0.3">
      <c r="B71" s="20" t="str">
        <f>VLOOKUP($E71,서비스!$C:$G,4,0)</f>
        <v>시공사 점검(체크리스트)작성</v>
      </c>
      <c r="C71" s="20" t="str">
        <f>VLOOKUP($E71,서비스!$C:$G,5,0)</f>
        <v>체크리스트마스터상세 : 수정시 조회필요</v>
      </c>
      <c r="D71" s="20" t="str">
        <f t="shared" si="0"/>
        <v>bldChkupWrtDtl</v>
      </c>
      <c r="E71" s="20" t="s">
        <v>165</v>
      </c>
      <c r="F71" s="20" t="str">
        <f t="shared" si="1"/>
        <v>BldChkupWrtDtlDTO.java</v>
      </c>
      <c r="G71" s="20" t="s">
        <v>165</v>
      </c>
      <c r="H71" s="20" t="s">
        <v>126</v>
      </c>
      <c r="I71" s="20" t="s">
        <v>107</v>
      </c>
      <c r="J71" s="20" t="s">
        <v>13</v>
      </c>
      <c r="K71" s="20" t="s">
        <v>13</v>
      </c>
      <c r="L71" s="20"/>
      <c r="M71" s="20"/>
    </row>
    <row r="72" spans="2:13" ht="12" customHeight="1" x14ac:dyDescent="0.3">
      <c r="B72" s="13" t="str">
        <f>VLOOKUP($E72,서비스!$C:$G,4,0)</f>
        <v>시공사 점검(체크리스트)작성</v>
      </c>
      <c r="C72" s="13" t="str">
        <f>VLOOKUP($E72,서비스!$C:$G,5,0)</f>
        <v>체크리스트마스터상세 : 수정시 조회필요</v>
      </c>
      <c r="D72" s="13" t="str">
        <f t="shared" ref="D72:D140" si="5">ToCamelLower(E72)</f>
        <v>bldChkupWrtDtl</v>
      </c>
      <c r="E72" s="13" t="s">
        <v>165</v>
      </c>
      <c r="F72" s="13" t="str">
        <f t="shared" ref="F72:F141" si="6">ToCamel(G72) &amp; "DTO.java"</f>
        <v>BldChkupWrtDtlDTO.java</v>
      </c>
      <c r="G72" s="13" t="s">
        <v>165</v>
      </c>
      <c r="H72" s="13" t="s">
        <v>125</v>
      </c>
      <c r="I72" s="13" t="s">
        <v>108</v>
      </c>
      <c r="J72" s="13" t="s">
        <v>109</v>
      </c>
      <c r="K72" s="13" t="s">
        <v>247</v>
      </c>
      <c r="L72" s="13"/>
      <c r="M72" s="13"/>
    </row>
    <row r="73" spans="2:13" ht="12" customHeight="1" x14ac:dyDescent="0.3">
      <c r="B73" s="13" t="str">
        <f>VLOOKUP($E73,서비스!$C:$G,4,0)</f>
        <v>시공사 점검(체크리스트)작성</v>
      </c>
      <c r="C73" s="13" t="str">
        <f>VLOOKUP($E73,서비스!$C:$G,5,0)</f>
        <v>체크리스트마스터상세 : 수정시 조회필요</v>
      </c>
      <c r="D73" s="13" t="str">
        <f t="shared" si="5"/>
        <v>bldChkupWrtDtl</v>
      </c>
      <c r="E73" s="13" t="s">
        <v>165</v>
      </c>
      <c r="F73" s="13" t="str">
        <f t="shared" si="6"/>
        <v>BldChkupWrtDtlDTO.java</v>
      </c>
      <c r="G73" s="13" t="s">
        <v>165</v>
      </c>
      <c r="H73" s="13" t="s">
        <v>125</v>
      </c>
      <c r="I73" s="13" t="s">
        <v>157</v>
      </c>
      <c r="J73" s="13" t="s">
        <v>306</v>
      </c>
      <c r="K73" s="13" t="s">
        <v>258</v>
      </c>
      <c r="L73" s="13"/>
      <c r="M73" s="13"/>
    </row>
    <row r="74" spans="2:13" ht="12" customHeight="1" x14ac:dyDescent="0.3">
      <c r="B74" s="13" t="str">
        <f>VLOOKUP($E74,서비스!$C:$G,4,0)</f>
        <v>시공사 점검(체크리스트)작성</v>
      </c>
      <c r="C74" s="13" t="str">
        <f>VLOOKUP($E74,서비스!$C:$G,5,0)</f>
        <v>체크리스트마스터상세 : 수정시 조회필요</v>
      </c>
      <c r="D74" s="13" t="str">
        <f t="shared" si="5"/>
        <v>bldChkupWrtDtl</v>
      </c>
      <c r="E74" s="13" t="s">
        <v>165</v>
      </c>
      <c r="F74" s="13" t="str">
        <f t="shared" si="6"/>
        <v>BldChkupWrtDtlDTO.java</v>
      </c>
      <c r="G74" s="13" t="s">
        <v>165</v>
      </c>
      <c r="H74" s="13" t="s">
        <v>125</v>
      </c>
      <c r="I74" s="13" t="s">
        <v>158</v>
      </c>
      <c r="J74" s="13" t="s">
        <v>160</v>
      </c>
      <c r="K74" s="13" t="s">
        <v>259</v>
      </c>
      <c r="L74" s="13"/>
      <c r="M74" s="13"/>
    </row>
    <row r="75" spans="2:13" s="17" customFormat="1" ht="24.75" customHeight="1" thickBot="1" x14ac:dyDescent="0.35">
      <c r="B75" s="16" t="str">
        <f>VLOOKUP($E75,서비스!$C:$G,4,0)</f>
        <v>시공사 점검(체크리스트)작성</v>
      </c>
      <c r="C75" s="16" t="str">
        <f>VLOOKUP($E75,서비스!$C:$G,5,0)</f>
        <v>체크리스트마스터상세 : 수정시 조회필요</v>
      </c>
      <c r="D75" s="16" t="str">
        <f t="shared" si="5"/>
        <v>bldChkupWrtDtl</v>
      </c>
      <c r="E75" s="16" t="s">
        <v>165</v>
      </c>
      <c r="F75" s="16" t="str">
        <f t="shared" si="6"/>
        <v>BldChkupWrtDtlDTO.java</v>
      </c>
      <c r="G75" s="16" t="s">
        <v>165</v>
      </c>
      <c r="H75" s="16" t="s">
        <v>125</v>
      </c>
      <c r="I75" s="16" t="s">
        <v>111</v>
      </c>
      <c r="J75" s="16" t="s">
        <v>114</v>
      </c>
      <c r="K75" s="16" t="s">
        <v>249</v>
      </c>
      <c r="L75" s="50" t="s">
        <v>205</v>
      </c>
      <c r="M75" s="16"/>
    </row>
    <row r="76" spans="2:13" ht="12.75" thickTop="1" x14ac:dyDescent="0.3">
      <c r="B76" s="15" t="str">
        <f>VLOOKUP($E76,서비스!$C:$G,4,0)</f>
        <v>검측 요청서</v>
      </c>
      <c r="C76" s="15" t="str">
        <f>VLOOKUP($E76,서비스!$C:$G,5,0)</f>
        <v>검측요청서 조회(상세)</v>
      </c>
      <c r="D76" s="15" t="str">
        <f t="shared" si="5"/>
        <v>testReqDocDtl</v>
      </c>
      <c r="E76" s="15" t="s">
        <v>167</v>
      </c>
      <c r="F76" s="15" t="str">
        <f t="shared" si="6"/>
        <v>TestReqDocDtlDTO.java</v>
      </c>
      <c r="G76" s="15" t="s">
        <v>167</v>
      </c>
      <c r="H76" s="15" t="s">
        <v>126</v>
      </c>
      <c r="I76" s="15" t="s">
        <v>124</v>
      </c>
      <c r="J76" s="15" t="s">
        <v>136</v>
      </c>
      <c r="K76" s="15" t="s">
        <v>254</v>
      </c>
      <c r="L76" s="15"/>
      <c r="M76" s="15"/>
    </row>
    <row r="77" spans="2:13" x14ac:dyDescent="0.3">
      <c r="B77" s="13" t="str">
        <f>VLOOKUP($E77,서비스!$C:$G,4,0)</f>
        <v>검측 요청서</v>
      </c>
      <c r="C77" s="13" t="str">
        <f>VLOOKUP($E77,서비스!$C:$G,5,0)</f>
        <v>검측요청서 조회(상세)</v>
      </c>
      <c r="D77" s="13" t="str">
        <f t="shared" si="5"/>
        <v>testReqDocDtl</v>
      </c>
      <c r="E77" s="13" t="s">
        <v>167</v>
      </c>
      <c r="F77" s="13" t="str">
        <f t="shared" si="6"/>
        <v>TestReqDocDtlDTO.java</v>
      </c>
      <c r="G77" s="13" t="s">
        <v>167</v>
      </c>
      <c r="H77" s="13" t="s">
        <v>125</v>
      </c>
      <c r="I77" s="13" t="s">
        <v>169</v>
      </c>
      <c r="J77" s="13" t="s">
        <v>170</v>
      </c>
      <c r="K77" s="13" t="s">
        <v>268</v>
      </c>
      <c r="L77" s="13"/>
      <c r="M77" s="13"/>
    </row>
    <row r="78" spans="2:13" x14ac:dyDescent="0.3">
      <c r="B78" s="13" t="str">
        <f>VLOOKUP($E78,서비스!$C:$G,4,0)</f>
        <v>검측 요청서</v>
      </c>
      <c r="C78" s="13" t="str">
        <f>VLOOKUP($E78,서비스!$C:$G,5,0)</f>
        <v>검측요청서 조회(상세)</v>
      </c>
      <c r="D78" s="13" t="str">
        <f t="shared" si="5"/>
        <v>testReqDocDtl</v>
      </c>
      <c r="E78" s="13" t="s">
        <v>167</v>
      </c>
      <c r="F78" s="13" t="str">
        <f t="shared" si="6"/>
        <v>TestReqDocDtlDTO.java</v>
      </c>
      <c r="G78" s="13" t="s">
        <v>167</v>
      </c>
      <c r="H78" s="13" t="s">
        <v>125</v>
      </c>
      <c r="I78" s="13" t="s">
        <v>171</v>
      </c>
      <c r="J78" s="13" t="s">
        <v>172</v>
      </c>
      <c r="K78" s="13" t="s">
        <v>269</v>
      </c>
      <c r="L78" s="13"/>
      <c r="M78" s="13"/>
    </row>
    <row r="79" spans="2:13" s="38" customFormat="1" x14ac:dyDescent="0.3">
      <c r="B79" s="36" t="str">
        <f>VLOOKUP($E79,서비스!$C:$G,4,0)</f>
        <v>검측 요청서</v>
      </c>
      <c r="C79" s="36" t="str">
        <f>VLOOKUP($E79,서비스!$C:$G,5,0)</f>
        <v>검측요청서 조회(상세)</v>
      </c>
      <c r="D79" s="36" t="str">
        <f t="shared" si="5"/>
        <v>testReqDocDtl</v>
      </c>
      <c r="E79" s="36" t="s">
        <v>167</v>
      </c>
      <c r="F79" s="36" t="str">
        <f t="shared" si="6"/>
        <v>TestReqDocDtlDTO.java</v>
      </c>
      <c r="G79" s="36" t="s">
        <v>167</v>
      </c>
      <c r="H79" s="36" t="s">
        <v>125</v>
      </c>
      <c r="I79" s="36" t="s">
        <v>173</v>
      </c>
      <c r="J79" s="36" t="s">
        <v>328</v>
      </c>
      <c r="K79" s="36" t="s">
        <v>328</v>
      </c>
      <c r="L79" s="36"/>
      <c r="M79" s="36"/>
    </row>
    <row r="80" spans="2:13" x14ac:dyDescent="0.3">
      <c r="B80" s="13" t="str">
        <f>VLOOKUP($E80,서비스!$C:$G,4,0)</f>
        <v>검측 요청서</v>
      </c>
      <c r="C80" s="13" t="str">
        <f>VLOOKUP($E80,서비스!$C:$G,5,0)</f>
        <v>검측요청서 조회(상세)</v>
      </c>
      <c r="D80" s="13" t="str">
        <f t="shared" si="5"/>
        <v>testReqDocDtl</v>
      </c>
      <c r="E80" s="13" t="s">
        <v>167</v>
      </c>
      <c r="F80" s="13" t="str">
        <f t="shared" si="6"/>
        <v>TestReqDocDtlDTO.java</v>
      </c>
      <c r="G80" s="13" t="s">
        <v>167</v>
      </c>
      <c r="H80" s="13" t="s">
        <v>125</v>
      </c>
      <c r="I80" s="13" t="s">
        <v>127</v>
      </c>
      <c r="J80" s="15" t="s">
        <v>175</v>
      </c>
      <c r="K80" s="15" t="s">
        <v>175</v>
      </c>
      <c r="L80" s="13"/>
      <c r="M80" s="13"/>
    </row>
    <row r="81" spans="2:13" x14ac:dyDescent="0.3">
      <c r="B81" s="13" t="str">
        <f>VLOOKUP($E81,서비스!$C:$G,4,0)</f>
        <v>검측 요청서</v>
      </c>
      <c r="C81" s="13" t="str">
        <f>VLOOKUP($E81,서비스!$C:$G,5,0)</f>
        <v>검측요청서 조회(상세)</v>
      </c>
      <c r="D81" s="13" t="str">
        <f t="shared" si="5"/>
        <v>testReqDocDtl</v>
      </c>
      <c r="E81" s="13" t="s">
        <v>167</v>
      </c>
      <c r="F81" s="13" t="str">
        <f t="shared" si="6"/>
        <v>TestReqDocDtlDTO.java</v>
      </c>
      <c r="G81" s="13" t="s">
        <v>167</v>
      </c>
      <c r="H81" s="13" t="s">
        <v>125</v>
      </c>
      <c r="I81" s="13" t="s">
        <v>174</v>
      </c>
      <c r="J81" s="13" t="s">
        <v>106</v>
      </c>
      <c r="K81" s="13" t="s">
        <v>106</v>
      </c>
      <c r="L81" s="13"/>
      <c r="M81" s="13"/>
    </row>
    <row r="82" spans="2:13" x14ac:dyDescent="0.3">
      <c r="B82" s="13" t="str">
        <f>VLOOKUP($E82,서비스!$C:$G,4,0)</f>
        <v>검측 요청서</v>
      </c>
      <c r="C82" s="13" t="str">
        <f>VLOOKUP($E82,서비스!$C:$G,5,0)</f>
        <v>검측요청서 조회(상세)</v>
      </c>
      <c r="D82" s="13" t="str">
        <f t="shared" si="5"/>
        <v>testReqDocDtl</v>
      </c>
      <c r="E82" s="13" t="s">
        <v>167</v>
      </c>
      <c r="F82" s="13" t="str">
        <f t="shared" si="6"/>
        <v>TestReqDocDtlDTO.java</v>
      </c>
      <c r="G82" s="13" t="s">
        <v>167</v>
      </c>
      <c r="H82" s="13" t="s">
        <v>125</v>
      </c>
      <c r="I82" s="13" t="s">
        <v>176</v>
      </c>
      <c r="J82" s="13" t="s">
        <v>159</v>
      </c>
      <c r="K82" s="13" t="s">
        <v>258</v>
      </c>
      <c r="L82" s="13"/>
      <c r="M82" s="13"/>
    </row>
    <row r="83" spans="2:13" x14ac:dyDescent="0.3">
      <c r="B83" s="13" t="str">
        <f>VLOOKUP($E83,서비스!$C:$G,4,0)</f>
        <v>검측 요청서</v>
      </c>
      <c r="C83" s="13" t="str">
        <f>VLOOKUP($E83,서비스!$C:$G,5,0)</f>
        <v>검측요청서 조회(상세)</v>
      </c>
      <c r="D83" s="13" t="str">
        <f t="shared" si="5"/>
        <v>testReqDocDtl</v>
      </c>
      <c r="E83" s="13" t="s">
        <v>167</v>
      </c>
      <c r="F83" s="13" t="str">
        <f t="shared" si="6"/>
        <v>TestReqDocDtlDTO.java</v>
      </c>
      <c r="G83" s="13" t="s">
        <v>167</v>
      </c>
      <c r="H83" s="13" t="s">
        <v>125</v>
      </c>
      <c r="I83" s="13" t="s">
        <v>177</v>
      </c>
      <c r="J83" s="13" t="s">
        <v>178</v>
      </c>
      <c r="K83" s="13" t="s">
        <v>270</v>
      </c>
      <c r="L83" s="13"/>
      <c r="M83" s="13"/>
    </row>
    <row r="84" spans="2:13" x14ac:dyDescent="0.3">
      <c r="B84" s="13" t="str">
        <f>VLOOKUP($E84,서비스!$C:$G,4,0)</f>
        <v>검측 요청서</v>
      </c>
      <c r="C84" s="13" t="str">
        <f>VLOOKUP($E84,서비스!$C:$G,5,0)</f>
        <v>검측요청서 조회(상세)</v>
      </c>
      <c r="D84" s="13" t="str">
        <f t="shared" si="5"/>
        <v>testReqDocDtl</v>
      </c>
      <c r="E84" s="13" t="s">
        <v>167</v>
      </c>
      <c r="F84" s="13" t="str">
        <f t="shared" si="6"/>
        <v>TestReqDocDtlDTO.java</v>
      </c>
      <c r="G84" s="13" t="s">
        <v>167</v>
      </c>
      <c r="H84" s="13" t="s">
        <v>125</v>
      </c>
      <c r="I84" s="13" t="s">
        <v>179</v>
      </c>
      <c r="J84" s="13" t="s">
        <v>180</v>
      </c>
      <c r="K84" s="13" t="s">
        <v>271</v>
      </c>
      <c r="L84" s="13"/>
      <c r="M84" s="13"/>
    </row>
    <row r="85" spans="2:13" x14ac:dyDescent="0.3">
      <c r="B85" s="13" t="str">
        <f>VLOOKUP($E85,서비스!$C:$G,4,0)</f>
        <v>검측 요청서</v>
      </c>
      <c r="C85" s="13" t="str">
        <f>VLOOKUP($E85,서비스!$C:$G,5,0)</f>
        <v>검측요청서 조회(상세)</v>
      </c>
      <c r="D85" s="13" t="str">
        <f t="shared" si="5"/>
        <v>testReqDocDtl</v>
      </c>
      <c r="E85" s="13" t="s">
        <v>167</v>
      </c>
      <c r="F85" s="13" t="str">
        <f t="shared" si="6"/>
        <v>TestReqDocDtlDTO.java</v>
      </c>
      <c r="G85" s="13" t="s">
        <v>167</v>
      </c>
      <c r="H85" s="13" t="s">
        <v>125</v>
      </c>
      <c r="I85" s="13" t="s">
        <v>181</v>
      </c>
      <c r="J85" s="13" t="s">
        <v>182</v>
      </c>
      <c r="K85" s="13" t="s">
        <v>272</v>
      </c>
      <c r="L85" s="13"/>
      <c r="M85" s="13"/>
    </row>
    <row r="86" spans="2:13" s="38" customFormat="1" x14ac:dyDescent="0.3">
      <c r="B86" s="36" t="str">
        <f>VLOOKUP($E86,서비스!$C:$G,4,0)</f>
        <v>검측 요청서</v>
      </c>
      <c r="C86" s="36" t="str">
        <f>VLOOKUP($E86,서비스!$C:$G,5,0)</f>
        <v>검측요청서 조회(상세)</v>
      </c>
      <c r="D86" s="36" t="str">
        <f t="shared" si="5"/>
        <v>testReqDocDtl</v>
      </c>
      <c r="E86" s="36" t="s">
        <v>167</v>
      </c>
      <c r="F86" s="36" t="str">
        <f t="shared" si="6"/>
        <v>TestReqDocDtlDTO.java</v>
      </c>
      <c r="G86" s="36" t="s">
        <v>167</v>
      </c>
      <c r="H86" s="36" t="s">
        <v>125</v>
      </c>
      <c r="I86" s="36" t="s">
        <v>183</v>
      </c>
      <c r="J86" s="36" t="s">
        <v>327</v>
      </c>
      <c r="K86" s="36" t="s">
        <v>326</v>
      </c>
      <c r="L86" s="36"/>
      <c r="M86" s="36"/>
    </row>
    <row r="87" spans="2:13" s="39" customFormat="1" ht="12.75" thickBot="1" x14ac:dyDescent="0.35">
      <c r="B87" s="37" t="str">
        <f>VLOOKUP($E87,서비스!$C:$G,4,0)</f>
        <v>검측 요청서</v>
      </c>
      <c r="C87" s="37" t="str">
        <f>VLOOKUP($E87,서비스!$C:$G,5,0)</f>
        <v>검측요청서 조회(상세)</v>
      </c>
      <c r="D87" s="37" t="str">
        <f t="shared" si="5"/>
        <v>testReqDocDtl</v>
      </c>
      <c r="E87" s="37" t="s">
        <v>167</v>
      </c>
      <c r="F87" s="37" t="str">
        <f t="shared" ref="F87" si="7">ToCamel(G87) &amp; "DTO.java"</f>
        <v>TestReqDocDtlDTO.java</v>
      </c>
      <c r="G87" s="37" t="s">
        <v>167</v>
      </c>
      <c r="H87" s="37" t="s">
        <v>125</v>
      </c>
      <c r="I87" s="37" t="s">
        <v>184</v>
      </c>
      <c r="J87" s="37" t="s">
        <v>329</v>
      </c>
      <c r="K87" s="37" t="s">
        <v>329</v>
      </c>
      <c r="L87" s="37"/>
      <c r="M87" s="37"/>
    </row>
    <row r="88" spans="2:13" ht="12.75" thickTop="1" x14ac:dyDescent="0.3">
      <c r="B88" s="15" t="str">
        <f>VLOOKUP($E88,서비스!$C:$G,4,0)</f>
        <v>검측 요청서</v>
      </c>
      <c r="C88" s="15" t="str">
        <f>VLOOKUP($E88,서비스!$C:$G,5,0)</f>
        <v>검측요청서 저장</v>
      </c>
      <c r="D88" s="15" t="str">
        <f t="shared" si="5"/>
        <v>testReqDocSave</v>
      </c>
      <c r="E88" s="15" t="s">
        <v>168</v>
      </c>
      <c r="F88" s="15" t="str">
        <f t="shared" si="6"/>
        <v>TestReqDocSaveDTO.java</v>
      </c>
      <c r="G88" s="15" t="s">
        <v>168</v>
      </c>
      <c r="H88" s="15" t="s">
        <v>126</v>
      </c>
      <c r="I88" s="15" t="s">
        <v>124</v>
      </c>
      <c r="J88" s="15" t="s">
        <v>136</v>
      </c>
      <c r="K88" s="15" t="s">
        <v>136</v>
      </c>
      <c r="L88" s="15"/>
      <c r="M88" s="15"/>
    </row>
    <row r="89" spans="2:13" x14ac:dyDescent="0.3">
      <c r="B89" s="13" t="str">
        <f>VLOOKUP($E89,서비스!$C:$G,4,0)</f>
        <v>검측 요청서</v>
      </c>
      <c r="C89" s="13" t="str">
        <f>VLOOKUP($E89,서비스!$C:$G,5,0)</f>
        <v>검측요청서 저장</v>
      </c>
      <c r="D89" s="13" t="str">
        <f t="shared" si="5"/>
        <v>testReqDocSave</v>
      </c>
      <c r="E89" s="13" t="s">
        <v>168</v>
      </c>
      <c r="F89" s="13" t="str">
        <f t="shared" si="6"/>
        <v>TestReqDocSaveDTO.java</v>
      </c>
      <c r="G89" s="13" t="s">
        <v>168</v>
      </c>
      <c r="H89" s="13" t="s">
        <v>126</v>
      </c>
      <c r="I89" s="13" t="s">
        <v>169</v>
      </c>
      <c r="J89" s="13" t="s">
        <v>170</v>
      </c>
      <c r="K89" s="13" t="s">
        <v>268</v>
      </c>
      <c r="L89" s="13"/>
      <c r="M89" s="13"/>
    </row>
    <row r="90" spans="2:13" x14ac:dyDescent="0.3">
      <c r="B90" s="13" t="str">
        <f>VLOOKUP($E90,서비스!$C:$G,4,0)</f>
        <v>검측 요청서</v>
      </c>
      <c r="C90" s="13" t="str">
        <f>VLOOKUP($E90,서비스!$C:$G,5,0)</f>
        <v>검측요청서 저장</v>
      </c>
      <c r="D90" s="13" t="str">
        <f t="shared" si="5"/>
        <v>testReqDocSave</v>
      </c>
      <c r="E90" s="13" t="s">
        <v>168</v>
      </c>
      <c r="F90" s="13" t="str">
        <f t="shared" si="6"/>
        <v>TestReqDocSaveDTO.java</v>
      </c>
      <c r="G90" s="13" t="s">
        <v>168</v>
      </c>
      <c r="H90" s="13" t="s">
        <v>126</v>
      </c>
      <c r="I90" s="13" t="s">
        <v>171</v>
      </c>
      <c r="J90" s="13" t="s">
        <v>172</v>
      </c>
      <c r="K90" s="13" t="s">
        <v>269</v>
      </c>
      <c r="L90" s="13"/>
      <c r="M90" s="13"/>
    </row>
    <row r="91" spans="2:13" s="38" customFormat="1" x14ac:dyDescent="0.3">
      <c r="B91" s="36" t="str">
        <f>VLOOKUP($E91,서비스!$C:$G,4,0)</f>
        <v>검측 요청서</v>
      </c>
      <c r="C91" s="36" t="str">
        <f>VLOOKUP($E91,서비스!$C:$G,5,0)</f>
        <v>검측요청서 저장</v>
      </c>
      <c r="D91" s="36" t="str">
        <f t="shared" si="5"/>
        <v>testReqDocSave</v>
      </c>
      <c r="E91" s="36" t="s">
        <v>168</v>
      </c>
      <c r="F91" s="36" t="str">
        <f t="shared" si="6"/>
        <v>TestReqDocSaveDTO.java</v>
      </c>
      <c r="G91" s="36" t="s">
        <v>168</v>
      </c>
      <c r="H91" s="36" t="s">
        <v>185</v>
      </c>
      <c r="I91" s="36" t="s">
        <v>173</v>
      </c>
      <c r="J91" s="36" t="s">
        <v>328</v>
      </c>
      <c r="K91" s="36" t="s">
        <v>328</v>
      </c>
      <c r="L91" s="36"/>
      <c r="M91" s="36"/>
    </row>
    <row r="92" spans="2:13" x14ac:dyDescent="0.3">
      <c r="B92" s="13" t="str">
        <f>VLOOKUP($E92,서비스!$C:$G,4,0)</f>
        <v>검측 요청서</v>
      </c>
      <c r="C92" s="13" t="str">
        <f>VLOOKUP($E92,서비스!$C:$G,5,0)</f>
        <v>검측요청서 저장</v>
      </c>
      <c r="D92" s="13" t="str">
        <f t="shared" si="5"/>
        <v>testReqDocSave</v>
      </c>
      <c r="E92" s="13" t="s">
        <v>168</v>
      </c>
      <c r="F92" s="13" t="str">
        <f t="shared" si="6"/>
        <v>TestReqDocSaveDTO.java</v>
      </c>
      <c r="G92" s="13" t="s">
        <v>168</v>
      </c>
      <c r="H92" s="13" t="s">
        <v>185</v>
      </c>
      <c r="I92" s="13" t="s">
        <v>127</v>
      </c>
      <c r="J92" s="15" t="s">
        <v>175</v>
      </c>
      <c r="K92" s="15" t="s">
        <v>175</v>
      </c>
      <c r="L92" s="13"/>
      <c r="M92" s="13"/>
    </row>
    <row r="93" spans="2:13" x14ac:dyDescent="0.3">
      <c r="B93" s="13" t="str">
        <f>VLOOKUP($E93,서비스!$C:$G,4,0)</f>
        <v>검측 요청서</v>
      </c>
      <c r="C93" s="13" t="str">
        <f>VLOOKUP($E93,서비스!$C:$G,5,0)</f>
        <v>검측요청서 저장</v>
      </c>
      <c r="D93" s="13" t="str">
        <f t="shared" si="5"/>
        <v>testReqDocSave</v>
      </c>
      <c r="E93" s="13" t="s">
        <v>168</v>
      </c>
      <c r="F93" s="13" t="str">
        <f t="shared" si="6"/>
        <v>TestReqDocSaveDTO.java</v>
      </c>
      <c r="G93" s="13" t="s">
        <v>168</v>
      </c>
      <c r="H93" s="13" t="s">
        <v>185</v>
      </c>
      <c r="I93" s="13" t="s">
        <v>174</v>
      </c>
      <c r="J93" s="13" t="s">
        <v>106</v>
      </c>
      <c r="K93" s="13" t="s">
        <v>106</v>
      </c>
      <c r="L93" s="13"/>
      <c r="M93" s="13"/>
    </row>
    <row r="94" spans="2:13" x14ac:dyDescent="0.3">
      <c r="B94" s="13" t="str">
        <f>VLOOKUP($E94,서비스!$C:$G,4,0)</f>
        <v>검측 요청서</v>
      </c>
      <c r="C94" s="13" t="str">
        <f>VLOOKUP($E94,서비스!$C:$G,5,0)</f>
        <v>검측요청서 저장</v>
      </c>
      <c r="D94" s="13" t="str">
        <f t="shared" si="5"/>
        <v>testReqDocSave</v>
      </c>
      <c r="E94" s="13" t="s">
        <v>168</v>
      </c>
      <c r="F94" s="13" t="str">
        <f t="shared" si="6"/>
        <v>TestReqDocSaveDTO.java</v>
      </c>
      <c r="G94" s="13" t="s">
        <v>168</v>
      </c>
      <c r="H94" s="13" t="s">
        <v>185</v>
      </c>
      <c r="I94" s="13" t="s">
        <v>176</v>
      </c>
      <c r="J94" s="13" t="s">
        <v>159</v>
      </c>
      <c r="K94" s="13" t="s">
        <v>258</v>
      </c>
      <c r="L94" s="13"/>
      <c r="M94" s="13"/>
    </row>
    <row r="95" spans="2:13" x14ac:dyDescent="0.3">
      <c r="B95" s="13" t="str">
        <f>VLOOKUP($E95,서비스!$C:$G,4,0)</f>
        <v>검측 요청서</v>
      </c>
      <c r="C95" s="13" t="str">
        <f>VLOOKUP($E95,서비스!$C:$G,5,0)</f>
        <v>검측요청서 저장</v>
      </c>
      <c r="D95" s="13" t="str">
        <f t="shared" si="5"/>
        <v>testReqDocSave</v>
      </c>
      <c r="E95" s="13" t="s">
        <v>168</v>
      </c>
      <c r="F95" s="13" t="str">
        <f t="shared" si="6"/>
        <v>TestReqDocSaveDTO.java</v>
      </c>
      <c r="G95" s="13" t="s">
        <v>168</v>
      </c>
      <c r="H95" s="13" t="s">
        <v>126</v>
      </c>
      <c r="I95" s="13" t="s">
        <v>177</v>
      </c>
      <c r="J95" s="13" t="s">
        <v>178</v>
      </c>
      <c r="K95" s="13" t="s">
        <v>270</v>
      </c>
      <c r="L95" s="13"/>
      <c r="M95" s="13"/>
    </row>
    <row r="96" spans="2:13" x14ac:dyDescent="0.3">
      <c r="B96" s="13" t="str">
        <f>VLOOKUP($E96,서비스!$C:$G,4,0)</f>
        <v>검측 요청서</v>
      </c>
      <c r="C96" s="13" t="str">
        <f>VLOOKUP($E96,서비스!$C:$G,5,0)</f>
        <v>검측요청서 저장</v>
      </c>
      <c r="D96" s="13" t="str">
        <f t="shared" si="5"/>
        <v>testReqDocSave</v>
      </c>
      <c r="E96" s="13" t="s">
        <v>168</v>
      </c>
      <c r="F96" s="13" t="str">
        <f t="shared" si="6"/>
        <v>TestReqDocSaveDTO.java</v>
      </c>
      <c r="G96" s="13" t="s">
        <v>168</v>
      </c>
      <c r="H96" s="13" t="s">
        <v>126</v>
      </c>
      <c r="I96" s="13" t="s">
        <v>179</v>
      </c>
      <c r="J96" s="13" t="s">
        <v>180</v>
      </c>
      <c r="K96" s="13" t="s">
        <v>273</v>
      </c>
      <c r="L96" s="13"/>
      <c r="M96" s="13"/>
    </row>
    <row r="97" spans="1:13" x14ac:dyDescent="0.3">
      <c r="B97" s="13" t="str">
        <f>VLOOKUP($E97,서비스!$C:$G,4,0)</f>
        <v>검측 요청서</v>
      </c>
      <c r="C97" s="13" t="str">
        <f>VLOOKUP($E97,서비스!$C:$G,5,0)</f>
        <v>검측요청서 저장</v>
      </c>
      <c r="D97" s="13" t="str">
        <f t="shared" si="5"/>
        <v>testReqDocSave</v>
      </c>
      <c r="E97" s="13" t="s">
        <v>168</v>
      </c>
      <c r="F97" s="13" t="str">
        <f t="shared" si="6"/>
        <v>TestReqDocSaveDTO.java</v>
      </c>
      <c r="G97" s="13" t="s">
        <v>168</v>
      </c>
      <c r="H97" s="13" t="s">
        <v>126</v>
      </c>
      <c r="I97" s="13" t="s">
        <v>181</v>
      </c>
      <c r="J97" s="13" t="s">
        <v>182</v>
      </c>
      <c r="K97" s="13" t="s">
        <v>272</v>
      </c>
      <c r="L97" s="13"/>
      <c r="M97" s="13"/>
    </row>
    <row r="98" spans="1:13" s="38" customFormat="1" x14ac:dyDescent="0.3">
      <c r="B98" s="36" t="str">
        <f>VLOOKUP($E98,서비스!$C:$G,4,0)</f>
        <v>검측 요청서</v>
      </c>
      <c r="C98" s="36" t="str">
        <f>VLOOKUP($E98,서비스!$C:$G,5,0)</f>
        <v>검측요청서 저장</v>
      </c>
      <c r="D98" s="36" t="str">
        <f t="shared" si="5"/>
        <v>testReqDocSave</v>
      </c>
      <c r="E98" s="36" t="s">
        <v>168</v>
      </c>
      <c r="F98" s="36" t="str">
        <f t="shared" si="6"/>
        <v>TestReqDocSaveDTO.java</v>
      </c>
      <c r="G98" s="36" t="s">
        <v>168</v>
      </c>
      <c r="H98" s="36" t="s">
        <v>185</v>
      </c>
      <c r="I98" s="36" t="s">
        <v>183</v>
      </c>
      <c r="J98" s="36" t="s">
        <v>327</v>
      </c>
      <c r="K98" s="36" t="s">
        <v>326</v>
      </c>
      <c r="L98" s="36"/>
      <c r="M98" s="36"/>
    </row>
    <row r="99" spans="1:13" s="40" customFormat="1" ht="12.75" thickBot="1" x14ac:dyDescent="0.35">
      <c r="B99" s="36" t="str">
        <f>VLOOKUP($E99,서비스!$C:$G,4,0)</f>
        <v>검측 요청서</v>
      </c>
      <c r="C99" s="36" t="str">
        <f>VLOOKUP($E99,서비스!$C:$G,5,0)</f>
        <v>검측요청서 저장</v>
      </c>
      <c r="D99" s="36" t="str">
        <f t="shared" si="5"/>
        <v>testReqDocSave</v>
      </c>
      <c r="E99" s="36" t="s">
        <v>168</v>
      </c>
      <c r="F99" s="36" t="str">
        <f t="shared" si="6"/>
        <v>TestReqDocSaveDTO.java</v>
      </c>
      <c r="G99" s="36" t="s">
        <v>168</v>
      </c>
      <c r="H99" s="36" t="s">
        <v>185</v>
      </c>
      <c r="I99" s="36" t="s">
        <v>184</v>
      </c>
      <c r="J99" s="37" t="s">
        <v>329</v>
      </c>
      <c r="K99" s="37" t="s">
        <v>329</v>
      </c>
      <c r="L99" s="36"/>
      <c r="M99" s="36"/>
    </row>
    <row r="100" spans="1:13" s="24" customFormat="1" ht="13.5" thickTop="1" thickBot="1" x14ac:dyDescent="0.35">
      <c r="B100" s="25" t="str">
        <f>VLOOKUP($E100,서비스!$C:$G,4,0)</f>
        <v>검측 요청서</v>
      </c>
      <c r="C100" s="25" t="str">
        <f>VLOOKUP($E100,서비스!$C:$G,5,0)</f>
        <v>검측요청서 저장</v>
      </c>
      <c r="D100" s="25" t="str">
        <f t="shared" si="5"/>
        <v>testReqDocSave</v>
      </c>
      <c r="E100" s="25" t="s">
        <v>168</v>
      </c>
      <c r="F100" s="25" t="str">
        <f t="shared" si="6"/>
        <v>TestReqDocSaveDTO.java</v>
      </c>
      <c r="G100" s="25" t="s">
        <v>168</v>
      </c>
      <c r="H100" s="25" t="s">
        <v>126</v>
      </c>
      <c r="I100" s="25" t="s">
        <v>310</v>
      </c>
      <c r="J100" s="25" t="s">
        <v>308</v>
      </c>
      <c r="K100" s="25" t="s">
        <v>309</v>
      </c>
      <c r="L100" s="25"/>
      <c r="M100" s="25"/>
    </row>
    <row r="101" spans="1:13" ht="12.75" thickTop="1" x14ac:dyDescent="0.3">
      <c r="B101" s="15" t="str">
        <f>VLOOKUP($E101,서비스!$C:$G,4,0)</f>
        <v>검측 결과 등록</v>
      </c>
      <c r="C101" s="15" t="str">
        <f>VLOOKUP($E101,서비스!$C:$G,5,0)</f>
        <v>검측 결과 등록 조회</v>
      </c>
      <c r="D101" s="15" t="str">
        <f t="shared" si="5"/>
        <v>testRsltWrtList</v>
      </c>
      <c r="E101" s="15" t="s">
        <v>190</v>
      </c>
      <c r="F101" s="15" t="str">
        <f t="shared" si="6"/>
        <v>TestRsltWrtListDTO.java</v>
      </c>
      <c r="G101" s="15" t="s">
        <v>190</v>
      </c>
      <c r="H101" s="15" t="s">
        <v>126</v>
      </c>
      <c r="I101" s="15" t="s">
        <v>124</v>
      </c>
      <c r="J101" s="15" t="s">
        <v>136</v>
      </c>
      <c r="K101" s="15" t="s">
        <v>254</v>
      </c>
      <c r="L101" s="15"/>
      <c r="M101" s="15"/>
    </row>
    <row r="102" spans="1:13" x14ac:dyDescent="0.3">
      <c r="B102" s="13" t="str">
        <f>VLOOKUP($E102,서비스!$C:$G,4,0)</f>
        <v>검측 결과 등록</v>
      </c>
      <c r="C102" s="13" t="str">
        <f>VLOOKUP($E102,서비스!$C:$G,5,0)</f>
        <v>검측 결과 등록 조회</v>
      </c>
      <c r="D102" s="13" t="str">
        <f t="shared" si="5"/>
        <v>testRsltWrtList</v>
      </c>
      <c r="E102" s="13" t="s">
        <v>190</v>
      </c>
      <c r="F102" s="13" t="str">
        <f t="shared" si="6"/>
        <v>TestRsltWrtListDTO.java</v>
      </c>
      <c r="G102" s="13" t="s">
        <v>190</v>
      </c>
      <c r="H102" s="13" t="s">
        <v>126</v>
      </c>
      <c r="I102" s="13" t="s">
        <v>30</v>
      </c>
      <c r="J102" s="13" t="s">
        <v>137</v>
      </c>
      <c r="K102" s="13" t="s">
        <v>265</v>
      </c>
      <c r="L102" s="13"/>
      <c r="M102" s="13"/>
    </row>
    <row r="103" spans="1:13" x14ac:dyDescent="0.3">
      <c r="B103" s="13" t="str">
        <f>VLOOKUP($E103,서비스!$C:$G,4,0)</f>
        <v>검측 결과 등록</v>
      </c>
      <c r="C103" s="13" t="str">
        <f>VLOOKUP($E103,서비스!$C:$G,5,0)</f>
        <v>검측 결과 등록 조회</v>
      </c>
      <c r="D103" s="13" t="str">
        <f t="shared" si="5"/>
        <v>testRsltWrtList</v>
      </c>
      <c r="E103" s="13" t="s">
        <v>190</v>
      </c>
      <c r="F103" s="13" t="str">
        <f t="shared" si="6"/>
        <v>TestRsltWrtListDTO.java</v>
      </c>
      <c r="G103" s="13" t="s">
        <v>190</v>
      </c>
      <c r="H103" s="13" t="s">
        <v>125</v>
      </c>
      <c r="I103" s="13" t="s">
        <v>149</v>
      </c>
      <c r="J103" s="13" t="s">
        <v>150</v>
      </c>
      <c r="K103" s="13" t="s">
        <v>266</v>
      </c>
      <c r="L103" s="13"/>
      <c r="M103" s="13"/>
    </row>
    <row r="104" spans="1:13" x14ac:dyDescent="0.3">
      <c r="B104" s="13" t="str">
        <f>VLOOKUP($E104,서비스!$C:$G,4,0)</f>
        <v>검측 결과 등록</v>
      </c>
      <c r="C104" s="13" t="str">
        <f>VLOOKUP($E104,서비스!$C:$G,5,0)</f>
        <v>검측 결과 등록 조회</v>
      </c>
      <c r="D104" s="13" t="str">
        <f t="shared" si="5"/>
        <v>testRsltWrtList</v>
      </c>
      <c r="E104" s="13" t="s">
        <v>190</v>
      </c>
      <c r="F104" s="13" t="str">
        <f t="shared" si="6"/>
        <v>TestRsltWrtListDTO.java</v>
      </c>
      <c r="G104" s="13" t="s">
        <v>190</v>
      </c>
      <c r="H104" s="13" t="s">
        <v>125</v>
      </c>
      <c r="I104" s="13" t="s">
        <v>146</v>
      </c>
      <c r="J104" s="19" t="s">
        <v>291</v>
      </c>
      <c r="K104" s="19" t="s">
        <v>293</v>
      </c>
      <c r="L104" s="13"/>
      <c r="M104" s="13"/>
    </row>
    <row r="105" spans="1:13" x14ac:dyDescent="0.3">
      <c r="B105" s="13" t="str">
        <f>VLOOKUP($E105,서비스!$C:$G,4,0)</f>
        <v>검측 결과 등록</v>
      </c>
      <c r="C105" s="13" t="str">
        <f>VLOOKUP($E105,서비스!$C:$G,5,0)</f>
        <v>검측 결과 등록 조회</v>
      </c>
      <c r="D105" s="13" t="str">
        <f t="shared" si="5"/>
        <v>testRsltWrtList</v>
      </c>
      <c r="E105" s="13" t="s">
        <v>190</v>
      </c>
      <c r="F105" s="13" t="str">
        <f t="shared" si="6"/>
        <v>TestRsltWrtListDTO.java</v>
      </c>
      <c r="G105" s="13" t="s">
        <v>190</v>
      </c>
      <c r="H105" s="13" t="s">
        <v>125</v>
      </c>
      <c r="I105" s="13" t="s">
        <v>147</v>
      </c>
      <c r="J105" s="19" t="s">
        <v>292</v>
      </c>
      <c r="K105" s="19" t="s">
        <v>294</v>
      </c>
      <c r="L105" s="13"/>
      <c r="M105" s="13"/>
    </row>
    <row r="106" spans="1:13" x14ac:dyDescent="0.3">
      <c r="B106" s="13" t="str">
        <f>VLOOKUP($E106,서비스!$C:$G,4,0)</f>
        <v>검측 결과 등록</v>
      </c>
      <c r="C106" s="13" t="str">
        <f>VLOOKUP($E106,서비스!$C:$G,5,0)</f>
        <v>검측 결과 등록 조회</v>
      </c>
      <c r="D106" s="13" t="str">
        <f t="shared" si="5"/>
        <v>testRsltWrtList</v>
      </c>
      <c r="E106" s="13" t="s">
        <v>190</v>
      </c>
      <c r="F106" s="13" t="str">
        <f t="shared" si="6"/>
        <v>TestRsltWrtListDTO.java</v>
      </c>
      <c r="G106" s="13" t="s">
        <v>190</v>
      </c>
      <c r="H106" s="13" t="s">
        <v>125</v>
      </c>
      <c r="I106" s="13" t="s">
        <v>148</v>
      </c>
      <c r="J106" s="13" t="s">
        <v>153</v>
      </c>
      <c r="K106" s="13" t="s">
        <v>267</v>
      </c>
      <c r="L106" s="13"/>
      <c r="M106" s="13"/>
    </row>
    <row r="107" spans="1:13" s="38" customFormat="1" x14ac:dyDescent="0.3">
      <c r="B107" s="36" t="str">
        <f>VLOOKUP($E107,서비스!$C:$G,4,0)</f>
        <v>검측 결과 등록</v>
      </c>
      <c r="C107" s="36" t="str">
        <f>VLOOKUP($E107,서비스!$C:$G,5,0)</f>
        <v>검측 결과 등록 조회</v>
      </c>
      <c r="D107" s="36" t="str">
        <f t="shared" si="5"/>
        <v>testRsltWrtList</v>
      </c>
      <c r="E107" s="36" t="s">
        <v>190</v>
      </c>
      <c r="F107" s="36" t="str">
        <f t="shared" si="6"/>
        <v>TestRsltWrtListDTO.java</v>
      </c>
      <c r="G107" s="36" t="s">
        <v>190</v>
      </c>
      <c r="H107" s="36" t="s">
        <v>125</v>
      </c>
      <c r="I107" s="36" t="s">
        <v>195</v>
      </c>
      <c r="J107" s="36" t="s">
        <v>217</v>
      </c>
      <c r="K107" s="36" t="s">
        <v>274</v>
      </c>
      <c r="L107" s="36"/>
      <c r="M107" s="36"/>
    </row>
    <row r="108" spans="1:13" s="41" customFormat="1" ht="12.75" thickBot="1" x14ac:dyDescent="0.35">
      <c r="B108" s="35" t="str">
        <f>VLOOKUP($E108,서비스!$C:$G,4,0)</f>
        <v>검측 결과 등록</v>
      </c>
      <c r="C108" s="35" t="str">
        <f>VLOOKUP($E108,서비스!$C:$G,5,0)</f>
        <v>검측 결과 등록 조회</v>
      </c>
      <c r="D108" s="35" t="str">
        <f t="shared" si="5"/>
        <v>testRsltWrtList</v>
      </c>
      <c r="E108" s="35" t="s">
        <v>190</v>
      </c>
      <c r="F108" s="35" t="str">
        <f t="shared" si="6"/>
        <v>TestRsltWrtListDTO.java</v>
      </c>
      <c r="G108" s="35" t="s">
        <v>190</v>
      </c>
      <c r="H108" s="35" t="s">
        <v>125</v>
      </c>
      <c r="I108" s="35" t="s">
        <v>196</v>
      </c>
      <c r="J108" s="13" t="s">
        <v>218</v>
      </c>
      <c r="K108" s="13" t="s">
        <v>275</v>
      </c>
      <c r="L108" s="35"/>
      <c r="M108" s="35"/>
    </row>
    <row r="109" spans="1:13" s="47" customFormat="1" ht="12" customHeight="1" x14ac:dyDescent="0.3">
      <c r="A109" s="45"/>
      <c r="B109" s="46" t="str">
        <f>VLOOKUP($E109,서비스!$C:$G,4,0)</f>
        <v>검측 결과 등록</v>
      </c>
      <c r="C109" s="46" t="str">
        <f>VLOOKUP($E109,서비스!$C:$G,5,0)</f>
        <v>검측 결과 등록 저장</v>
      </c>
      <c r="D109" s="46" t="str">
        <f t="shared" si="5"/>
        <v>testRsltWrtSave</v>
      </c>
      <c r="E109" s="46" t="s">
        <v>191</v>
      </c>
      <c r="F109" s="46" t="str">
        <f t="shared" si="6"/>
        <v>TestRsltWrtDtlSaveDTO.java</v>
      </c>
      <c r="G109" s="46" t="s">
        <v>331</v>
      </c>
      <c r="H109" s="46" t="s">
        <v>126</v>
      </c>
      <c r="I109" s="46" t="s">
        <v>162</v>
      </c>
      <c r="J109" s="46" t="s">
        <v>163</v>
      </c>
      <c r="K109" s="46" t="s">
        <v>163</v>
      </c>
      <c r="L109" s="46" t="s">
        <v>164</v>
      </c>
      <c r="M109" s="46"/>
    </row>
    <row r="110" spans="1:13" s="49" customFormat="1" ht="26.25" customHeight="1" x14ac:dyDescent="0.3">
      <c r="A110" s="48"/>
      <c r="B110" s="20" t="str">
        <f>VLOOKUP($E110,서비스!$C:$G,4,0)</f>
        <v>검측 결과 등록</v>
      </c>
      <c r="C110" s="20" t="str">
        <f>VLOOKUP($E110,서비스!$C:$G,5,0)</f>
        <v>검측 결과 등록 저장</v>
      </c>
      <c r="D110" s="20" t="str">
        <f t="shared" si="5"/>
        <v>testRsltWrtSave</v>
      </c>
      <c r="E110" s="20" t="s">
        <v>191</v>
      </c>
      <c r="F110" s="20" t="str">
        <f t="shared" si="6"/>
        <v>TestRsltWrtDtlSaveDTO.java</v>
      </c>
      <c r="G110" s="20" t="s">
        <v>331</v>
      </c>
      <c r="H110" s="20" t="s">
        <v>126</v>
      </c>
      <c r="I110" s="20" t="s">
        <v>124</v>
      </c>
      <c r="J110" s="20" t="s">
        <v>144</v>
      </c>
      <c r="K110" s="20" t="s">
        <v>246</v>
      </c>
      <c r="L110" s="20" t="s">
        <v>161</v>
      </c>
      <c r="M110" s="20"/>
    </row>
    <row r="111" spans="1:13" s="49" customFormat="1" ht="26.25" customHeight="1" x14ac:dyDescent="0.3">
      <c r="A111" s="48"/>
      <c r="B111" s="20" t="str">
        <f>VLOOKUP($E111,서비스!$C:$G,4,0)</f>
        <v>검측 결과 등록</v>
      </c>
      <c r="C111" s="20" t="str">
        <f>VLOOKUP($E111,서비스!$C:$G,5,0)</f>
        <v>검측 결과 등록 저장</v>
      </c>
      <c r="D111" s="20" t="str">
        <f t="shared" si="5"/>
        <v>testRsltWrtSave</v>
      </c>
      <c r="E111" s="20" t="s">
        <v>191</v>
      </c>
      <c r="F111" s="20" t="str">
        <f t="shared" si="6"/>
        <v>TestRsltWrtDtlSaveDTO.java</v>
      </c>
      <c r="G111" s="20" t="s">
        <v>331</v>
      </c>
      <c r="H111" s="20" t="s">
        <v>126</v>
      </c>
      <c r="I111" s="20" t="s">
        <v>30</v>
      </c>
      <c r="J111" s="20" t="s">
        <v>135</v>
      </c>
      <c r="K111" s="20" t="s">
        <v>255</v>
      </c>
      <c r="L111" s="20" t="s">
        <v>161</v>
      </c>
      <c r="M111" s="20"/>
    </row>
    <row r="112" spans="1:13" s="44" customFormat="1" ht="12" customHeight="1" thickBot="1" x14ac:dyDescent="0.35">
      <c r="A112" s="42"/>
      <c r="B112" s="43" t="str">
        <f>VLOOKUP($E112,서비스!$C:$G,4,0)</f>
        <v>검측 결과 등록</v>
      </c>
      <c r="C112" s="43" t="str">
        <f>VLOOKUP($E112,서비스!$C:$G,5,0)</f>
        <v>검측 결과 등록 저장</v>
      </c>
      <c r="D112" s="43" t="str">
        <f t="shared" si="5"/>
        <v>testRsltWrtSave</v>
      </c>
      <c r="E112" s="43" t="s">
        <v>191</v>
      </c>
      <c r="F112" s="43" t="str">
        <f t="shared" si="6"/>
        <v>TestRsltWrtDtlSaveDTO.java</v>
      </c>
      <c r="G112" s="43" t="s">
        <v>332</v>
      </c>
      <c r="H112" s="43" t="s">
        <v>228</v>
      </c>
      <c r="I112" s="43" t="s">
        <v>310</v>
      </c>
      <c r="J112" s="43" t="s">
        <v>308</v>
      </c>
      <c r="K112" s="43" t="s">
        <v>309</v>
      </c>
      <c r="L112" s="43"/>
      <c r="M112" s="43"/>
    </row>
    <row r="113" spans="2:13" x14ac:dyDescent="0.3">
      <c r="B113" s="15" t="str">
        <f>VLOOKUP($E113,서비스!$C:$G,4,0)</f>
        <v>검측 결과 등록</v>
      </c>
      <c r="C113" s="15" t="str">
        <f>VLOOKUP($E113,서비스!$C:$G,5,0)</f>
        <v>검측 결과 등록 저장</v>
      </c>
      <c r="D113" s="15" t="str">
        <f t="shared" si="5"/>
        <v>testRsltWrtSave</v>
      </c>
      <c r="E113" s="15" t="s">
        <v>192</v>
      </c>
      <c r="F113" s="15" t="str">
        <f t="shared" si="6"/>
        <v>TestRsltWrtItemSaveDTO.java</v>
      </c>
      <c r="G113" s="15" t="s">
        <v>333</v>
      </c>
      <c r="H113" s="15" t="s">
        <v>126</v>
      </c>
      <c r="I113" s="15" t="s">
        <v>124</v>
      </c>
      <c r="J113" s="15" t="s">
        <v>144</v>
      </c>
      <c r="K113" s="15" t="s">
        <v>257</v>
      </c>
      <c r="L113" s="15"/>
      <c r="M113" s="15"/>
    </row>
    <row r="114" spans="2:13" x14ac:dyDescent="0.3">
      <c r="B114" s="13" t="str">
        <f>VLOOKUP($E114,서비스!$C:$G,4,0)</f>
        <v>검측 결과 등록</v>
      </c>
      <c r="C114" s="13" t="str">
        <f>VLOOKUP($E114,서비스!$C:$G,5,0)</f>
        <v>검측 결과 등록 저장</v>
      </c>
      <c r="D114" s="13" t="str">
        <f t="shared" si="5"/>
        <v>testRsltWrtSave</v>
      </c>
      <c r="E114" s="13" t="s">
        <v>192</v>
      </c>
      <c r="F114" s="13" t="str">
        <f t="shared" si="6"/>
        <v>TestRsltWrtItemSaveDTO.java</v>
      </c>
      <c r="G114" s="15" t="s">
        <v>333</v>
      </c>
      <c r="H114" s="13" t="s">
        <v>126</v>
      </c>
      <c r="I114" s="13" t="s">
        <v>30</v>
      </c>
      <c r="J114" s="13" t="s">
        <v>135</v>
      </c>
      <c r="K114" s="13" t="s">
        <v>255</v>
      </c>
      <c r="L114" s="13"/>
      <c r="M114" s="13"/>
    </row>
    <row r="115" spans="2:13" x14ac:dyDescent="0.3">
      <c r="B115" s="13" t="str">
        <f>VLOOKUP($E115,서비스!$C:$G,4,0)</f>
        <v>검측 결과 등록</v>
      </c>
      <c r="C115" s="13" t="str">
        <f>VLOOKUP($E115,서비스!$C:$G,5,0)</f>
        <v>검측 결과 등록 저장</v>
      </c>
      <c r="D115" s="13" t="str">
        <f t="shared" si="5"/>
        <v>testRsltWrtSave</v>
      </c>
      <c r="E115" s="13" t="s">
        <v>192</v>
      </c>
      <c r="F115" s="13" t="str">
        <f t="shared" si="6"/>
        <v>TestRsltWrtItemSaveDTO.java</v>
      </c>
      <c r="G115" s="15" t="s">
        <v>333</v>
      </c>
      <c r="H115" s="13" t="s">
        <v>126</v>
      </c>
      <c r="I115" s="13" t="s">
        <v>149</v>
      </c>
      <c r="J115" s="13" t="s">
        <v>150</v>
      </c>
      <c r="K115" s="13" t="s">
        <v>266</v>
      </c>
      <c r="L115" s="13"/>
      <c r="M115" s="13"/>
    </row>
    <row r="116" spans="2:13" x14ac:dyDescent="0.3">
      <c r="B116" s="13" t="str">
        <f>VLOOKUP($E116,서비스!$C:$G,4,0)</f>
        <v>검측 결과 등록</v>
      </c>
      <c r="C116" s="13" t="str">
        <f>VLOOKUP($E116,서비스!$C:$G,5,0)</f>
        <v>검측 결과 등록 저장</v>
      </c>
      <c r="D116" s="13" t="str">
        <f t="shared" si="5"/>
        <v>testRsltWrtSave</v>
      </c>
      <c r="E116" s="13" t="s">
        <v>192</v>
      </c>
      <c r="F116" s="13" t="str">
        <f t="shared" si="6"/>
        <v>TestRsltWrtItemSaveDTO.java</v>
      </c>
      <c r="G116" s="15" t="s">
        <v>333</v>
      </c>
      <c r="H116" s="13" t="s">
        <v>185</v>
      </c>
      <c r="I116" s="13" t="s">
        <v>146</v>
      </c>
      <c r="J116" s="13" t="s">
        <v>151</v>
      </c>
      <c r="K116" s="13" t="s">
        <v>151</v>
      </c>
      <c r="L116" s="13"/>
      <c r="M116" s="13"/>
    </row>
    <row r="117" spans="2:13" x14ac:dyDescent="0.3">
      <c r="B117" s="13" t="str">
        <f>VLOOKUP($E117,서비스!$C:$G,4,0)</f>
        <v>검측 결과 등록</v>
      </c>
      <c r="C117" s="13" t="str">
        <f>VLOOKUP($E117,서비스!$C:$G,5,0)</f>
        <v>검측 결과 등록 저장</v>
      </c>
      <c r="D117" s="13" t="str">
        <f t="shared" si="5"/>
        <v>testRsltWrtSave</v>
      </c>
      <c r="E117" s="13" t="s">
        <v>192</v>
      </c>
      <c r="F117" s="13" t="str">
        <f t="shared" si="6"/>
        <v>TestRsltWrtItemSaveDTO.java</v>
      </c>
      <c r="G117" s="15" t="s">
        <v>333</v>
      </c>
      <c r="H117" s="13" t="s">
        <v>185</v>
      </c>
      <c r="I117" s="13" t="s">
        <v>147</v>
      </c>
      <c r="J117" s="13" t="s">
        <v>152</v>
      </c>
      <c r="K117" s="13" t="s">
        <v>152</v>
      </c>
      <c r="L117" s="13"/>
      <c r="M117" s="13"/>
    </row>
    <row r="118" spans="2:13" x14ac:dyDescent="0.3">
      <c r="B118" s="13" t="str">
        <f>VLOOKUP($E118,서비스!$C:$G,4,0)</f>
        <v>검측 결과 등록</v>
      </c>
      <c r="C118" s="13" t="str">
        <f>VLOOKUP($E118,서비스!$C:$G,5,0)</f>
        <v>검측 결과 등록 저장</v>
      </c>
      <c r="D118" s="13" t="str">
        <f t="shared" si="5"/>
        <v>testRsltWrtSave</v>
      </c>
      <c r="E118" s="13" t="s">
        <v>192</v>
      </c>
      <c r="F118" s="13" t="str">
        <f t="shared" si="6"/>
        <v>TestRsltWrtItemSaveDTO.java</v>
      </c>
      <c r="G118" s="15" t="s">
        <v>333</v>
      </c>
      <c r="H118" s="13" t="s">
        <v>185</v>
      </c>
      <c r="I118" s="13" t="s">
        <v>148</v>
      </c>
      <c r="J118" s="13" t="s">
        <v>153</v>
      </c>
      <c r="K118" s="13" t="s">
        <v>267</v>
      </c>
      <c r="L118" s="13"/>
      <c r="M118" s="13"/>
    </row>
    <row r="119" spans="2:13" x14ac:dyDescent="0.3">
      <c r="B119" s="13" t="str">
        <f>VLOOKUP($E119,서비스!$C:$G,4,0)</f>
        <v>검측 결과 등록</v>
      </c>
      <c r="C119" s="13" t="str">
        <f>VLOOKUP($E119,서비스!$C:$G,5,0)</f>
        <v>검측 결과 등록 저장</v>
      </c>
      <c r="D119" s="13" t="str">
        <f t="shared" si="5"/>
        <v>testRsltWrtSave</v>
      </c>
      <c r="E119" s="13" t="s">
        <v>192</v>
      </c>
      <c r="F119" s="13" t="str">
        <f t="shared" si="6"/>
        <v>TestRsltWrtItemSaveDTO.java</v>
      </c>
      <c r="G119" s="15" t="s">
        <v>333</v>
      </c>
      <c r="H119" s="13" t="s">
        <v>126</v>
      </c>
      <c r="I119" s="13" t="s">
        <v>195</v>
      </c>
      <c r="J119" s="13" t="s">
        <v>217</v>
      </c>
      <c r="K119" s="13" t="s">
        <v>274</v>
      </c>
      <c r="L119" s="13"/>
      <c r="M119" s="13"/>
    </row>
    <row r="120" spans="2:13" s="26" customFormat="1" x14ac:dyDescent="0.3">
      <c r="B120" s="13" t="str">
        <f>VLOOKUP($E120,서비스!$C:$G,4,0)</f>
        <v>검측 결과 등록</v>
      </c>
      <c r="C120" s="13" t="str">
        <f>VLOOKUP($E120,서비스!$C:$G,5,0)</f>
        <v>검측 결과 등록 저장</v>
      </c>
      <c r="D120" s="13" t="str">
        <f t="shared" si="5"/>
        <v>testRsltWrtSave</v>
      </c>
      <c r="E120" s="13" t="s">
        <v>192</v>
      </c>
      <c r="F120" s="13" t="str">
        <f t="shared" si="6"/>
        <v>TestRsltWrtItemSaveDTO.java</v>
      </c>
      <c r="G120" s="15" t="s">
        <v>333</v>
      </c>
      <c r="H120" s="13" t="s">
        <v>126</v>
      </c>
      <c r="I120" s="13" t="s">
        <v>196</v>
      </c>
      <c r="J120" s="13" t="s">
        <v>218</v>
      </c>
      <c r="K120" s="13" t="s">
        <v>275</v>
      </c>
      <c r="L120" s="13"/>
      <c r="M120" s="13"/>
    </row>
    <row r="121" spans="2:13" s="24" customFormat="1" ht="12" customHeight="1" thickBot="1" x14ac:dyDescent="0.35">
      <c r="B121" s="25" t="str">
        <f>VLOOKUP($E121,서비스!$C:$G,4,0)</f>
        <v>검측 결과 등록</v>
      </c>
      <c r="C121" s="25" t="str">
        <f>VLOOKUP($E121,서비스!$C:$G,5,0)</f>
        <v>검측 결과 등록 저장</v>
      </c>
      <c r="D121" s="25" t="str">
        <f t="shared" si="5"/>
        <v>testRsltWrtSave</v>
      </c>
      <c r="E121" s="25" t="s">
        <v>192</v>
      </c>
      <c r="F121" s="25" t="str">
        <f t="shared" si="6"/>
        <v>TestRsltWrtItemSaveDTO.java</v>
      </c>
      <c r="G121" s="22" t="s">
        <v>333</v>
      </c>
      <c r="H121" s="25" t="s">
        <v>126</v>
      </c>
      <c r="I121" s="25" t="s">
        <v>310</v>
      </c>
      <c r="J121" s="25" t="s">
        <v>308</v>
      </c>
      <c r="K121" s="25" t="s">
        <v>309</v>
      </c>
      <c r="L121" s="25"/>
      <c r="M121" s="25"/>
    </row>
    <row r="122" spans="2:13" ht="12.75" thickTop="1" x14ac:dyDescent="0.3">
      <c r="B122" s="15" t="str">
        <f>VLOOKUP($E122,서비스!$C:$G,4,0)</f>
        <v>검측 결과 통보</v>
      </c>
      <c r="C122" s="15" t="str">
        <f>VLOOKUP($E122,서비스!$C:$G,5,0)</f>
        <v>검측 결과 통보 조회</v>
      </c>
      <c r="D122" s="15" t="str">
        <f t="shared" si="5"/>
        <v>testRsltNotiDtl</v>
      </c>
      <c r="E122" s="15" t="s">
        <v>207</v>
      </c>
      <c r="F122" s="15" t="str">
        <f t="shared" si="6"/>
        <v>TestRsltNotiDtlDTO.java</v>
      </c>
      <c r="G122" s="15" t="s">
        <v>207</v>
      </c>
      <c r="H122" s="15" t="s">
        <v>126</v>
      </c>
      <c r="I122" s="15" t="s">
        <v>124</v>
      </c>
      <c r="J122" s="15" t="s">
        <v>136</v>
      </c>
      <c r="K122" s="15" t="s">
        <v>254</v>
      </c>
      <c r="L122" s="15"/>
      <c r="M122" s="15"/>
    </row>
    <row r="123" spans="2:13" x14ac:dyDescent="0.3">
      <c r="B123" s="13" t="str">
        <f>VLOOKUP($E123,서비스!$C:$G,4,0)</f>
        <v>검측 결과 통보</v>
      </c>
      <c r="C123" s="13" t="str">
        <f>VLOOKUP($E123,서비스!$C:$G,5,0)</f>
        <v>검측 결과 통보 조회</v>
      </c>
      <c r="D123" s="13" t="str">
        <f t="shared" si="5"/>
        <v>testRsltNotiDtl</v>
      </c>
      <c r="E123" s="13" t="s">
        <v>207</v>
      </c>
      <c r="F123" s="13" t="str">
        <f t="shared" si="6"/>
        <v>TestRsltNotiDtlDTO.java</v>
      </c>
      <c r="G123" s="13" t="s">
        <v>207</v>
      </c>
      <c r="H123" s="13" t="s">
        <v>126</v>
      </c>
      <c r="I123" s="13" t="s">
        <v>30</v>
      </c>
      <c r="J123" s="13" t="s">
        <v>137</v>
      </c>
      <c r="K123" s="13" t="s">
        <v>265</v>
      </c>
      <c r="L123" s="13"/>
      <c r="M123" s="13"/>
    </row>
    <row r="124" spans="2:13" x14ac:dyDescent="0.3">
      <c r="B124" s="13" t="str">
        <f>VLOOKUP($E124,서비스!$C:$G,4,0)</f>
        <v>검측 결과 통보</v>
      </c>
      <c r="C124" s="13" t="str">
        <f>VLOOKUP($E124,서비스!$C:$G,5,0)</f>
        <v>검측 결과 통보 조회</v>
      </c>
      <c r="D124" s="13" t="str">
        <f t="shared" si="5"/>
        <v>testRsltNotiDtl</v>
      </c>
      <c r="E124" s="13" t="s">
        <v>207</v>
      </c>
      <c r="F124" s="13" t="str">
        <f t="shared" si="6"/>
        <v>TestRsltNotiDtlDTO.java</v>
      </c>
      <c r="G124" s="13" t="s">
        <v>207</v>
      </c>
      <c r="H124" s="13" t="s">
        <v>125</v>
      </c>
      <c r="I124" s="13" t="s">
        <v>169</v>
      </c>
      <c r="J124" s="13" t="s">
        <v>170</v>
      </c>
      <c r="K124" s="13" t="s">
        <v>268</v>
      </c>
      <c r="L124" s="13" t="s">
        <v>334</v>
      </c>
      <c r="M124" s="13"/>
    </row>
    <row r="125" spans="2:13" s="38" customFormat="1" x14ac:dyDescent="0.3">
      <c r="B125" s="36" t="str">
        <f>VLOOKUP($E125,서비스!$C:$G,4,0)</f>
        <v>검측 결과 통보</v>
      </c>
      <c r="C125" s="36" t="str">
        <f>VLOOKUP($E125,서비스!$C:$G,5,0)</f>
        <v>검측 결과 통보 조회</v>
      </c>
      <c r="D125" s="36" t="str">
        <f t="shared" si="5"/>
        <v>testRsltNotiDtl</v>
      </c>
      <c r="E125" s="36" t="s">
        <v>207</v>
      </c>
      <c r="F125" s="36" t="str">
        <f t="shared" si="6"/>
        <v>TestRsltNotiDtlDTO.java</v>
      </c>
      <c r="G125" s="36" t="s">
        <v>207</v>
      </c>
      <c r="H125" s="36" t="s">
        <v>125</v>
      </c>
      <c r="I125" s="36" t="s">
        <v>173</v>
      </c>
      <c r="J125" s="36" t="s">
        <v>328</v>
      </c>
      <c r="K125" s="36" t="s">
        <v>328</v>
      </c>
      <c r="L125" s="36" t="s">
        <v>335</v>
      </c>
      <c r="M125" s="36"/>
    </row>
    <row r="126" spans="2:13" ht="24" x14ac:dyDescent="0.3">
      <c r="B126" s="13" t="str">
        <f>VLOOKUP($E126,서비스!$C:$G,4,0)</f>
        <v>검측 결과 통보</v>
      </c>
      <c r="C126" s="13" t="str">
        <f>VLOOKUP($E126,서비스!$C:$G,5,0)</f>
        <v>검측 결과 통보 조회</v>
      </c>
      <c r="D126" s="13" t="str">
        <f t="shared" si="5"/>
        <v>testRsltNotiDtl</v>
      </c>
      <c r="E126" s="13" t="s">
        <v>207</v>
      </c>
      <c r="F126" s="13" t="str">
        <f t="shared" si="6"/>
        <v>TestRsltNotiDtlDTO.java</v>
      </c>
      <c r="G126" s="13" t="s">
        <v>207</v>
      </c>
      <c r="H126" s="13" t="s">
        <v>125</v>
      </c>
      <c r="I126" s="13" t="s">
        <v>208</v>
      </c>
      <c r="J126" s="13" t="s">
        <v>330</v>
      </c>
      <c r="K126" s="13" t="s">
        <v>252</v>
      </c>
      <c r="L126" s="13" t="s">
        <v>337</v>
      </c>
      <c r="M126" s="13"/>
    </row>
    <row r="127" spans="2:13" x14ac:dyDescent="0.3">
      <c r="B127" s="13" t="str">
        <f>VLOOKUP($E127,서비스!$C:$G,4,0)</f>
        <v>검측 결과 통보</v>
      </c>
      <c r="C127" s="13" t="str">
        <f>VLOOKUP($E127,서비스!$C:$G,5,0)</f>
        <v>검측 결과 통보 조회</v>
      </c>
      <c r="D127" s="13" t="str">
        <f t="shared" si="5"/>
        <v>testRsltNotiDtl</v>
      </c>
      <c r="E127" s="13" t="s">
        <v>207</v>
      </c>
      <c r="F127" s="13" t="str">
        <f t="shared" si="6"/>
        <v>TestRsltNotiDtlDTO.java</v>
      </c>
      <c r="G127" s="13" t="s">
        <v>207</v>
      </c>
      <c r="H127" s="13" t="s">
        <v>125</v>
      </c>
      <c r="I127" s="13" t="s">
        <v>220</v>
      </c>
      <c r="J127" s="13" t="s">
        <v>221</v>
      </c>
      <c r="K127" s="13" t="s">
        <v>276</v>
      </c>
      <c r="L127" s="13" t="s">
        <v>336</v>
      </c>
      <c r="M127" s="13"/>
    </row>
    <row r="128" spans="2:13" x14ac:dyDescent="0.3">
      <c r="B128" s="13" t="str">
        <f>VLOOKUP($E128,서비스!$C:$G,4,0)</f>
        <v>검측 결과 통보</v>
      </c>
      <c r="C128" s="13" t="str">
        <f>VLOOKUP($E128,서비스!$C:$G,5,0)</f>
        <v>검측 결과 통보 조회</v>
      </c>
      <c r="D128" s="13" t="str">
        <f t="shared" si="5"/>
        <v>testRsltNotiDtl</v>
      </c>
      <c r="E128" s="13" t="s">
        <v>207</v>
      </c>
      <c r="F128" s="13" t="str">
        <f t="shared" si="6"/>
        <v>TestRsltNotiDtlDTO.java</v>
      </c>
      <c r="G128" s="13" t="s">
        <v>207</v>
      </c>
      <c r="H128" s="13" t="s">
        <v>125</v>
      </c>
      <c r="I128" s="13" t="s">
        <v>209</v>
      </c>
      <c r="J128" s="13" t="s">
        <v>219</v>
      </c>
      <c r="K128" s="13" t="s">
        <v>277</v>
      </c>
      <c r="L128" s="13" t="s">
        <v>338</v>
      </c>
      <c r="M128" s="13"/>
    </row>
    <row r="129" spans="2:13" x14ac:dyDescent="0.3">
      <c r="B129" s="13" t="str">
        <f>VLOOKUP($E129,서비스!$C:$G,4,0)</f>
        <v>검측 결과 통보</v>
      </c>
      <c r="C129" s="13" t="str">
        <f>VLOOKUP($E129,서비스!$C:$G,5,0)</f>
        <v>검측 결과 통보 조회</v>
      </c>
      <c r="D129" s="13" t="str">
        <f t="shared" si="5"/>
        <v>testRsltNotiDtl</v>
      </c>
      <c r="E129" s="13" t="s">
        <v>207</v>
      </c>
      <c r="F129" s="13" t="str">
        <f t="shared" si="6"/>
        <v>TestRsltNotiDtlDTO.java</v>
      </c>
      <c r="G129" s="13" t="s">
        <v>207</v>
      </c>
      <c r="H129" s="13" t="s">
        <v>125</v>
      </c>
      <c r="I129" s="13" t="s">
        <v>210</v>
      </c>
      <c r="J129" s="13" t="s">
        <v>212</v>
      </c>
      <c r="K129" s="13" t="s">
        <v>278</v>
      </c>
      <c r="L129" s="13" t="s">
        <v>339</v>
      </c>
      <c r="M129" s="13"/>
    </row>
    <row r="130" spans="2:13" s="26" customFormat="1" x14ac:dyDescent="0.3">
      <c r="B130" s="13" t="str">
        <f>VLOOKUP($E130,서비스!$C:$G,4,0)</f>
        <v>검측 결과 통보</v>
      </c>
      <c r="C130" s="13" t="str">
        <f>VLOOKUP($E130,서비스!$C:$G,5,0)</f>
        <v>검측 결과 통보 조회</v>
      </c>
      <c r="D130" s="13" t="str">
        <f t="shared" si="5"/>
        <v>testRsltNotiDtl</v>
      </c>
      <c r="E130" s="13" t="s">
        <v>207</v>
      </c>
      <c r="F130" s="13" t="str">
        <f t="shared" si="6"/>
        <v>TestRsltNotiDtlDTO.java</v>
      </c>
      <c r="G130" s="13" t="s">
        <v>207</v>
      </c>
      <c r="H130" s="13" t="s">
        <v>125</v>
      </c>
      <c r="I130" s="13" t="s">
        <v>211</v>
      </c>
      <c r="J130" s="13" t="s">
        <v>213</v>
      </c>
      <c r="K130" s="13" t="s">
        <v>279</v>
      </c>
      <c r="L130" s="13" t="s">
        <v>340</v>
      </c>
      <c r="M130" s="13"/>
    </row>
    <row r="131" spans="2:13" s="24" customFormat="1" ht="12.75" thickBot="1" x14ac:dyDescent="0.35">
      <c r="B131" s="25" t="str">
        <f>VLOOKUP($E131,서비스!$C:$G,4,0)</f>
        <v>검측 결과 통보</v>
      </c>
      <c r="C131" s="25" t="str">
        <f>VLOOKUP($E131,서비스!$C:$G,5,0)</f>
        <v>검측 결과 통보 조회</v>
      </c>
      <c r="D131" s="25" t="str">
        <f t="shared" ref="D131" si="8">ToCamelLower(E131)</f>
        <v>testRsltNotiDtl</v>
      </c>
      <c r="E131" s="25" t="s">
        <v>207</v>
      </c>
      <c r="F131" s="25" t="str">
        <f t="shared" ref="F131" si="9">ToCamel(G131) &amp; "DTO.java"</f>
        <v>TestRsltNotiDtlDTO.java</v>
      </c>
      <c r="G131" s="25" t="s">
        <v>207</v>
      </c>
      <c r="H131" s="25" t="s">
        <v>125</v>
      </c>
      <c r="I131" s="25" t="s">
        <v>305</v>
      </c>
      <c r="J131" s="25" t="s">
        <v>303</v>
      </c>
      <c r="K131" s="25" t="s">
        <v>304</v>
      </c>
      <c r="L131" s="25"/>
      <c r="M131" s="25"/>
    </row>
    <row r="132" spans="2:13" ht="12.75" thickTop="1" x14ac:dyDescent="0.3">
      <c r="B132" s="15" t="str">
        <f>VLOOKUP($E132,서비스!$C:$G,4,0)</f>
        <v>검측 결과 통보</v>
      </c>
      <c r="C132" s="15" t="str">
        <f>VLOOKUP($E132,서비스!$C:$G,5,0)</f>
        <v>검측 결과 통보 저장</v>
      </c>
      <c r="D132" s="15" t="str">
        <f t="shared" si="5"/>
        <v>testRsltNotiSave</v>
      </c>
      <c r="E132" s="15" t="s">
        <v>194</v>
      </c>
      <c r="F132" s="15" t="str">
        <f t="shared" si="6"/>
        <v>TestRsltNotiSaveDTO.java</v>
      </c>
      <c r="G132" s="15" t="s">
        <v>194</v>
      </c>
      <c r="H132" s="15" t="s">
        <v>126</v>
      </c>
      <c r="I132" s="15" t="s">
        <v>124</v>
      </c>
      <c r="J132" s="15" t="s">
        <v>144</v>
      </c>
      <c r="K132" s="15" t="s">
        <v>257</v>
      </c>
      <c r="L132" s="15"/>
      <c r="M132" s="15"/>
    </row>
    <row r="133" spans="2:13" x14ac:dyDescent="0.3">
      <c r="B133" s="13" t="str">
        <f>VLOOKUP($E133,서비스!$C:$G,4,0)</f>
        <v>검측 결과 통보</v>
      </c>
      <c r="C133" s="13" t="str">
        <f>VLOOKUP($E133,서비스!$C:$G,5,0)</f>
        <v>검측 결과 통보 저장</v>
      </c>
      <c r="D133" s="13" t="str">
        <f t="shared" si="5"/>
        <v>testRsltNotiSave</v>
      </c>
      <c r="E133" s="13" t="s">
        <v>194</v>
      </c>
      <c r="F133" s="13" t="str">
        <f t="shared" si="6"/>
        <v>TestRsltNotiSaveDTO.java</v>
      </c>
      <c r="G133" s="13" t="s">
        <v>194</v>
      </c>
      <c r="H133" s="13" t="s">
        <v>126</v>
      </c>
      <c r="I133" s="13" t="s">
        <v>30</v>
      </c>
      <c r="J133" s="13" t="s">
        <v>135</v>
      </c>
      <c r="K133" s="13" t="s">
        <v>255</v>
      </c>
      <c r="L133" s="13"/>
      <c r="M133" s="13"/>
    </row>
    <row r="134" spans="2:13" x14ac:dyDescent="0.3">
      <c r="B134" s="13" t="str">
        <f>VLOOKUP($E134,서비스!$C:$G,4,0)</f>
        <v>검측 결과 통보</v>
      </c>
      <c r="C134" s="13" t="str">
        <f>VLOOKUP($E134,서비스!$C:$G,5,0)</f>
        <v>검측 결과 통보 저장</v>
      </c>
      <c r="D134" s="13" t="str">
        <f t="shared" si="5"/>
        <v>testRsltNotiSave</v>
      </c>
      <c r="E134" s="13" t="s">
        <v>194</v>
      </c>
      <c r="F134" s="13" t="str">
        <f t="shared" si="6"/>
        <v>TestRsltNotiSaveDTO.java</v>
      </c>
      <c r="G134" s="13" t="s">
        <v>194</v>
      </c>
      <c r="H134" s="13" t="s">
        <v>185</v>
      </c>
      <c r="I134" s="13" t="s">
        <v>169</v>
      </c>
      <c r="J134" s="13" t="s">
        <v>170</v>
      </c>
      <c r="K134" s="13" t="s">
        <v>268</v>
      </c>
      <c r="L134" s="13"/>
      <c r="M134" s="13"/>
    </row>
    <row r="135" spans="2:13" s="38" customFormat="1" x14ac:dyDescent="0.3">
      <c r="B135" s="36" t="str">
        <f>VLOOKUP($E135,서비스!$C:$G,4,0)</f>
        <v>검측 결과 통보</v>
      </c>
      <c r="C135" s="36" t="str">
        <f>VLOOKUP($E135,서비스!$C:$G,5,0)</f>
        <v>검측 결과 통보 저장</v>
      </c>
      <c r="D135" s="36" t="str">
        <f t="shared" si="5"/>
        <v>testRsltNotiSave</v>
      </c>
      <c r="E135" s="36" t="s">
        <v>194</v>
      </c>
      <c r="F135" s="36" t="str">
        <f t="shared" si="6"/>
        <v>TestRsltNotiSaveDTO.java</v>
      </c>
      <c r="G135" s="36" t="s">
        <v>194</v>
      </c>
      <c r="H135" s="36" t="s">
        <v>185</v>
      </c>
      <c r="I135" s="36" t="s">
        <v>173</v>
      </c>
      <c r="J135" s="36" t="s">
        <v>328</v>
      </c>
      <c r="K135" s="36" t="s">
        <v>328</v>
      </c>
      <c r="L135" s="36"/>
      <c r="M135" s="36"/>
    </row>
    <row r="136" spans="2:13" x14ac:dyDescent="0.3">
      <c r="B136" s="13" t="str">
        <f>VLOOKUP($E136,서비스!$C:$G,4,0)</f>
        <v>검측 결과 통보</v>
      </c>
      <c r="C136" s="13" t="str">
        <f>VLOOKUP($E136,서비스!$C:$G,5,0)</f>
        <v>검측 결과 통보 저장</v>
      </c>
      <c r="D136" s="13" t="str">
        <f t="shared" si="5"/>
        <v>testRsltNotiSave</v>
      </c>
      <c r="E136" s="13" t="s">
        <v>194</v>
      </c>
      <c r="F136" s="13" t="str">
        <f t="shared" si="6"/>
        <v>TestRsltNotiSaveDTO.java</v>
      </c>
      <c r="G136" s="13" t="s">
        <v>194</v>
      </c>
      <c r="H136" s="13" t="s">
        <v>126</v>
      </c>
      <c r="I136" s="13" t="s">
        <v>208</v>
      </c>
      <c r="J136" s="13" t="s">
        <v>119</v>
      </c>
      <c r="K136" s="13" t="s">
        <v>252</v>
      </c>
      <c r="L136" s="13"/>
      <c r="M136" s="13"/>
    </row>
    <row r="137" spans="2:13" x14ac:dyDescent="0.3">
      <c r="B137" s="13" t="str">
        <f>VLOOKUP($E137,서비스!$C:$G,4,0)</f>
        <v>검측 결과 통보</v>
      </c>
      <c r="C137" s="13" t="str">
        <f>VLOOKUP($E137,서비스!$C:$G,5,0)</f>
        <v>검측 결과 통보 저장</v>
      </c>
      <c r="D137" s="13" t="str">
        <f t="shared" si="5"/>
        <v>testRsltNotiSave</v>
      </c>
      <c r="E137" s="13" t="s">
        <v>194</v>
      </c>
      <c r="F137" s="13" t="str">
        <f t="shared" si="6"/>
        <v>TestRsltNotiSaveDTO.java</v>
      </c>
      <c r="G137" s="13" t="s">
        <v>194</v>
      </c>
      <c r="H137" s="13" t="s">
        <v>126</v>
      </c>
      <c r="I137" s="13" t="s">
        <v>220</v>
      </c>
      <c r="J137" s="13" t="s">
        <v>221</v>
      </c>
      <c r="K137" s="13" t="s">
        <v>276</v>
      </c>
      <c r="L137" s="13"/>
      <c r="M137" s="13"/>
    </row>
    <row r="138" spans="2:13" x14ac:dyDescent="0.3">
      <c r="B138" s="13" t="str">
        <f>VLOOKUP($E138,서비스!$C:$G,4,0)</f>
        <v>검측 결과 통보</v>
      </c>
      <c r="C138" s="13" t="str">
        <f>VLOOKUP($E138,서비스!$C:$G,5,0)</f>
        <v>검측 결과 통보 저장</v>
      </c>
      <c r="D138" s="13" t="str">
        <f t="shared" si="5"/>
        <v>testRsltNotiSave</v>
      </c>
      <c r="E138" s="13" t="s">
        <v>194</v>
      </c>
      <c r="F138" s="13" t="str">
        <f t="shared" si="6"/>
        <v>TestRsltNotiSaveDTO.java</v>
      </c>
      <c r="G138" s="13" t="s">
        <v>194</v>
      </c>
      <c r="H138" s="13" t="s">
        <v>126</v>
      </c>
      <c r="I138" s="13" t="s">
        <v>209</v>
      </c>
      <c r="J138" s="13" t="s">
        <v>219</v>
      </c>
      <c r="K138" s="13" t="s">
        <v>277</v>
      </c>
      <c r="L138" s="13"/>
      <c r="M138" s="13"/>
    </row>
    <row r="139" spans="2:13" x14ac:dyDescent="0.3">
      <c r="B139" s="13" t="str">
        <f>VLOOKUP($E139,서비스!$C:$G,4,0)</f>
        <v>검측 결과 통보</v>
      </c>
      <c r="C139" s="13" t="str">
        <f>VLOOKUP($E139,서비스!$C:$G,5,0)</f>
        <v>검측 결과 통보 저장</v>
      </c>
      <c r="D139" s="13" t="str">
        <f t="shared" si="5"/>
        <v>testRsltNotiSave</v>
      </c>
      <c r="E139" s="13" t="s">
        <v>194</v>
      </c>
      <c r="F139" s="13" t="str">
        <f t="shared" si="6"/>
        <v>TestRsltNotiSaveDTO.java</v>
      </c>
      <c r="G139" s="13" t="s">
        <v>194</v>
      </c>
      <c r="H139" s="13" t="s">
        <v>185</v>
      </c>
      <c r="I139" s="13" t="s">
        <v>210</v>
      </c>
      <c r="J139" s="13" t="s">
        <v>212</v>
      </c>
      <c r="K139" s="13" t="s">
        <v>278</v>
      </c>
      <c r="L139" s="13"/>
      <c r="M139" s="13"/>
    </row>
    <row r="140" spans="2:13" s="26" customFormat="1" x14ac:dyDescent="0.3">
      <c r="B140" s="13" t="str">
        <f>VLOOKUP($E140,서비스!$C:$G,4,0)</f>
        <v>검측 결과 통보</v>
      </c>
      <c r="C140" s="13" t="str">
        <f>VLOOKUP($E140,서비스!$C:$G,5,0)</f>
        <v>검측 결과 통보 저장</v>
      </c>
      <c r="D140" s="13" t="str">
        <f t="shared" si="5"/>
        <v>testRsltNotiSave</v>
      </c>
      <c r="E140" s="13" t="s">
        <v>194</v>
      </c>
      <c r="F140" s="13" t="str">
        <f t="shared" si="6"/>
        <v>TestRsltNotiSaveDTO.java</v>
      </c>
      <c r="G140" s="13" t="s">
        <v>194</v>
      </c>
      <c r="H140" s="13" t="s">
        <v>185</v>
      </c>
      <c r="I140" s="13" t="s">
        <v>211</v>
      </c>
      <c r="J140" s="13" t="s">
        <v>213</v>
      </c>
      <c r="K140" s="13" t="s">
        <v>279</v>
      </c>
      <c r="L140" s="13"/>
      <c r="M140" s="13"/>
    </row>
    <row r="141" spans="2:13" s="24" customFormat="1" ht="12.75" thickBot="1" x14ac:dyDescent="0.35">
      <c r="B141" s="25" t="str">
        <f>VLOOKUP($E141,서비스!$C:$G,4,0)</f>
        <v>검측 결과 통보</v>
      </c>
      <c r="C141" s="25" t="str">
        <f>VLOOKUP($E141,서비스!$C:$G,5,0)</f>
        <v>검측 결과 통보 저장</v>
      </c>
      <c r="D141" s="25" t="str">
        <f t="shared" ref="D141" si="10">ToCamelLower(E141)</f>
        <v>testRsltNotiSave</v>
      </c>
      <c r="E141" s="25" t="s">
        <v>193</v>
      </c>
      <c r="F141" s="25" t="str">
        <f t="shared" si="6"/>
        <v>TestRsltNotiSaveDTO.java</v>
      </c>
      <c r="G141" s="25" t="s">
        <v>193</v>
      </c>
      <c r="H141" s="25" t="s">
        <v>126</v>
      </c>
      <c r="I141" s="25" t="s">
        <v>310</v>
      </c>
      <c r="J141" s="25" t="s">
        <v>308</v>
      </c>
      <c r="K141" s="25" t="s">
        <v>309</v>
      </c>
      <c r="L141" s="25"/>
      <c r="M141" s="25"/>
    </row>
    <row r="142" spans="2:13" ht="12.75" thickTop="1" x14ac:dyDescent="0.3">
      <c r="B142" s="18"/>
      <c r="C142" s="18"/>
      <c r="D142" s="15"/>
      <c r="E142" s="15"/>
      <c r="F142" s="15"/>
      <c r="G142" s="15"/>
      <c r="H142" s="18"/>
      <c r="I142" s="18"/>
      <c r="J142" s="18"/>
      <c r="K142" s="18"/>
      <c r="L142" s="18"/>
      <c r="M142" s="18"/>
    </row>
    <row r="143" spans="2:13" s="53" customFormat="1" x14ac:dyDescent="0.3">
      <c r="B143" s="54" t="str">
        <f>VLOOKUP($E143,서비스!$C:$G,4,0)</f>
        <v>부적합 보고서</v>
      </c>
      <c r="C143" s="54" t="str">
        <f>VLOOKUP($E143,서비스!$C:$G,5,0)</f>
        <v>부적합 보고서 조회(상세)</v>
      </c>
      <c r="D143" s="54" t="str">
        <f t="shared" ref="D143:D160" si="11">ToCamelLower(E143)</f>
        <v>ncrRprtDtl</v>
      </c>
      <c r="E143" s="15" t="s">
        <v>349</v>
      </c>
      <c r="F143" s="54" t="str">
        <f t="shared" ref="F143:F160" si="12">ToCamel(G143) &amp; "DTO.java"</f>
        <v>NcrRprtDtlDTO.java</v>
      </c>
      <c r="G143" s="15" t="s">
        <v>349</v>
      </c>
      <c r="H143" s="15" t="s">
        <v>126</v>
      </c>
      <c r="I143" s="54" t="s">
        <v>379</v>
      </c>
      <c r="J143" s="55" t="s">
        <v>481</v>
      </c>
      <c r="K143" s="54" t="s">
        <v>384</v>
      </c>
      <c r="L143" s="54"/>
      <c r="M143" s="54"/>
    </row>
    <row r="144" spans="2:13" s="53" customFormat="1" ht="24" x14ac:dyDescent="0.3">
      <c r="B144" s="54" t="str">
        <f>VLOOKUP($E144,서비스!$C:$G,4,0)</f>
        <v>부적합 보고서</v>
      </c>
      <c r="C144" s="54" t="str">
        <f>VLOOKUP($E144,서비스!$C:$G,5,0)</f>
        <v>부적합 보고서 조회(상세)</v>
      </c>
      <c r="D144" s="54" t="str">
        <f t="shared" si="11"/>
        <v>ncrRprtDtl</v>
      </c>
      <c r="E144" s="15" t="s">
        <v>349</v>
      </c>
      <c r="F144" s="54" t="str">
        <f t="shared" si="12"/>
        <v>NcrRprtDtlDTO.java</v>
      </c>
      <c r="G144" s="15" t="s">
        <v>349</v>
      </c>
      <c r="H144" s="15" t="s">
        <v>126</v>
      </c>
      <c r="I144" s="54" t="s">
        <v>490</v>
      </c>
      <c r="J144" s="55" t="s">
        <v>482</v>
      </c>
      <c r="K144" s="54" t="s">
        <v>385</v>
      </c>
      <c r="L144" s="54"/>
      <c r="M144" s="54"/>
    </row>
    <row r="145" spans="2:13" x14ac:dyDescent="0.3">
      <c r="B145" s="13" t="str">
        <f>VLOOKUP($E145,서비스!$C:$G,4,0)</f>
        <v>부적합 보고서</v>
      </c>
      <c r="C145" s="13" t="str">
        <f>VLOOKUP($E145,서비스!$C:$G,5,0)</f>
        <v>부적합 보고서 조회(상세)</v>
      </c>
      <c r="D145" s="13" t="str">
        <f t="shared" si="11"/>
        <v>ncrRprtDtl</v>
      </c>
      <c r="E145" s="13" t="s">
        <v>349</v>
      </c>
      <c r="F145" s="13" t="str">
        <f t="shared" si="12"/>
        <v>NcrRprtDtlDTO.java</v>
      </c>
      <c r="G145" s="13" t="s">
        <v>349</v>
      </c>
      <c r="H145" s="13" t="s">
        <v>125</v>
      </c>
      <c r="I145" s="13" t="s">
        <v>169</v>
      </c>
      <c r="J145" s="13" t="s">
        <v>170</v>
      </c>
      <c r="K145" s="13" t="s">
        <v>268</v>
      </c>
      <c r="L145" s="13"/>
      <c r="M145" s="13"/>
    </row>
    <row r="146" spans="2:13" x14ac:dyDescent="0.3">
      <c r="B146" s="13" t="str">
        <f>VLOOKUP($E146,서비스!$C:$G,4,0)</f>
        <v>부적합 보고서</v>
      </c>
      <c r="C146" s="13" t="str">
        <f>VLOOKUP($E146,서비스!$C:$G,5,0)</f>
        <v>부적합 보고서 조회(상세)</v>
      </c>
      <c r="D146" s="13" t="str">
        <f t="shared" ref="D146:D147" si="13">ToCamelLower(E146)</f>
        <v>ncrRprtDtl</v>
      </c>
      <c r="E146" s="13" t="s">
        <v>349</v>
      </c>
      <c r="F146" s="13" t="str">
        <f t="shared" ref="F146:F147" si="14">ToCamel(G146) &amp; "DTO.java"</f>
        <v>NcrRprtDtlDTO.java</v>
      </c>
      <c r="G146" s="13" t="s">
        <v>349</v>
      </c>
      <c r="H146" s="13" t="s">
        <v>125</v>
      </c>
      <c r="I146" s="13" t="s">
        <v>388</v>
      </c>
      <c r="J146" s="13" t="s">
        <v>386</v>
      </c>
      <c r="K146" s="13" t="s">
        <v>387</v>
      </c>
      <c r="L146" s="13"/>
      <c r="M146" s="13"/>
    </row>
    <row r="147" spans="2:13" x14ac:dyDescent="0.3">
      <c r="B147" s="13" t="str">
        <f>VLOOKUP($E147,서비스!$C:$G,4,0)</f>
        <v>부적합 보고서</v>
      </c>
      <c r="C147" s="13" t="str">
        <f>VLOOKUP($E147,서비스!$C:$G,5,0)</f>
        <v>부적합 보고서 조회(상세)</v>
      </c>
      <c r="D147" s="13" t="str">
        <f t="shared" si="13"/>
        <v>ncrRprtDtl</v>
      </c>
      <c r="E147" s="13" t="s">
        <v>349</v>
      </c>
      <c r="F147" s="13" t="str">
        <f t="shared" si="14"/>
        <v>NcrRprtDtlDTO.java</v>
      </c>
      <c r="G147" s="13" t="s">
        <v>349</v>
      </c>
      <c r="H147" s="13" t="s">
        <v>125</v>
      </c>
      <c r="I147" s="13" t="s">
        <v>389</v>
      </c>
      <c r="J147" s="13" t="s">
        <v>296</v>
      </c>
      <c r="K147" s="13" t="s">
        <v>295</v>
      </c>
      <c r="L147" s="13"/>
      <c r="M147" s="13"/>
    </row>
    <row r="148" spans="2:13" x14ac:dyDescent="0.3">
      <c r="B148" s="13" t="str">
        <f>VLOOKUP($E148,서비스!$C:$G,4,0)</f>
        <v>부적합 보고서</v>
      </c>
      <c r="C148" s="13" t="str">
        <f>VLOOKUP($E148,서비스!$C:$G,5,0)</f>
        <v>부적합 보고서 조회(상세)</v>
      </c>
      <c r="D148" s="13" t="str">
        <f t="shared" si="11"/>
        <v>ncrRprtDtl</v>
      </c>
      <c r="E148" s="13" t="s">
        <v>349</v>
      </c>
      <c r="F148" s="13" t="str">
        <f t="shared" si="12"/>
        <v>NcrRprtDtlDTO.java</v>
      </c>
      <c r="G148" s="13" t="s">
        <v>349</v>
      </c>
      <c r="H148" s="13" t="s">
        <v>125</v>
      </c>
      <c r="I148" s="13" t="s">
        <v>390</v>
      </c>
      <c r="J148" s="13" t="s">
        <v>391</v>
      </c>
      <c r="K148" s="13" t="s">
        <v>392</v>
      </c>
      <c r="L148" s="13"/>
      <c r="M148" s="13"/>
    </row>
    <row r="149" spans="2:13" x14ac:dyDescent="0.3">
      <c r="B149" s="13" t="str">
        <f>VLOOKUP($E149,서비스!$C:$G,4,0)</f>
        <v>부적합 보고서</v>
      </c>
      <c r="C149" s="13" t="str">
        <f>VLOOKUP($E149,서비스!$C:$G,5,0)</f>
        <v>부적합 보고서 조회(상세)</v>
      </c>
      <c r="D149" s="13" t="str">
        <f t="shared" si="11"/>
        <v>ncrRprtDtl</v>
      </c>
      <c r="E149" s="13" t="s">
        <v>349</v>
      </c>
      <c r="F149" s="13" t="str">
        <f t="shared" si="12"/>
        <v>NcrRprtDtlDTO.java</v>
      </c>
      <c r="G149" s="13" t="s">
        <v>349</v>
      </c>
      <c r="H149" s="13" t="s">
        <v>125</v>
      </c>
      <c r="I149" s="13" t="s">
        <v>393</v>
      </c>
      <c r="J149" s="13" t="s">
        <v>404</v>
      </c>
      <c r="K149" s="13" t="s">
        <v>404</v>
      </c>
      <c r="L149" s="13"/>
      <c r="M149" s="13"/>
    </row>
    <row r="150" spans="2:13" x14ac:dyDescent="0.3">
      <c r="B150" s="13" t="str">
        <f>VLOOKUP($E150,서비스!$C:$G,4,0)</f>
        <v>부적합 보고서</v>
      </c>
      <c r="C150" s="13" t="str">
        <f>VLOOKUP($E150,서비스!$C:$G,5,0)</f>
        <v>부적합 보고서 조회(상세)</v>
      </c>
      <c r="D150" s="13" t="str">
        <f t="shared" si="11"/>
        <v>ncrRprtDtl</v>
      </c>
      <c r="E150" s="13" t="s">
        <v>349</v>
      </c>
      <c r="F150" s="13" t="str">
        <f t="shared" si="12"/>
        <v>NcrRprtDtlDTO.java</v>
      </c>
      <c r="G150" s="13" t="s">
        <v>349</v>
      </c>
      <c r="H150" s="13" t="s">
        <v>125</v>
      </c>
      <c r="I150" s="13" t="s">
        <v>394</v>
      </c>
      <c r="J150" s="13" t="s">
        <v>405</v>
      </c>
      <c r="K150" s="13" t="s">
        <v>406</v>
      </c>
      <c r="L150" s="13"/>
      <c r="M150" s="13"/>
    </row>
    <row r="151" spans="2:13" x14ac:dyDescent="0.3">
      <c r="B151" s="13" t="str">
        <f>VLOOKUP($E151,서비스!$C:$G,4,0)</f>
        <v>부적합 보고서</v>
      </c>
      <c r="C151" s="13" t="str">
        <f>VLOOKUP($E151,서비스!$C:$G,5,0)</f>
        <v>부적합 보고서 조회(상세)</v>
      </c>
      <c r="D151" s="13" t="str">
        <f t="shared" ref="D151" si="15">ToCamelLower(E151)</f>
        <v>ncrRprtDtl</v>
      </c>
      <c r="E151" s="13" t="s">
        <v>349</v>
      </c>
      <c r="F151" s="13" t="str">
        <f t="shared" ref="F151" si="16">ToCamel(G151) &amp; "DTO.java"</f>
        <v>NcrRprtDtlDTO.java</v>
      </c>
      <c r="G151" s="13" t="s">
        <v>349</v>
      </c>
      <c r="H151" s="13" t="s">
        <v>125</v>
      </c>
      <c r="I151" s="13" t="s">
        <v>395</v>
      </c>
      <c r="J151" s="13" t="s">
        <v>407</v>
      </c>
      <c r="K151" s="13" t="s">
        <v>494</v>
      </c>
      <c r="L151" s="13"/>
      <c r="M151" s="13"/>
    </row>
    <row r="152" spans="2:13" x14ac:dyDescent="0.3">
      <c r="B152" s="13" t="str">
        <f>VLOOKUP($E152,서비스!$C:$G,4,0)</f>
        <v>부적합 보고서</v>
      </c>
      <c r="C152" s="13" t="str">
        <f>VLOOKUP($E152,서비스!$C:$G,5,0)</f>
        <v>부적합 보고서 조회(상세)</v>
      </c>
      <c r="D152" s="13" t="str">
        <f t="shared" si="11"/>
        <v>ncrRprtDtl</v>
      </c>
      <c r="E152" s="13" t="s">
        <v>349</v>
      </c>
      <c r="F152" s="13" t="str">
        <f t="shared" si="12"/>
        <v>NcrRprtDtlDTO.java</v>
      </c>
      <c r="G152" s="13" t="s">
        <v>349</v>
      </c>
      <c r="H152" s="13" t="s">
        <v>125</v>
      </c>
      <c r="I152" s="13" t="s">
        <v>396</v>
      </c>
      <c r="J152" s="13" t="s">
        <v>408</v>
      </c>
      <c r="K152" s="13" t="s">
        <v>493</v>
      </c>
      <c r="L152" s="13"/>
      <c r="M152" s="13"/>
    </row>
    <row r="153" spans="2:13" s="86" customFormat="1" x14ac:dyDescent="0.3">
      <c r="B153" s="87" t="str">
        <f>VLOOKUP($E153,서비스!$C:$G,4,0)</f>
        <v>부적합 보고서</v>
      </c>
      <c r="C153" s="87" t="str">
        <f>VLOOKUP($E153,서비스!$C:$G,5,0)</f>
        <v>부적합 보고서 조회(상세)</v>
      </c>
      <c r="D153" s="87" t="str">
        <f t="shared" ref="D153" si="17">ToCamelLower(E153)</f>
        <v>ncrRprtDtl</v>
      </c>
      <c r="E153" s="87" t="s">
        <v>349</v>
      </c>
      <c r="F153" s="87" t="str">
        <f t="shared" ref="F153" si="18">ToCamel(G153) &amp; "DTO.java"</f>
        <v>NcrRprtDtlDTO.java</v>
      </c>
      <c r="G153" s="87" t="s">
        <v>349</v>
      </c>
      <c r="H153" s="87" t="s">
        <v>125</v>
      </c>
      <c r="I153" s="87" t="s">
        <v>508</v>
      </c>
      <c r="J153" s="87" t="s">
        <v>509</v>
      </c>
      <c r="K153" s="87" t="s">
        <v>510</v>
      </c>
      <c r="L153" s="87"/>
      <c r="M153" s="87"/>
    </row>
    <row r="154" spans="2:13" x14ac:dyDescent="0.3">
      <c r="B154" s="13" t="str">
        <f>VLOOKUP($E154,서비스!$C:$G,4,0)</f>
        <v>부적합 보고서</v>
      </c>
      <c r="C154" s="13" t="str">
        <f>VLOOKUP($E154,서비스!$C:$G,5,0)</f>
        <v>부적합 보고서 조회(상세)</v>
      </c>
      <c r="D154" s="13" t="str">
        <f t="shared" si="11"/>
        <v>ncrRprtDtl</v>
      </c>
      <c r="E154" s="13" t="s">
        <v>349</v>
      </c>
      <c r="F154" s="13" t="str">
        <f t="shared" si="12"/>
        <v>NcrRprtDtlDTO.java</v>
      </c>
      <c r="G154" s="13" t="s">
        <v>349</v>
      </c>
      <c r="H154" s="13" t="s">
        <v>125</v>
      </c>
      <c r="I154" s="13" t="s">
        <v>397</v>
      </c>
      <c r="J154" s="13" t="s">
        <v>409</v>
      </c>
      <c r="K154" s="13" t="s">
        <v>411</v>
      </c>
      <c r="L154" s="13"/>
      <c r="M154" s="13"/>
    </row>
    <row r="155" spans="2:13" x14ac:dyDescent="0.3">
      <c r="B155" s="13" t="str">
        <f>VLOOKUP($E155,서비스!$C:$G,4,0)</f>
        <v>부적합 보고서</v>
      </c>
      <c r="C155" s="13" t="str">
        <f>VLOOKUP($E155,서비스!$C:$G,5,0)</f>
        <v>부적합 보고서 조회(상세)</v>
      </c>
      <c r="D155" s="13" t="str">
        <f t="shared" ref="D155" si="19">ToCamelLower(E155)</f>
        <v>ncrRprtDtl</v>
      </c>
      <c r="E155" s="13" t="s">
        <v>349</v>
      </c>
      <c r="F155" s="13" t="str">
        <f t="shared" ref="F155" si="20">ToCamel(G155) &amp; "DTO.java"</f>
        <v>NcrRprtDtlDTO.java</v>
      </c>
      <c r="G155" s="13" t="s">
        <v>349</v>
      </c>
      <c r="H155" s="13" t="s">
        <v>125</v>
      </c>
      <c r="I155" s="13" t="s">
        <v>398</v>
      </c>
      <c r="J155" s="13" t="s">
        <v>410</v>
      </c>
      <c r="K155" s="13" t="s">
        <v>412</v>
      </c>
      <c r="L155" s="13"/>
      <c r="M155" s="13"/>
    </row>
    <row r="156" spans="2:13" x14ac:dyDescent="0.3">
      <c r="B156" s="13" t="str">
        <f>VLOOKUP($E156,서비스!$C:$G,4,0)</f>
        <v>부적합 보고서</v>
      </c>
      <c r="C156" s="13" t="str">
        <f>VLOOKUP($E156,서비스!$C:$G,5,0)</f>
        <v>부적합 보고서 조회(상세)</v>
      </c>
      <c r="D156" s="13" t="str">
        <f t="shared" ref="D156:D159" si="21">ToCamelLower(E156)</f>
        <v>ncrRprtDtl</v>
      </c>
      <c r="E156" s="13" t="s">
        <v>349</v>
      </c>
      <c r="F156" s="13" t="str">
        <f t="shared" ref="F156:F159" si="22">ToCamel(G156) &amp; "DTO.java"</f>
        <v>NcrRprtDtlDTO.java</v>
      </c>
      <c r="G156" s="13" t="s">
        <v>349</v>
      </c>
      <c r="H156" s="13" t="s">
        <v>125</v>
      </c>
      <c r="I156" s="13" t="s">
        <v>399</v>
      </c>
      <c r="J156" s="13" t="s">
        <v>413</v>
      </c>
      <c r="K156" s="13" t="s">
        <v>416</v>
      </c>
      <c r="L156" s="13"/>
      <c r="M156" s="13"/>
    </row>
    <row r="157" spans="2:13" x14ac:dyDescent="0.3">
      <c r="B157" s="13" t="str">
        <f>VLOOKUP($E157,서비스!$C:$G,4,0)</f>
        <v>부적합 보고서</v>
      </c>
      <c r="C157" s="13" t="str">
        <f>VLOOKUP($E157,서비스!$C:$G,5,0)</f>
        <v>부적합 보고서 조회(상세)</v>
      </c>
      <c r="D157" s="13" t="str">
        <f t="shared" si="21"/>
        <v>ncrRprtDtl</v>
      </c>
      <c r="E157" s="13" t="s">
        <v>349</v>
      </c>
      <c r="F157" s="13" t="str">
        <f t="shared" si="22"/>
        <v>NcrRprtDtlDTO.java</v>
      </c>
      <c r="G157" s="13" t="s">
        <v>349</v>
      </c>
      <c r="H157" s="13" t="s">
        <v>125</v>
      </c>
      <c r="I157" s="13" t="s">
        <v>400</v>
      </c>
      <c r="J157" s="13" t="s">
        <v>415</v>
      </c>
      <c r="K157" s="13" t="s">
        <v>417</v>
      </c>
      <c r="L157" s="13"/>
      <c r="M157" s="13"/>
    </row>
    <row r="158" spans="2:13" s="86" customFormat="1" x14ac:dyDescent="0.3">
      <c r="B158" s="87" t="str">
        <f>VLOOKUP($E158,서비스!$C:$G,4,0)</f>
        <v>부적합 보고서</v>
      </c>
      <c r="C158" s="87" t="str">
        <f>VLOOKUP($E158,서비스!$C:$G,5,0)</f>
        <v>부적합 보고서 조회(상세)</v>
      </c>
      <c r="D158" s="87" t="str">
        <f>ToCamelLower(E158)</f>
        <v>ncrRprtDtl</v>
      </c>
      <c r="E158" s="87" t="s">
        <v>349</v>
      </c>
      <c r="F158" s="87" t="str">
        <f>ToCamel(G158) &amp; "DTO.java"</f>
        <v>NcrRprtDtlDTO.java</v>
      </c>
      <c r="G158" s="87" t="s">
        <v>349</v>
      </c>
      <c r="H158" s="87" t="s">
        <v>125</v>
      </c>
      <c r="I158" s="87" t="s">
        <v>511</v>
      </c>
      <c r="J158" s="87" t="s">
        <v>512</v>
      </c>
      <c r="K158" s="87" t="s">
        <v>513</v>
      </c>
      <c r="L158" s="87"/>
      <c r="M158" s="87"/>
    </row>
    <row r="159" spans="2:13" x14ac:dyDescent="0.3">
      <c r="B159" s="13" t="str">
        <f>VLOOKUP($E159,서비스!$C:$G,4,0)</f>
        <v>부적합 보고서</v>
      </c>
      <c r="C159" s="13" t="str">
        <f>VLOOKUP($E159,서비스!$C:$G,5,0)</f>
        <v>부적합 보고서 조회(상세)</v>
      </c>
      <c r="D159" s="13" t="str">
        <f t="shared" si="21"/>
        <v>ncrRprtDtl</v>
      </c>
      <c r="E159" s="13" t="s">
        <v>349</v>
      </c>
      <c r="F159" s="13" t="str">
        <f t="shared" si="22"/>
        <v>NcrRprtDtlDTO.java</v>
      </c>
      <c r="G159" s="13" t="s">
        <v>349</v>
      </c>
      <c r="H159" s="13" t="s">
        <v>125</v>
      </c>
      <c r="I159" s="13" t="s">
        <v>401</v>
      </c>
      <c r="J159" s="13" t="s">
        <v>414</v>
      </c>
      <c r="K159" s="13" t="s">
        <v>418</v>
      </c>
      <c r="L159" s="13"/>
      <c r="M159" s="13"/>
    </row>
    <row r="160" spans="2:13" x14ac:dyDescent="0.3">
      <c r="B160" s="35" t="str">
        <f>VLOOKUP($E160,서비스!$C:$G,4,0)</f>
        <v>부적합 보고서</v>
      </c>
      <c r="C160" s="35" t="str">
        <f>VLOOKUP($E160,서비스!$C:$G,5,0)</f>
        <v>부적합 보고서 조회(상세)</v>
      </c>
      <c r="D160" s="35" t="str">
        <f t="shared" si="11"/>
        <v>ncrRprtDtl</v>
      </c>
      <c r="E160" s="35" t="s">
        <v>349</v>
      </c>
      <c r="F160" s="35" t="str">
        <f t="shared" si="12"/>
        <v>NcrRprtDtlDTO.java</v>
      </c>
      <c r="G160" s="35" t="s">
        <v>349</v>
      </c>
      <c r="H160" s="35" t="s">
        <v>125</v>
      </c>
      <c r="I160" s="35" t="s">
        <v>402</v>
      </c>
      <c r="J160" s="35" t="s">
        <v>419</v>
      </c>
      <c r="K160" s="35" t="s">
        <v>420</v>
      </c>
      <c r="L160" s="35"/>
      <c r="M160" s="35"/>
    </row>
    <row r="161" spans="1:13" s="57" customFormat="1" x14ac:dyDescent="0.3">
      <c r="A161" s="11"/>
      <c r="B161" s="13" t="str">
        <f>VLOOKUP($E161,서비스!$C:$G,4,0)</f>
        <v>부적합 보고서</v>
      </c>
      <c r="C161" s="13" t="str">
        <f>VLOOKUP($E161,서비스!$C:$G,5,0)</f>
        <v>부적합 보고서 조회(상세)</v>
      </c>
      <c r="D161" s="13" t="str">
        <f t="shared" ref="D161:D163" si="23">ToCamelLower(E161)</f>
        <v>ncrRprtDtl</v>
      </c>
      <c r="E161" s="13" t="s">
        <v>349</v>
      </c>
      <c r="F161" s="13" t="str">
        <f t="shared" ref="F161:F162" si="24">ToCamel(G161) &amp; "DTO.java"</f>
        <v>NcrRprtDtlDTO.java</v>
      </c>
      <c r="G161" s="13" t="s">
        <v>349</v>
      </c>
      <c r="H161" s="13" t="s">
        <v>125</v>
      </c>
      <c r="I161" s="13" t="s">
        <v>403</v>
      </c>
      <c r="J161" s="13" t="s">
        <v>421</v>
      </c>
      <c r="K161" s="13" t="s">
        <v>422</v>
      </c>
      <c r="L161" s="13"/>
      <c r="M161" s="13"/>
    </row>
    <row r="162" spans="1:13" s="24" customFormat="1" ht="12.75" thickBot="1" x14ac:dyDescent="0.35">
      <c r="B162" s="25" t="str">
        <f>VLOOKUP($E162,서비스!$C:$G,4,0)</f>
        <v>부적합 보고서</v>
      </c>
      <c r="C162" s="25" t="str">
        <f>VLOOKUP($E162,서비스!$C:$G,5,0)</f>
        <v>부적합 보고서 조회(상세)</v>
      </c>
      <c r="D162" s="25" t="str">
        <f t="shared" si="23"/>
        <v>ncrRprtDtl</v>
      </c>
      <c r="E162" s="25" t="s">
        <v>349</v>
      </c>
      <c r="F162" s="25" t="str">
        <f t="shared" si="24"/>
        <v>NcrRprtDtlDTO.java</v>
      </c>
      <c r="G162" s="25" t="s">
        <v>349</v>
      </c>
      <c r="H162" s="25" t="s">
        <v>125</v>
      </c>
      <c r="I162" s="25" t="s">
        <v>442</v>
      </c>
      <c r="J162" s="25" t="s">
        <v>491</v>
      </c>
      <c r="K162" s="25" t="s">
        <v>492</v>
      </c>
      <c r="L162" s="25"/>
      <c r="M162" s="25"/>
    </row>
    <row r="163" spans="1:13" s="67" customFormat="1" ht="12.75" thickTop="1" x14ac:dyDescent="0.3">
      <c r="A163" s="9"/>
      <c r="B163" s="55" t="str">
        <f>VLOOKUP($E163,서비스!$C:$G,4,0)</f>
        <v>부적합 보고서</v>
      </c>
      <c r="C163" s="55" t="str">
        <f>VLOOKUP($E163,서비스!$C:$G,5,0)</f>
        <v>부적합 보고서 파일다운로드</v>
      </c>
      <c r="D163" s="55" t="str">
        <f t="shared" si="23"/>
        <v>ncrRprtFileDownload</v>
      </c>
      <c r="E163" s="15" t="s">
        <v>498</v>
      </c>
      <c r="F163" s="55" t="s">
        <v>569</v>
      </c>
      <c r="G163" s="15" t="s">
        <v>498</v>
      </c>
      <c r="H163" s="15" t="s">
        <v>126</v>
      </c>
      <c r="I163" s="55" t="s">
        <v>379</v>
      </c>
      <c r="J163" s="55" t="s">
        <v>481</v>
      </c>
      <c r="K163" s="55" t="s">
        <v>384</v>
      </c>
      <c r="L163" s="55"/>
      <c r="M163" s="55"/>
    </row>
    <row r="164" spans="1:13" s="62" customFormat="1" ht="24.75" thickBot="1" x14ac:dyDescent="0.35">
      <c r="B164" s="63" t="str">
        <f>VLOOKUP($E164,서비스!$C:$G,4,0)</f>
        <v>부적합 보고서</v>
      </c>
      <c r="C164" s="63" t="str">
        <f>VLOOKUP($E164,서비스!$C:$G,5,0)</f>
        <v>부적합 보고서 파일다운로드</v>
      </c>
      <c r="D164" s="63" t="str">
        <f t="shared" ref="D164" si="25">ToCamelLower(E164)</f>
        <v>ncrRprtFileDownload</v>
      </c>
      <c r="E164" s="64" t="s">
        <v>498</v>
      </c>
      <c r="F164" s="63" t="s">
        <v>569</v>
      </c>
      <c r="G164" s="64" t="s">
        <v>498</v>
      </c>
      <c r="H164" s="64" t="s">
        <v>126</v>
      </c>
      <c r="I164" s="63" t="s">
        <v>502</v>
      </c>
      <c r="J164" s="63" t="s">
        <v>503</v>
      </c>
      <c r="K164" s="63" t="s">
        <v>504</v>
      </c>
      <c r="L164" s="63"/>
      <c r="M164" s="63"/>
    </row>
    <row r="165" spans="1:13" s="41" customFormat="1" ht="12.75" thickTop="1" x14ac:dyDescent="0.3"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</row>
    <row r="166" spans="1:13" s="53" customFormat="1" x14ac:dyDescent="0.3">
      <c r="B166" s="54" t="str">
        <f>VLOOKUP($E166,서비스!$C:$G,4,0)</f>
        <v>시정조치 보고서</v>
      </c>
      <c r="C166" s="54" t="str">
        <f>VLOOKUP($E166,서비스!$C:$G,5,0)</f>
        <v>시정조치 보고서 조회(상세)</v>
      </c>
      <c r="D166" s="54" t="str">
        <f t="shared" ref="D166:D179" si="26">ToCamelLower(E166)</f>
        <v>carRprtDtl</v>
      </c>
      <c r="E166" s="13" t="s">
        <v>423</v>
      </c>
      <c r="F166" s="54" t="str">
        <f t="shared" ref="F166:F179" si="27">ToCamel(G166) &amp; "DTO.java"</f>
        <v>CarRprtDtlDTO.java</v>
      </c>
      <c r="G166" s="13" t="s">
        <v>423</v>
      </c>
      <c r="H166" s="13" t="s">
        <v>126</v>
      </c>
      <c r="I166" s="54" t="s">
        <v>379</v>
      </c>
      <c r="J166" s="54" t="s">
        <v>481</v>
      </c>
      <c r="K166" s="54" t="s">
        <v>384</v>
      </c>
      <c r="L166" s="54"/>
      <c r="M166" s="54"/>
    </row>
    <row r="167" spans="1:13" s="53" customFormat="1" x14ac:dyDescent="0.3">
      <c r="B167" s="54" t="str">
        <f>VLOOKUP($E167,서비스!$C:$G,4,0)</f>
        <v>시정조치 보고서</v>
      </c>
      <c r="C167" s="54" t="str">
        <f>VLOOKUP($E167,서비스!$C:$G,5,0)</f>
        <v>시정조치 보고서 조회(상세)</v>
      </c>
      <c r="D167" s="54" t="str">
        <f t="shared" si="26"/>
        <v>carRprtDtl</v>
      </c>
      <c r="E167" s="15" t="s">
        <v>423</v>
      </c>
      <c r="F167" s="54" t="str">
        <f t="shared" si="27"/>
        <v>CarRprtDtlDTO.java</v>
      </c>
      <c r="G167" s="15" t="s">
        <v>423</v>
      </c>
      <c r="H167" s="15" t="s">
        <v>126</v>
      </c>
      <c r="I167" s="54" t="s">
        <v>381</v>
      </c>
      <c r="J167" s="55" t="s">
        <v>482</v>
      </c>
      <c r="K167" s="54" t="s">
        <v>385</v>
      </c>
      <c r="L167" s="54"/>
      <c r="M167" s="54"/>
    </row>
    <row r="168" spans="1:13" x14ac:dyDescent="0.3">
      <c r="B168" s="13" t="str">
        <f>VLOOKUP($E168,서비스!$C:$G,4,0)</f>
        <v>시정조치 보고서</v>
      </c>
      <c r="C168" s="13" t="str">
        <f>VLOOKUP($E168,서비스!$C:$G,5,0)</f>
        <v>시정조치 보고서 조회(상세)</v>
      </c>
      <c r="D168" s="13" t="str">
        <f t="shared" si="26"/>
        <v>carRprtDtl</v>
      </c>
      <c r="E168" s="13" t="s">
        <v>423</v>
      </c>
      <c r="F168" s="13" t="str">
        <f t="shared" si="27"/>
        <v>CarRprtDtlDTO.java</v>
      </c>
      <c r="G168" s="13" t="s">
        <v>423</v>
      </c>
      <c r="H168" s="13" t="s">
        <v>125</v>
      </c>
      <c r="I168" s="13" t="s">
        <v>169</v>
      </c>
      <c r="J168" s="13" t="s">
        <v>170</v>
      </c>
      <c r="K168" s="13" t="s">
        <v>268</v>
      </c>
      <c r="L168" s="13"/>
      <c r="M168" s="13"/>
    </row>
    <row r="169" spans="1:13" x14ac:dyDescent="0.3">
      <c r="B169" s="13" t="str">
        <f>VLOOKUP($E169,서비스!$C:$G,4,0)</f>
        <v>시정조치 보고서</v>
      </c>
      <c r="C169" s="13" t="str">
        <f>VLOOKUP($E169,서비스!$C:$G,5,0)</f>
        <v>시정조치 보고서 조회(상세)</v>
      </c>
      <c r="D169" s="13" t="str">
        <f t="shared" si="26"/>
        <v>carRprtDtl</v>
      </c>
      <c r="E169" s="13" t="s">
        <v>423</v>
      </c>
      <c r="F169" s="13" t="str">
        <f t="shared" si="27"/>
        <v>CarRprtDtlDTO.java</v>
      </c>
      <c r="G169" s="13" t="s">
        <v>423</v>
      </c>
      <c r="H169" s="13" t="s">
        <v>125</v>
      </c>
      <c r="I169" s="13" t="s">
        <v>388</v>
      </c>
      <c r="J169" s="13" t="s">
        <v>386</v>
      </c>
      <c r="K169" s="13" t="s">
        <v>387</v>
      </c>
      <c r="L169" s="13"/>
      <c r="M169" s="13"/>
    </row>
    <row r="170" spans="1:13" x14ac:dyDescent="0.3">
      <c r="B170" s="13" t="str">
        <f>VLOOKUP($E170,서비스!$C:$G,4,0)</f>
        <v>시정조치 보고서</v>
      </c>
      <c r="C170" s="13" t="str">
        <f>VLOOKUP($E170,서비스!$C:$G,5,0)</f>
        <v>시정조치 보고서 조회(상세)</v>
      </c>
      <c r="D170" s="13" t="str">
        <f t="shared" si="26"/>
        <v>carRprtDtl</v>
      </c>
      <c r="E170" s="13" t="s">
        <v>423</v>
      </c>
      <c r="F170" s="13" t="str">
        <f t="shared" si="27"/>
        <v>CarRprtDtlDTO.java</v>
      </c>
      <c r="G170" s="13" t="s">
        <v>423</v>
      </c>
      <c r="H170" s="13" t="s">
        <v>125</v>
      </c>
      <c r="I170" s="13" t="s">
        <v>389</v>
      </c>
      <c r="J170" s="13" t="s">
        <v>296</v>
      </c>
      <c r="K170" s="13" t="s">
        <v>295</v>
      </c>
      <c r="L170" s="13"/>
      <c r="M170" s="13"/>
    </row>
    <row r="171" spans="1:13" x14ac:dyDescent="0.3">
      <c r="B171" s="13" t="str">
        <f>VLOOKUP($E171,서비스!$C:$G,4,0)</f>
        <v>시정조치 보고서</v>
      </c>
      <c r="C171" s="13" t="str">
        <f>VLOOKUP($E171,서비스!$C:$G,5,0)</f>
        <v>시정조치 보고서 조회(상세)</v>
      </c>
      <c r="D171" s="13" t="str">
        <f t="shared" si="26"/>
        <v>carRprtDtl</v>
      </c>
      <c r="E171" s="13" t="s">
        <v>423</v>
      </c>
      <c r="F171" s="13" t="str">
        <f t="shared" si="27"/>
        <v>CarRprtDtlDTO.java</v>
      </c>
      <c r="G171" s="13" t="s">
        <v>423</v>
      </c>
      <c r="H171" s="13" t="s">
        <v>125</v>
      </c>
      <c r="I171" s="13" t="s">
        <v>390</v>
      </c>
      <c r="J171" s="13" t="s">
        <v>391</v>
      </c>
      <c r="K171" s="13" t="s">
        <v>392</v>
      </c>
      <c r="L171" s="13"/>
      <c r="M171" s="13"/>
    </row>
    <row r="172" spans="1:13" x14ac:dyDescent="0.3">
      <c r="B172" s="13" t="str">
        <f>VLOOKUP($E172,서비스!$C:$G,4,0)</f>
        <v>시정조치 보고서</v>
      </c>
      <c r="C172" s="13" t="str">
        <f>VLOOKUP($E172,서비스!$C:$G,5,0)</f>
        <v>시정조치 보고서 조회(상세)</v>
      </c>
      <c r="D172" s="13" t="str">
        <f t="shared" si="26"/>
        <v>carRprtDtl</v>
      </c>
      <c r="E172" s="13" t="s">
        <v>423</v>
      </c>
      <c r="F172" s="13" t="str">
        <f t="shared" si="27"/>
        <v>CarRprtDtlDTO.java</v>
      </c>
      <c r="G172" s="13" t="s">
        <v>423</v>
      </c>
      <c r="H172" s="13" t="s">
        <v>125</v>
      </c>
      <c r="I172" s="13" t="s">
        <v>393</v>
      </c>
      <c r="J172" s="13" t="s">
        <v>404</v>
      </c>
      <c r="K172" s="13" t="s">
        <v>404</v>
      </c>
      <c r="L172" s="13"/>
      <c r="M172" s="13"/>
    </row>
    <row r="173" spans="1:13" x14ac:dyDescent="0.3">
      <c r="B173" s="13" t="str">
        <f>VLOOKUP($E173,서비스!$C:$G,4,0)</f>
        <v>시정조치 보고서</v>
      </c>
      <c r="C173" s="13" t="str">
        <f>VLOOKUP($E173,서비스!$C:$G,5,0)</f>
        <v>시정조치 보고서 조회(상세)</v>
      </c>
      <c r="D173" s="13" t="str">
        <f t="shared" ref="D173" si="28">ToCamelLower(E173)</f>
        <v>carRprtDtl</v>
      </c>
      <c r="E173" s="13" t="s">
        <v>423</v>
      </c>
      <c r="F173" s="13" t="str">
        <f t="shared" ref="F173" si="29">ToCamel(G173) &amp; "DTO.java"</f>
        <v>CarRprtDtlDTO.java</v>
      </c>
      <c r="G173" s="13" t="s">
        <v>423</v>
      </c>
      <c r="H173" s="13" t="s">
        <v>125</v>
      </c>
      <c r="I173" s="13" t="s">
        <v>394</v>
      </c>
      <c r="J173" s="13" t="s">
        <v>405</v>
      </c>
      <c r="K173" s="13" t="s">
        <v>406</v>
      </c>
      <c r="L173" s="13"/>
      <c r="M173" s="13"/>
    </row>
    <row r="174" spans="1:13" x14ac:dyDescent="0.3">
      <c r="B174" s="13" t="str">
        <f>VLOOKUP($E174,서비스!$C:$G,4,0)</f>
        <v>시정조치 보고서</v>
      </c>
      <c r="C174" s="13" t="str">
        <f>VLOOKUP($E174,서비스!$C:$G,5,0)</f>
        <v>시정조치 보고서 조회(상세)</v>
      </c>
      <c r="D174" s="13" t="str">
        <f t="shared" si="26"/>
        <v>carRprtDtl</v>
      </c>
      <c r="E174" s="13" t="s">
        <v>423</v>
      </c>
      <c r="F174" s="13" t="str">
        <f t="shared" si="27"/>
        <v>CarRprtDtlDTO.java</v>
      </c>
      <c r="G174" s="13" t="s">
        <v>423</v>
      </c>
      <c r="H174" s="13" t="s">
        <v>125</v>
      </c>
      <c r="I174" s="13" t="s">
        <v>424</v>
      </c>
      <c r="J174" s="13" t="s">
        <v>425</v>
      </c>
      <c r="K174" s="13" t="s">
        <v>426</v>
      </c>
      <c r="L174" s="13"/>
      <c r="M174" s="13"/>
    </row>
    <row r="175" spans="1:13" x14ac:dyDescent="0.3">
      <c r="B175" s="13" t="str">
        <f>VLOOKUP($E175,서비스!$C:$G,4,0)</f>
        <v>시정조치 보고서</v>
      </c>
      <c r="C175" s="13" t="str">
        <f>VLOOKUP($E175,서비스!$C:$G,5,0)</f>
        <v>시정조치 보고서 조회(상세)</v>
      </c>
      <c r="D175" s="13" t="str">
        <f t="shared" si="26"/>
        <v>carRprtDtl</v>
      </c>
      <c r="E175" s="13" t="s">
        <v>423</v>
      </c>
      <c r="F175" s="13" t="str">
        <f t="shared" si="27"/>
        <v>CarRprtDtlDTO.java</v>
      </c>
      <c r="G175" s="13" t="s">
        <v>423</v>
      </c>
      <c r="H175" s="13" t="s">
        <v>125</v>
      </c>
      <c r="I175" s="13" t="s">
        <v>441</v>
      </c>
      <c r="J175" s="13" t="s">
        <v>407</v>
      </c>
      <c r="K175" s="13" t="s">
        <v>497</v>
      </c>
      <c r="L175" s="13"/>
      <c r="M175" s="13"/>
    </row>
    <row r="176" spans="1:13" x14ac:dyDescent="0.3">
      <c r="B176" s="13" t="str">
        <f>VLOOKUP($E176,서비스!$C:$G,4,0)</f>
        <v>시정조치 보고서</v>
      </c>
      <c r="C176" s="13" t="str">
        <f>VLOOKUP($E176,서비스!$C:$G,5,0)</f>
        <v>시정조치 보고서 조회(상세)</v>
      </c>
      <c r="D176" s="13" t="str">
        <f t="shared" si="26"/>
        <v>carRprtDtl</v>
      </c>
      <c r="E176" s="13" t="s">
        <v>423</v>
      </c>
      <c r="F176" s="13" t="str">
        <f t="shared" si="27"/>
        <v>CarRprtDtlDTO.java</v>
      </c>
      <c r="G176" s="13" t="s">
        <v>423</v>
      </c>
      <c r="H176" s="13" t="s">
        <v>125</v>
      </c>
      <c r="I176" s="13" t="s">
        <v>397</v>
      </c>
      <c r="J176" s="13" t="s">
        <v>409</v>
      </c>
      <c r="K176" s="13" t="s">
        <v>411</v>
      </c>
      <c r="L176" s="13"/>
      <c r="M176" s="13"/>
    </row>
    <row r="177" spans="1:13" x14ac:dyDescent="0.3">
      <c r="B177" s="13" t="str">
        <f>VLOOKUP($E177,서비스!$C:$G,4,0)</f>
        <v>시정조치 보고서</v>
      </c>
      <c r="C177" s="13" t="str">
        <f>VLOOKUP($E177,서비스!$C:$G,5,0)</f>
        <v>시정조치 보고서 조회(상세)</v>
      </c>
      <c r="D177" s="13" t="str">
        <f t="shared" si="26"/>
        <v>carRprtDtl</v>
      </c>
      <c r="E177" s="13" t="s">
        <v>423</v>
      </c>
      <c r="F177" s="13" t="str">
        <f t="shared" si="27"/>
        <v>CarRprtDtlDTO.java</v>
      </c>
      <c r="G177" s="13" t="s">
        <v>423</v>
      </c>
      <c r="H177" s="13" t="s">
        <v>125</v>
      </c>
      <c r="I177" s="13" t="s">
        <v>398</v>
      </c>
      <c r="J177" s="13" t="s">
        <v>410</v>
      </c>
      <c r="K177" s="13" t="s">
        <v>412</v>
      </c>
      <c r="L177" s="13"/>
      <c r="M177" s="13"/>
    </row>
    <row r="178" spans="1:13" s="57" customFormat="1" x14ac:dyDescent="0.3">
      <c r="A178" s="41"/>
      <c r="B178" s="13" t="str">
        <f>VLOOKUP($E178,서비스!$C:$G,4,0)</f>
        <v>시정조치 보고서</v>
      </c>
      <c r="C178" s="13" t="str">
        <f>VLOOKUP($E178,서비스!$C:$G,5,0)</f>
        <v>시정조치 보고서 조회(상세)</v>
      </c>
      <c r="D178" s="13" t="str">
        <f>ToCamelLower(E178)</f>
        <v>carRprtDtl</v>
      </c>
      <c r="E178" s="13" t="s">
        <v>423</v>
      </c>
      <c r="F178" s="13" t="str">
        <f>ToCamel(G178) &amp; "DTO.java"</f>
        <v>CarRprtDtlDTO.java</v>
      </c>
      <c r="G178" s="13" t="s">
        <v>423</v>
      </c>
      <c r="H178" s="13" t="s">
        <v>125</v>
      </c>
      <c r="I178" s="13" t="s">
        <v>445</v>
      </c>
      <c r="J178" s="13" t="s">
        <v>414</v>
      </c>
      <c r="K178" s="13" t="s">
        <v>418</v>
      </c>
      <c r="L178" s="13"/>
      <c r="M178" s="13"/>
    </row>
    <row r="179" spans="1:13" s="65" customFormat="1" ht="12.75" thickBot="1" x14ac:dyDescent="0.35">
      <c r="A179" s="24"/>
      <c r="B179" s="23" t="str">
        <f>VLOOKUP($E179,서비스!$C:$G,4,0)</f>
        <v>시정조치 보고서</v>
      </c>
      <c r="C179" s="23" t="str">
        <f>VLOOKUP($E179,서비스!$C:$G,5,0)</f>
        <v>시정조치 보고서 조회(상세)</v>
      </c>
      <c r="D179" s="23" t="str">
        <f t="shared" si="26"/>
        <v>carRprtDtl</v>
      </c>
      <c r="E179" s="23" t="s">
        <v>423</v>
      </c>
      <c r="F179" s="23" t="str">
        <f t="shared" si="27"/>
        <v>CarRprtDtlDTO.java</v>
      </c>
      <c r="G179" s="23" t="s">
        <v>423</v>
      </c>
      <c r="H179" s="23" t="s">
        <v>125</v>
      </c>
      <c r="I179" s="23" t="s">
        <v>442</v>
      </c>
      <c r="J179" s="23" t="s">
        <v>491</v>
      </c>
      <c r="K179" s="23" t="s">
        <v>492</v>
      </c>
      <c r="L179" s="23"/>
      <c r="M179" s="23"/>
    </row>
    <row r="180" spans="1:13" s="41" customFormat="1" ht="12.75" thickTop="1" x14ac:dyDescent="0.3"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</row>
    <row r="181" spans="1:13" s="53" customFormat="1" x14ac:dyDescent="0.3">
      <c r="B181" s="54" t="str">
        <f>VLOOKUP($E181,서비스!$C:$G,4,0)</f>
        <v>시정조치 보고서</v>
      </c>
      <c r="C181" s="54" t="str">
        <f>VLOOKUP($E181,서비스!$C:$G,5,0)</f>
        <v>시정조치 보고서 파일 조회</v>
      </c>
      <c r="D181" s="54" t="str">
        <f t="shared" ref="D181" si="30">ToCamelLower(E181)</f>
        <v>carRprtFileItemList</v>
      </c>
      <c r="E181" s="13" t="s">
        <v>431</v>
      </c>
      <c r="F181" s="54" t="str">
        <f t="shared" ref="F181" si="31">ToCamel(G181) &amp; "DTO.java"</f>
        <v>CarRprtFileItemListDTO.java</v>
      </c>
      <c r="G181" s="13" t="s">
        <v>431</v>
      </c>
      <c r="H181" s="13" t="s">
        <v>126</v>
      </c>
      <c r="I181" s="54" t="s">
        <v>379</v>
      </c>
      <c r="J181" s="54" t="s">
        <v>481</v>
      </c>
      <c r="K181" s="54" t="s">
        <v>384</v>
      </c>
      <c r="L181" s="54"/>
      <c r="M181" s="55"/>
    </row>
    <row r="182" spans="1:13" s="53" customFormat="1" ht="24" x14ac:dyDescent="0.3">
      <c r="A182" s="11"/>
      <c r="B182" s="54" t="str">
        <f>VLOOKUP($E182,서비스!$C:$G,4,0)</f>
        <v>시정조치 보고서</v>
      </c>
      <c r="C182" s="54" t="str">
        <f>VLOOKUP($E182,서비스!$C:$G,5,0)</f>
        <v>시정조치 보고서 파일 조회</v>
      </c>
      <c r="D182" s="54" t="str">
        <f t="shared" ref="D182:D184" si="32">ToCamelLower(E182)</f>
        <v>carRprtFileItemList</v>
      </c>
      <c r="E182" s="15" t="s">
        <v>431</v>
      </c>
      <c r="F182" s="54" t="str">
        <f t="shared" ref="F182:F184" si="33">ToCamel(G182) &amp; "DTO.java"</f>
        <v>CarRprtFileItemListDTO.java</v>
      </c>
      <c r="G182" s="15" t="s">
        <v>431</v>
      </c>
      <c r="H182" s="15" t="s">
        <v>126</v>
      </c>
      <c r="I182" s="54" t="s">
        <v>444</v>
      </c>
      <c r="J182" s="55" t="s">
        <v>483</v>
      </c>
      <c r="K182" s="55" t="s">
        <v>443</v>
      </c>
      <c r="L182" s="54"/>
      <c r="M182" s="54"/>
    </row>
    <row r="183" spans="1:13" s="94" customFormat="1" x14ac:dyDescent="0.3">
      <c r="B183" s="95" t="str">
        <f>VLOOKUP($E183,서비스!$C:$G,4,0)</f>
        <v>시정조치 보고서</v>
      </c>
      <c r="C183" s="95" t="str">
        <f>VLOOKUP($E183,서비스!$C:$G,5,0)</f>
        <v>시정조치 보고서 파일 조회</v>
      </c>
      <c r="D183" s="95" t="str">
        <f t="shared" ref="D183" si="34">ToCamelLower(E183)</f>
        <v>carRprtFileItemList</v>
      </c>
      <c r="E183" s="96" t="s">
        <v>431</v>
      </c>
      <c r="F183" s="95" t="str">
        <f t="shared" ref="F183" si="35">ToCamel(G183) &amp; "DTO.java"</f>
        <v>CarRprtFileItemListDTO.java</v>
      </c>
      <c r="G183" s="96" t="s">
        <v>431</v>
      </c>
      <c r="H183" s="95" t="s">
        <v>125</v>
      </c>
      <c r="I183" s="95" t="s">
        <v>557</v>
      </c>
      <c r="J183" s="95" t="s">
        <v>554</v>
      </c>
      <c r="K183" s="95" t="s">
        <v>554</v>
      </c>
      <c r="L183" s="95"/>
      <c r="M183" s="95"/>
    </row>
    <row r="184" spans="1:13" s="86" customFormat="1" x14ac:dyDescent="0.3">
      <c r="B184" s="87" t="str">
        <f>VLOOKUP($E184,서비스!$C:$G,4,0)</f>
        <v>시정조치 보고서</v>
      </c>
      <c r="C184" s="87" t="str">
        <f>VLOOKUP($E184,서비스!$C:$G,5,0)</f>
        <v>시정조치 보고서 파일 조회</v>
      </c>
      <c r="D184" s="87" t="str">
        <f t="shared" si="32"/>
        <v>carRprtFileItemList</v>
      </c>
      <c r="E184" s="88" t="s">
        <v>431</v>
      </c>
      <c r="F184" s="87" t="str">
        <f t="shared" si="33"/>
        <v>CarRprtFileItemListDTO.java</v>
      </c>
      <c r="G184" s="88" t="s">
        <v>431</v>
      </c>
      <c r="H184" s="87" t="s">
        <v>125</v>
      </c>
      <c r="I184" s="87" t="s">
        <v>514</v>
      </c>
      <c r="J184" s="87" t="s">
        <v>515</v>
      </c>
      <c r="K184" s="87" t="s">
        <v>516</v>
      </c>
      <c r="L184" s="87"/>
      <c r="M184" s="87"/>
    </row>
    <row r="185" spans="1:13" s="53" customFormat="1" x14ac:dyDescent="0.3">
      <c r="A185" s="41"/>
      <c r="B185" s="58" t="str">
        <f>VLOOKUP($E185,서비스!$C:$G,4,0)</f>
        <v>시정조치 보고서</v>
      </c>
      <c r="C185" s="58" t="str">
        <f>VLOOKUP($E185,서비스!$C:$G,5,0)</f>
        <v>시정조치 보고서 파일 조회</v>
      </c>
      <c r="D185" s="58" t="str">
        <f t="shared" ref="D185" si="36">ToCamelLower(E185)</f>
        <v>carRprtFileItemList</v>
      </c>
      <c r="E185" s="56" t="s">
        <v>431</v>
      </c>
      <c r="F185" s="58" t="str">
        <f t="shared" ref="F185" si="37">ToCamel(G185) &amp; "DTO.java"</f>
        <v>CarRprtFileItemListDTO.java</v>
      </c>
      <c r="G185" s="56" t="s">
        <v>431</v>
      </c>
      <c r="H185" s="35" t="s">
        <v>125</v>
      </c>
      <c r="I185" s="58" t="s">
        <v>435</v>
      </c>
      <c r="J185" s="59" t="s">
        <v>437</v>
      </c>
      <c r="K185" s="58" t="s">
        <v>439</v>
      </c>
      <c r="L185" s="58"/>
      <c r="M185" s="58"/>
    </row>
    <row r="186" spans="1:13" s="60" customFormat="1" ht="12.75" thickBot="1" x14ac:dyDescent="0.35">
      <c r="A186" s="17"/>
      <c r="B186" s="61" t="str">
        <f>VLOOKUP($E186,서비스!$C:$G,4,0)</f>
        <v>시정조치 보고서</v>
      </c>
      <c r="C186" s="61" t="str">
        <f>VLOOKUP($E186,서비스!$C:$G,5,0)</f>
        <v>시정조치 보고서 파일 조회</v>
      </c>
      <c r="D186" s="61" t="str">
        <f t="shared" ref="D186:D194" si="38">ToCamelLower(E186)</f>
        <v>carRprtFileItemList</v>
      </c>
      <c r="E186" s="16" t="s">
        <v>431</v>
      </c>
      <c r="F186" s="61" t="str">
        <f t="shared" ref="F186:F194" si="39">ToCamel(G186) &amp; "DTO.java"</f>
        <v>CarRprtFileItemListDTO.java</v>
      </c>
      <c r="G186" s="16" t="s">
        <v>431</v>
      </c>
      <c r="H186" s="16" t="s">
        <v>125</v>
      </c>
      <c r="I186" s="61" t="s">
        <v>436</v>
      </c>
      <c r="J186" s="61" t="s">
        <v>438</v>
      </c>
      <c r="K186" s="61" t="s">
        <v>440</v>
      </c>
      <c r="L186" s="61"/>
      <c r="M186" s="61"/>
    </row>
    <row r="187" spans="1:13" s="97" customFormat="1" ht="13.5" thickTop="1" thickBot="1" x14ac:dyDescent="0.35">
      <c r="B187" s="98" t="str">
        <f>VLOOKUP($E187,서비스!$C:$G,4,0)</f>
        <v>시정조치 보고서</v>
      </c>
      <c r="C187" s="98" t="str">
        <f>VLOOKUP($E187,서비스!$C:$G,5,0)</f>
        <v>시정조치 보고서 파일다운로드</v>
      </c>
      <c r="D187" s="98" t="str">
        <f t="shared" si="38"/>
        <v>carRprtFileDownload</v>
      </c>
      <c r="E187" s="98" t="s">
        <v>433</v>
      </c>
      <c r="F187" s="98" t="s">
        <v>569</v>
      </c>
      <c r="G187" s="98" t="s">
        <v>433</v>
      </c>
      <c r="H187" s="98" t="s">
        <v>126</v>
      </c>
      <c r="I187" s="98" t="s">
        <v>558</v>
      </c>
      <c r="J187" s="98" t="s">
        <v>555</v>
      </c>
      <c r="K187" s="98" t="s">
        <v>556</v>
      </c>
      <c r="L187" s="98"/>
      <c r="M187" s="98"/>
    </row>
    <row r="188" spans="1:13" s="9" customFormat="1" ht="12.75" thickTop="1" x14ac:dyDescent="0.3">
      <c r="B188" s="59"/>
      <c r="C188" s="59"/>
      <c r="D188" s="59"/>
      <c r="E188" s="56"/>
      <c r="F188" s="59"/>
      <c r="G188" s="56"/>
      <c r="H188" s="56"/>
      <c r="I188" s="59"/>
      <c r="J188" s="59"/>
      <c r="K188" s="59"/>
      <c r="L188" s="59"/>
      <c r="M188" s="59"/>
    </row>
    <row r="189" spans="1:13" s="53" customFormat="1" x14ac:dyDescent="0.3">
      <c r="B189" s="54" t="str">
        <f>VLOOKUP($E189,서비스!$C:$G,4,0)</f>
        <v>공사기준조회</v>
      </c>
      <c r="C189" s="54" t="str">
        <f>VLOOKUP($E189,서비스!$C:$G,5,0)</f>
        <v>공사기준조회</v>
      </c>
      <c r="D189" s="54" t="str">
        <f t="shared" ref="D189" si="40">ToCamelLower(E189)</f>
        <v>csrBslList</v>
      </c>
      <c r="E189" s="13" t="s">
        <v>446</v>
      </c>
      <c r="F189" s="54" t="str">
        <f t="shared" ref="F189" si="41">ToCamel(G189) &amp; "DTO.java"</f>
        <v>CsrBslListDTO.java</v>
      </c>
      <c r="G189" s="13" t="s">
        <v>446</v>
      </c>
      <c r="H189" s="13" t="s">
        <v>126</v>
      </c>
      <c r="I189" s="54" t="s">
        <v>505</v>
      </c>
      <c r="J189" s="54" t="s">
        <v>484</v>
      </c>
      <c r="K189" s="54" t="s">
        <v>453</v>
      </c>
      <c r="L189" s="54"/>
      <c r="M189" s="55"/>
    </row>
    <row r="190" spans="1:13" s="53" customFormat="1" x14ac:dyDescent="0.3">
      <c r="B190" s="55" t="str">
        <f>VLOOKUP($E190,서비스!$C:$G,4,0)</f>
        <v>공사기준조회</v>
      </c>
      <c r="C190" s="55" t="str">
        <f>VLOOKUP($E190,서비스!$C:$G,5,0)</f>
        <v>공사기준조회</v>
      </c>
      <c r="D190" s="55" t="str">
        <f t="shared" si="38"/>
        <v>csrBslList</v>
      </c>
      <c r="E190" s="15" t="s">
        <v>446</v>
      </c>
      <c r="F190" s="55" t="str">
        <f t="shared" si="39"/>
        <v>CsrBslListDTO.java</v>
      </c>
      <c r="G190" s="15" t="s">
        <v>446</v>
      </c>
      <c r="H190" s="15" t="s">
        <v>126</v>
      </c>
      <c r="I190" s="55" t="s">
        <v>449</v>
      </c>
      <c r="J190" s="55" t="s">
        <v>485</v>
      </c>
      <c r="K190" s="55" t="s">
        <v>450</v>
      </c>
      <c r="L190" s="55"/>
      <c r="M190" s="55"/>
    </row>
    <row r="191" spans="1:13" s="53" customFormat="1" x14ac:dyDescent="0.3">
      <c r="A191" s="11"/>
      <c r="B191" s="55" t="str">
        <f>VLOOKUP($E191,서비스!$C:$G,4,0)</f>
        <v>공사기준조회</v>
      </c>
      <c r="C191" s="55" t="str">
        <f>VLOOKUP($E191,서비스!$C:$G,5,0)</f>
        <v>공사기준조회</v>
      </c>
      <c r="D191" s="55" t="str">
        <f t="shared" ref="D191" si="42">ToCamelLower(E191)</f>
        <v>csrBslList</v>
      </c>
      <c r="E191" s="15" t="s">
        <v>446</v>
      </c>
      <c r="F191" s="55" t="str">
        <f t="shared" ref="F191" si="43">ToCamel(G191) &amp; "DTO.java"</f>
        <v>CsrBslListDTO.java</v>
      </c>
      <c r="G191" s="15" t="s">
        <v>446</v>
      </c>
      <c r="H191" s="13" t="s">
        <v>125</v>
      </c>
      <c r="I191" s="55" t="s">
        <v>447</v>
      </c>
      <c r="J191" s="55" t="s">
        <v>454</v>
      </c>
      <c r="K191" s="55" t="s">
        <v>455</v>
      </c>
      <c r="L191" s="55"/>
      <c r="M191" s="55"/>
    </row>
    <row r="192" spans="1:13" s="53" customFormat="1" x14ac:dyDescent="0.3">
      <c r="A192" s="41"/>
      <c r="B192" s="58" t="str">
        <f>VLOOKUP($E192,서비스!$C:$G,4,0)</f>
        <v>공사기준조회</v>
      </c>
      <c r="C192" s="58" t="str">
        <f>VLOOKUP($E192,서비스!$C:$G,5,0)</f>
        <v>공사기준조회</v>
      </c>
      <c r="D192" s="58" t="str">
        <f t="shared" ref="D192" si="44">ToCamelLower(E192)</f>
        <v>csrBslList</v>
      </c>
      <c r="E192" s="56" t="s">
        <v>446</v>
      </c>
      <c r="F192" s="58" t="str">
        <f t="shared" ref="F192" si="45">ToCamel(G192) &amp; "DTO.java"</f>
        <v>CsrBslListDTO.java</v>
      </c>
      <c r="G192" s="56" t="s">
        <v>446</v>
      </c>
      <c r="H192" s="35" t="s">
        <v>125</v>
      </c>
      <c r="I192" s="59" t="s">
        <v>449</v>
      </c>
      <c r="J192" s="59" t="s">
        <v>451</v>
      </c>
      <c r="K192" s="59" t="s">
        <v>452</v>
      </c>
      <c r="L192" s="58"/>
      <c r="M192" s="58"/>
    </row>
    <row r="193" spans="1:13" s="89" customFormat="1" x14ac:dyDescent="0.3">
      <c r="A193" s="26"/>
      <c r="B193" s="54" t="str">
        <f>VLOOKUP($E193,서비스!$C:$G,4,0)</f>
        <v>공사기준조회</v>
      </c>
      <c r="C193" s="54" t="str">
        <f>VLOOKUP($E193,서비스!$C:$G,5,0)</f>
        <v>공사기준조회</v>
      </c>
      <c r="D193" s="54" t="str">
        <f t="shared" si="38"/>
        <v>csrBslList</v>
      </c>
      <c r="E193" s="13" t="s">
        <v>446</v>
      </c>
      <c r="F193" s="54" t="str">
        <f t="shared" si="39"/>
        <v>CsrBslListDTO.java</v>
      </c>
      <c r="G193" s="13" t="s">
        <v>446</v>
      </c>
      <c r="H193" s="13" t="s">
        <v>125</v>
      </c>
      <c r="I193" s="54" t="s">
        <v>435</v>
      </c>
      <c r="J193" s="54" t="s">
        <v>437</v>
      </c>
      <c r="K193" s="54" t="s">
        <v>439</v>
      </c>
      <c r="L193" s="54"/>
      <c r="M193" s="54"/>
    </row>
    <row r="194" spans="1:13" s="90" customFormat="1" ht="12.75" thickBot="1" x14ac:dyDescent="0.35">
      <c r="B194" s="91" t="str">
        <f>VLOOKUP($E194,서비스!$C:$G,4,0)</f>
        <v>공사기준조회</v>
      </c>
      <c r="C194" s="91" t="str">
        <f>VLOOKUP($E194,서비스!$C:$G,5,0)</f>
        <v>공사기준조회</v>
      </c>
      <c r="D194" s="91" t="str">
        <f t="shared" si="38"/>
        <v>csrBslList</v>
      </c>
      <c r="E194" s="91" t="s">
        <v>446</v>
      </c>
      <c r="F194" s="91" t="str">
        <f t="shared" si="39"/>
        <v>CsrBslListDTO.java</v>
      </c>
      <c r="G194" s="91" t="s">
        <v>446</v>
      </c>
      <c r="H194" s="91" t="s">
        <v>125</v>
      </c>
      <c r="I194" s="91" t="s">
        <v>514</v>
      </c>
      <c r="J194" s="91" t="s">
        <v>515</v>
      </c>
      <c r="K194" s="91" t="s">
        <v>516</v>
      </c>
      <c r="L194" s="91"/>
      <c r="M194" s="91"/>
    </row>
    <row r="195" spans="1:13" s="62" customFormat="1" ht="13.5" thickTop="1" thickBot="1" x14ac:dyDescent="0.35">
      <c r="B195" s="63" t="str">
        <f>VLOOKUP($E195,서비스!$C:$G,4,0)</f>
        <v>공사기준조회</v>
      </c>
      <c r="C195" s="63" t="str">
        <f>VLOOKUP($E195,서비스!$C:$G,5,0)</f>
        <v>공사기준조회 파일다운로드</v>
      </c>
      <c r="D195" s="63" t="str">
        <f t="shared" ref="D195" si="46">ToCamelLower(E195)</f>
        <v>csrBslFileDownload</v>
      </c>
      <c r="E195" s="64" t="s">
        <v>427</v>
      </c>
      <c r="F195" s="16" t="s">
        <v>539</v>
      </c>
      <c r="G195" s="64" t="s">
        <v>427</v>
      </c>
      <c r="H195" s="64" t="s">
        <v>126</v>
      </c>
      <c r="I195" s="63" t="s">
        <v>447</v>
      </c>
      <c r="J195" s="63" t="s">
        <v>486</v>
      </c>
      <c r="K195" s="63" t="s">
        <v>448</v>
      </c>
      <c r="L195" s="63"/>
      <c r="M195" s="63"/>
    </row>
    <row r="196" spans="1:13" ht="12.75" thickTop="1" x14ac:dyDescent="0.3">
      <c r="B196" s="12"/>
      <c r="C196" s="12"/>
      <c r="D196" s="13"/>
      <c r="E196" s="13"/>
      <c r="F196" s="13"/>
      <c r="G196" s="13"/>
      <c r="H196" s="12"/>
      <c r="I196" s="12"/>
      <c r="J196" s="12"/>
      <c r="K196" s="12"/>
      <c r="L196" s="12"/>
      <c r="M196" s="12"/>
    </row>
    <row r="197" spans="1:13" s="53" customFormat="1" x14ac:dyDescent="0.3">
      <c r="B197" s="55" t="str">
        <f>VLOOKUP($E197,서비스!$C:$G,4,0)</f>
        <v>도면조회</v>
      </c>
      <c r="C197" s="55" t="str">
        <f>VLOOKUP($E197,서비스!$C:$G,5,0)</f>
        <v>도면조회</v>
      </c>
      <c r="D197" s="55" t="str">
        <f t="shared" ref="D197:D204" si="47">ToCamelLower(E197)</f>
        <v>drwList</v>
      </c>
      <c r="E197" s="15" t="s">
        <v>462</v>
      </c>
      <c r="F197" s="55" t="str">
        <f t="shared" ref="F197:F203" si="48">ToCamel(G197) &amp; "DTO.java"</f>
        <v>DrwListDTO.java</v>
      </c>
      <c r="G197" s="15" t="s">
        <v>462</v>
      </c>
      <c r="H197" s="15" t="s">
        <v>126</v>
      </c>
      <c r="I197" s="55" t="s">
        <v>464</v>
      </c>
      <c r="J197" s="55" t="s">
        <v>487</v>
      </c>
      <c r="K197" s="55" t="s">
        <v>463</v>
      </c>
      <c r="L197" s="55"/>
      <c r="M197" s="55"/>
    </row>
    <row r="198" spans="1:13" s="53" customFormat="1" x14ac:dyDescent="0.3">
      <c r="B198" s="55" t="str">
        <f>VLOOKUP($E198,서비스!$C:$G,4,0)</f>
        <v>도면조회</v>
      </c>
      <c r="C198" s="55" t="str">
        <f>VLOOKUP($E198,서비스!$C:$G,5,0)</f>
        <v>도면조회</v>
      </c>
      <c r="D198" s="55" t="str">
        <f t="shared" si="47"/>
        <v>drwList</v>
      </c>
      <c r="E198" s="15" t="s">
        <v>462</v>
      </c>
      <c r="F198" s="55" t="str">
        <f t="shared" si="48"/>
        <v>DrwListDTO.java</v>
      </c>
      <c r="G198" s="15" t="s">
        <v>462</v>
      </c>
      <c r="H198" s="15" t="s">
        <v>126</v>
      </c>
      <c r="I198" s="55" t="s">
        <v>465</v>
      </c>
      <c r="J198" s="55" t="s">
        <v>488</v>
      </c>
      <c r="K198" s="55" t="s">
        <v>466</v>
      </c>
      <c r="L198" s="55"/>
      <c r="M198" s="55"/>
    </row>
    <row r="199" spans="1:13" s="53" customFormat="1" x14ac:dyDescent="0.3">
      <c r="B199" s="55" t="str">
        <f>VLOOKUP($E199,서비스!$C:$G,4,0)</f>
        <v>도면조회</v>
      </c>
      <c r="C199" s="55" t="str">
        <f>VLOOKUP($E199,서비스!$C:$G,5,0)</f>
        <v>도면조회</v>
      </c>
      <c r="D199" s="55" t="str">
        <f t="shared" si="47"/>
        <v>drwList</v>
      </c>
      <c r="E199" s="15" t="s">
        <v>462</v>
      </c>
      <c r="F199" s="55" t="str">
        <f t="shared" si="48"/>
        <v>DrwListDTO.java</v>
      </c>
      <c r="G199" s="15" t="s">
        <v>462</v>
      </c>
      <c r="H199" s="13" t="s">
        <v>125</v>
      </c>
      <c r="I199" s="55" t="s">
        <v>468</v>
      </c>
      <c r="J199" s="55" t="s">
        <v>469</v>
      </c>
      <c r="K199" s="55" t="s">
        <v>470</v>
      </c>
      <c r="L199" s="55"/>
      <c r="M199" s="55"/>
    </row>
    <row r="200" spans="1:13" s="53" customFormat="1" x14ac:dyDescent="0.3">
      <c r="A200" s="11"/>
      <c r="B200" s="58" t="str">
        <f>VLOOKUP($E200,서비스!$C:$G,4,0)</f>
        <v>도면조회</v>
      </c>
      <c r="C200" s="58" t="str">
        <f>VLOOKUP($E200,서비스!$C:$G,5,0)</f>
        <v>도면조회</v>
      </c>
      <c r="D200" s="58" t="str">
        <f t="shared" ref="D200" si="49">ToCamelLower(E200)</f>
        <v>drwList</v>
      </c>
      <c r="E200" s="56" t="s">
        <v>462</v>
      </c>
      <c r="F200" s="58" t="str">
        <f t="shared" ref="F200" si="50">ToCamel(G200) &amp; "DTO.java"</f>
        <v>DrwListDTO.java</v>
      </c>
      <c r="G200" s="56" t="s">
        <v>462</v>
      </c>
      <c r="H200" s="35" t="s">
        <v>125</v>
      </c>
      <c r="I200" s="55" t="s">
        <v>465</v>
      </c>
      <c r="J200" s="55" t="s">
        <v>471</v>
      </c>
      <c r="K200" s="55" t="s">
        <v>472</v>
      </c>
      <c r="L200" s="58"/>
      <c r="M200" s="58"/>
    </row>
    <row r="201" spans="1:13" s="53" customFormat="1" x14ac:dyDescent="0.3">
      <c r="A201" s="41"/>
      <c r="B201" s="58" t="str">
        <f>VLOOKUP($E201,서비스!$C:$G,4,0)</f>
        <v>도면조회</v>
      </c>
      <c r="C201" s="58" t="str">
        <f>VLOOKUP($E201,서비스!$C:$G,5,0)</f>
        <v>도면조회</v>
      </c>
      <c r="D201" s="58" t="str">
        <f t="shared" ref="D201" si="51">ToCamelLower(E201)</f>
        <v>drwList</v>
      </c>
      <c r="E201" s="56" t="s">
        <v>462</v>
      </c>
      <c r="F201" s="58" t="str">
        <f t="shared" ref="F201" si="52">ToCamel(G201) &amp; "DTO.java"</f>
        <v>DrwListDTO.java</v>
      </c>
      <c r="G201" s="56" t="s">
        <v>462</v>
      </c>
      <c r="H201" s="35" t="s">
        <v>125</v>
      </c>
      <c r="I201" s="55" t="s">
        <v>474</v>
      </c>
      <c r="J201" s="55" t="s">
        <v>473</v>
      </c>
      <c r="K201" s="55" t="s">
        <v>475</v>
      </c>
      <c r="L201" s="58"/>
      <c r="M201" s="58"/>
    </row>
    <row r="202" spans="1:13" s="89" customFormat="1" x14ac:dyDescent="0.3">
      <c r="A202" s="26"/>
      <c r="B202" s="54" t="str">
        <f>VLOOKUP($E202,서비스!$C:$G,4,0)</f>
        <v>도면조회</v>
      </c>
      <c r="C202" s="54" t="str">
        <f>VLOOKUP($E202,서비스!$C:$G,5,0)</f>
        <v>도면조회</v>
      </c>
      <c r="D202" s="54" t="str">
        <f t="shared" si="47"/>
        <v>drwList</v>
      </c>
      <c r="E202" s="13" t="s">
        <v>573</v>
      </c>
      <c r="F202" s="54" t="str">
        <f t="shared" si="48"/>
        <v>DrwListDTO.java</v>
      </c>
      <c r="G202" s="13" t="s">
        <v>462</v>
      </c>
      <c r="H202" s="13" t="s">
        <v>125</v>
      </c>
      <c r="I202" s="54" t="s">
        <v>435</v>
      </c>
      <c r="J202" s="54" t="s">
        <v>477</v>
      </c>
      <c r="K202" s="54" t="s">
        <v>478</v>
      </c>
      <c r="L202" s="54"/>
      <c r="M202" s="54"/>
    </row>
    <row r="203" spans="1:13" s="92" customFormat="1" ht="12.75" thickBot="1" x14ac:dyDescent="0.35">
      <c r="B203" s="93" t="str">
        <f>VLOOKUP($E203,서비스!$C:$G,4,0)</f>
        <v>도면조회</v>
      </c>
      <c r="C203" s="93" t="str">
        <f>VLOOKUP($E203,서비스!$C:$G,5,0)</f>
        <v>도면조회</v>
      </c>
      <c r="D203" s="93" t="str">
        <f t="shared" ref="D203" si="53">ToCamelLower(E203)</f>
        <v>drwList</v>
      </c>
      <c r="E203" s="93" t="s">
        <v>573</v>
      </c>
      <c r="F203" s="93" t="str">
        <f t="shared" si="48"/>
        <v>DrwListDTO.java</v>
      </c>
      <c r="G203" s="93" t="s">
        <v>462</v>
      </c>
      <c r="H203" s="93" t="s">
        <v>125</v>
      </c>
      <c r="I203" s="93" t="s">
        <v>514</v>
      </c>
      <c r="J203" s="93" t="s">
        <v>515</v>
      </c>
      <c r="K203" s="93" t="s">
        <v>516</v>
      </c>
      <c r="L203" s="93"/>
      <c r="M203" s="93"/>
    </row>
    <row r="204" spans="1:13" s="62" customFormat="1" ht="13.5" thickTop="1" thickBot="1" x14ac:dyDescent="0.35">
      <c r="B204" s="63" t="str">
        <f>VLOOKUP($E204,서비스!$C:$G,4,0)</f>
        <v>도면조회</v>
      </c>
      <c r="C204" s="63" t="str">
        <f>VLOOKUP($E204,서비스!$C:$G,5,0)</f>
        <v>도면조회 파일다운로드</v>
      </c>
      <c r="D204" s="63" t="str">
        <f t="shared" si="47"/>
        <v>drwListFileDownload</v>
      </c>
      <c r="E204" s="64" t="s">
        <v>506</v>
      </c>
      <c r="F204" s="16" t="s">
        <v>539</v>
      </c>
      <c r="G204" s="64" t="s">
        <v>458</v>
      </c>
      <c r="H204" s="64" t="s">
        <v>126</v>
      </c>
      <c r="I204" s="63" t="s">
        <v>467</v>
      </c>
      <c r="J204" s="63" t="s">
        <v>489</v>
      </c>
      <c r="K204" s="63" t="s">
        <v>476</v>
      </c>
      <c r="L204" s="63"/>
      <c r="M204" s="63"/>
    </row>
    <row r="205" spans="1:13" ht="12.75" thickTop="1" x14ac:dyDescent="0.3">
      <c r="B205" s="12"/>
      <c r="C205" s="12"/>
      <c r="D205" s="13"/>
      <c r="E205" s="13"/>
      <c r="F205" s="13"/>
      <c r="G205" s="13"/>
      <c r="H205" s="12"/>
      <c r="I205" s="12"/>
      <c r="J205" s="12"/>
      <c r="K205" s="12"/>
      <c r="L205" s="12"/>
      <c r="M205" s="12"/>
    </row>
    <row r="206" spans="1:13" x14ac:dyDescent="0.3">
      <c r="B206" s="15" t="str">
        <f>VLOOKUP($E206,서비스!$C:$G,4,0)</f>
        <v>사진관리</v>
      </c>
      <c r="C206" s="15" t="str">
        <f>VLOOKUP($E206,서비스!$C:$G,5,0)</f>
        <v>사진관리조회</v>
      </c>
      <c r="D206" s="15" t="str">
        <f t="shared" ref="D206:D215" si="54">ToCamelLower(E206)</f>
        <v>picMngList</v>
      </c>
      <c r="E206" s="15" t="s">
        <v>559</v>
      </c>
      <c r="F206" s="15" t="str">
        <f t="shared" ref="F206:F215" si="55">ToCamel(G206) &amp; "DTO.java"</f>
        <v>PicMngListDTO.java</v>
      </c>
      <c r="G206" s="15" t="s">
        <v>517</v>
      </c>
      <c r="H206" s="15" t="s">
        <v>126</v>
      </c>
      <c r="I206" s="15" t="s">
        <v>128</v>
      </c>
      <c r="J206" s="15" t="s">
        <v>542</v>
      </c>
      <c r="K206" s="15" t="s">
        <v>242</v>
      </c>
      <c r="L206" s="15"/>
      <c r="M206" s="15"/>
    </row>
    <row r="207" spans="1:13" x14ac:dyDescent="0.3">
      <c r="B207" s="13" t="str">
        <f>VLOOKUP($E207,서비스!$C:$G,4,0)</f>
        <v>사진관리</v>
      </c>
      <c r="C207" s="13" t="str">
        <f>VLOOKUP($E207,서비스!$C:$G,5,0)</f>
        <v>사진관리조회</v>
      </c>
      <c r="D207" s="13" t="str">
        <f t="shared" si="54"/>
        <v>picMngList</v>
      </c>
      <c r="E207" s="13" t="s">
        <v>517</v>
      </c>
      <c r="F207" s="13" t="str">
        <f t="shared" si="55"/>
        <v>PicMngListDTO.java</v>
      </c>
      <c r="G207" s="13" t="s">
        <v>517</v>
      </c>
      <c r="H207" s="13" t="s">
        <v>126</v>
      </c>
      <c r="I207" s="13" t="s">
        <v>127</v>
      </c>
      <c r="J207" s="13" t="s">
        <v>543</v>
      </c>
      <c r="K207" s="13" t="s">
        <v>132</v>
      </c>
      <c r="L207" s="13"/>
      <c r="M207" s="13"/>
    </row>
    <row r="208" spans="1:13" x14ac:dyDescent="0.3">
      <c r="B208" s="13" t="str">
        <f>VLOOKUP($E208,서비스!$C:$G,4,0)</f>
        <v>사진관리</v>
      </c>
      <c r="C208" s="13" t="str">
        <f>VLOOKUP($E208,서비스!$C:$G,5,0)</f>
        <v>사진관리조회</v>
      </c>
      <c r="D208" s="13" t="str">
        <f t="shared" si="54"/>
        <v>picMngList</v>
      </c>
      <c r="E208" s="13" t="s">
        <v>517</v>
      </c>
      <c r="F208" s="13" t="str">
        <f t="shared" si="55"/>
        <v>PicMngListDTO.java</v>
      </c>
      <c r="G208" s="13" t="s">
        <v>517</v>
      </c>
      <c r="H208" s="13" t="s">
        <v>126</v>
      </c>
      <c r="I208" s="13" t="s">
        <v>129</v>
      </c>
      <c r="J208" s="13" t="s">
        <v>548</v>
      </c>
      <c r="K208" s="13" t="s">
        <v>549</v>
      </c>
      <c r="L208" s="13"/>
      <c r="M208" s="13"/>
    </row>
    <row r="209" spans="1:13" x14ac:dyDescent="0.3">
      <c r="B209" s="13" t="str">
        <f>VLOOKUP($E209,서비스!$C:$G,4,0)</f>
        <v>사진관리</v>
      </c>
      <c r="C209" s="13" t="str">
        <f>VLOOKUP($E209,서비스!$C:$G,5,0)</f>
        <v>사진관리조회</v>
      </c>
      <c r="D209" s="13" t="str">
        <f t="shared" si="54"/>
        <v>picMngList</v>
      </c>
      <c r="E209" s="13" t="s">
        <v>517</v>
      </c>
      <c r="F209" s="13" t="str">
        <f t="shared" si="55"/>
        <v>PicMngListDTO.java</v>
      </c>
      <c r="G209" s="13" t="s">
        <v>517</v>
      </c>
      <c r="H209" s="13" t="s">
        <v>125</v>
      </c>
      <c r="I209" s="13" t="s">
        <v>524</v>
      </c>
      <c r="J209" s="13" t="s">
        <v>526</v>
      </c>
      <c r="K209" s="13" t="s">
        <v>525</v>
      </c>
      <c r="L209" s="13"/>
      <c r="M209" s="13"/>
    </row>
    <row r="210" spans="1:13" x14ac:dyDescent="0.3">
      <c r="B210" s="13" t="str">
        <f>VLOOKUP($E210,서비스!$C:$G,4,0)</f>
        <v>사진관리</v>
      </c>
      <c r="C210" s="13" t="str">
        <f>VLOOKUP($E210,서비스!$C:$G,5,0)</f>
        <v>사진관리조회</v>
      </c>
      <c r="D210" s="13" t="str">
        <f t="shared" ref="D210" si="56">ToCamelLower(E210)</f>
        <v>picMngList</v>
      </c>
      <c r="E210" s="13" t="s">
        <v>517</v>
      </c>
      <c r="F210" s="13" t="str">
        <f t="shared" ref="F210" si="57">ToCamel(G210) &amp; "DTO.java"</f>
        <v>PicMngListDTO.java</v>
      </c>
      <c r="G210" s="13" t="s">
        <v>517</v>
      </c>
      <c r="H210" s="13" t="s">
        <v>125</v>
      </c>
      <c r="I210" s="13" t="s">
        <v>518</v>
      </c>
      <c r="J210" s="13" t="s">
        <v>521</v>
      </c>
      <c r="K210" s="13" t="s">
        <v>522</v>
      </c>
      <c r="L210" s="13"/>
      <c r="M210" s="13"/>
    </row>
    <row r="211" spans="1:13" x14ac:dyDescent="0.3">
      <c r="B211" s="13" t="str">
        <f>VLOOKUP($E211,서비스!$C:$G,4,0)</f>
        <v>사진관리</v>
      </c>
      <c r="C211" s="13" t="str">
        <f>VLOOKUP($E211,서비스!$C:$G,5,0)</f>
        <v>사진관리조회</v>
      </c>
      <c r="D211" s="13" t="str">
        <f t="shared" si="54"/>
        <v>picMngList</v>
      </c>
      <c r="E211" s="13" t="s">
        <v>517</v>
      </c>
      <c r="F211" s="13" t="str">
        <f t="shared" si="55"/>
        <v>PicMngListDTO.java</v>
      </c>
      <c r="G211" s="13" t="s">
        <v>517</v>
      </c>
      <c r="H211" s="13" t="s">
        <v>125</v>
      </c>
      <c r="I211" s="13" t="s">
        <v>107</v>
      </c>
      <c r="J211" s="13" t="s">
        <v>13</v>
      </c>
      <c r="K211" s="13" t="s">
        <v>13</v>
      </c>
      <c r="L211" s="13"/>
      <c r="M211" s="13"/>
    </row>
    <row r="212" spans="1:13" x14ac:dyDescent="0.3">
      <c r="B212" s="13" t="str">
        <f>VLOOKUP($E212,서비스!$C:$G,4,0)</f>
        <v>사진관리</v>
      </c>
      <c r="C212" s="13" t="str">
        <f>VLOOKUP($E212,서비스!$C:$G,5,0)</f>
        <v>사진관리조회</v>
      </c>
      <c r="D212" s="13" t="str">
        <f t="shared" si="54"/>
        <v>picMngList</v>
      </c>
      <c r="E212" s="13" t="s">
        <v>517</v>
      </c>
      <c r="F212" s="13" t="str">
        <f t="shared" si="55"/>
        <v>PicMngListDTO.java</v>
      </c>
      <c r="G212" s="13" t="s">
        <v>517</v>
      </c>
      <c r="H212" s="13" t="s">
        <v>125</v>
      </c>
      <c r="I212" s="13" t="s">
        <v>11</v>
      </c>
      <c r="J212" s="13" t="s">
        <v>106</v>
      </c>
      <c r="K212" s="13" t="s">
        <v>106</v>
      </c>
      <c r="L212" s="13"/>
      <c r="M212" s="13"/>
    </row>
    <row r="213" spans="1:13" ht="12" customHeight="1" x14ac:dyDescent="0.3">
      <c r="B213" s="13" t="str">
        <f>VLOOKUP($E213,서비스!$C:$G,4,0)</f>
        <v>사진관리</v>
      </c>
      <c r="C213" s="13" t="str">
        <f>VLOOKUP($E213,서비스!$C:$G,5,0)</f>
        <v>사진관리조회</v>
      </c>
      <c r="D213" s="13" t="str">
        <f t="shared" si="54"/>
        <v>picMngList</v>
      </c>
      <c r="E213" s="13" t="s">
        <v>517</v>
      </c>
      <c r="F213" s="13" t="str">
        <f t="shared" si="55"/>
        <v>PicMngListDTO.java</v>
      </c>
      <c r="G213" s="13" t="s">
        <v>517</v>
      </c>
      <c r="H213" s="13" t="s">
        <v>125</v>
      </c>
      <c r="I213" s="13" t="s">
        <v>176</v>
      </c>
      <c r="J213" s="13" t="s">
        <v>523</v>
      </c>
      <c r="K213" s="13" t="s">
        <v>523</v>
      </c>
      <c r="L213" s="13"/>
      <c r="M213" s="13"/>
    </row>
    <row r="214" spans="1:13" s="107" customFormat="1" x14ac:dyDescent="0.3">
      <c r="A214" s="104"/>
      <c r="B214" s="105" t="str">
        <f>VLOOKUP($E214,서비스!$C:$G,4,0)</f>
        <v>사진관리</v>
      </c>
      <c r="C214" s="105" t="str">
        <f>VLOOKUP($E214,서비스!$C:$G,5,0)</f>
        <v>사진관리조회</v>
      </c>
      <c r="D214" s="105" t="str">
        <f t="shared" si="54"/>
        <v>picMngList</v>
      </c>
      <c r="E214" s="105" t="s">
        <v>517</v>
      </c>
      <c r="F214" s="105" t="str">
        <f t="shared" si="55"/>
        <v>PicMngListDTO.java</v>
      </c>
      <c r="G214" s="105" t="s">
        <v>517</v>
      </c>
      <c r="H214" s="105" t="s">
        <v>125</v>
      </c>
      <c r="I214" s="105" t="s">
        <v>435</v>
      </c>
      <c r="J214" s="105" t="s">
        <v>519</v>
      </c>
      <c r="K214" s="105" t="s">
        <v>439</v>
      </c>
      <c r="L214" s="106"/>
      <c r="M214" s="106"/>
    </row>
    <row r="215" spans="1:13" s="108" customFormat="1" ht="12.75" thickBot="1" x14ac:dyDescent="0.35">
      <c r="B215" s="109" t="str">
        <f>VLOOKUP($E215,서비스!$C:$G,4,0)</f>
        <v>사진관리</v>
      </c>
      <c r="C215" s="109" t="str">
        <f>VLOOKUP($E215,서비스!$C:$G,5,0)</f>
        <v>사진관리조회</v>
      </c>
      <c r="D215" s="109" t="str">
        <f t="shared" si="54"/>
        <v>picMngList</v>
      </c>
      <c r="E215" s="109" t="s">
        <v>517</v>
      </c>
      <c r="F215" s="109" t="str">
        <f t="shared" si="55"/>
        <v>PicMngListDTO.java</v>
      </c>
      <c r="G215" s="109" t="s">
        <v>517</v>
      </c>
      <c r="H215" s="109" t="s">
        <v>125</v>
      </c>
      <c r="I215" s="109" t="s">
        <v>514</v>
      </c>
      <c r="J215" s="109" t="s">
        <v>515</v>
      </c>
      <c r="K215" s="109" t="s">
        <v>516</v>
      </c>
      <c r="L215" s="110"/>
      <c r="M215" s="110"/>
    </row>
    <row r="216" spans="1:13" ht="12.75" thickTop="1" x14ac:dyDescent="0.3">
      <c r="B216" s="12"/>
      <c r="C216" s="12"/>
      <c r="D216" s="13"/>
      <c r="E216" s="13"/>
      <c r="F216" s="13"/>
      <c r="G216" s="13"/>
      <c r="H216" s="12"/>
      <c r="I216" s="12"/>
      <c r="J216" s="12"/>
      <c r="K216" s="12"/>
      <c r="L216" s="12"/>
      <c r="M216" s="12"/>
    </row>
    <row r="217" spans="1:13" x14ac:dyDescent="0.3">
      <c r="B217" s="15" t="str">
        <f>VLOOKUP($E217,서비스!$C:$G,4,0)</f>
        <v>사진관리</v>
      </c>
      <c r="C217" s="15" t="str">
        <f>VLOOKUP($E217,서비스!$C:$G,5,0)</f>
        <v>사진관리상세조회</v>
      </c>
      <c r="D217" s="15" t="str">
        <f t="shared" ref="D217:D221" si="58">ToCamelLower(E217)</f>
        <v>picMngDtl</v>
      </c>
      <c r="E217" s="15" t="s">
        <v>520</v>
      </c>
      <c r="F217" s="15" t="str">
        <f t="shared" ref="F217:F221" si="59">ToCamel(G217) &amp; "DTO.java"</f>
        <v>PicMngDtlDTO.java</v>
      </c>
      <c r="G217" s="15" t="s">
        <v>520</v>
      </c>
      <c r="H217" s="15" t="s">
        <v>126</v>
      </c>
      <c r="I217" s="15" t="s">
        <v>302</v>
      </c>
      <c r="J217" s="15" t="s">
        <v>300</v>
      </c>
      <c r="K217" s="15" t="s">
        <v>299</v>
      </c>
      <c r="L217" s="15" t="s">
        <v>531</v>
      </c>
      <c r="M217" s="15"/>
    </row>
    <row r="218" spans="1:13" x14ac:dyDescent="0.3">
      <c r="B218" s="13" t="str">
        <f>VLOOKUP($E218,서비스!$C:$G,4,0)</f>
        <v>사진관리</v>
      </c>
      <c r="C218" s="13" t="str">
        <f>VLOOKUP($E218,서비스!$C:$G,5,0)</f>
        <v>사진관리상세조회</v>
      </c>
      <c r="D218" s="13" t="str">
        <f t="shared" si="58"/>
        <v>picMngDtl</v>
      </c>
      <c r="E218" s="15" t="s">
        <v>520</v>
      </c>
      <c r="F218" s="13" t="str">
        <f t="shared" si="59"/>
        <v>PicMngDtlDTO.java</v>
      </c>
      <c r="G218" s="15" t="s">
        <v>520</v>
      </c>
      <c r="H218" s="15" t="s">
        <v>126</v>
      </c>
      <c r="I218" s="13" t="s">
        <v>524</v>
      </c>
      <c r="J218" s="13" t="s">
        <v>544</v>
      </c>
      <c r="K218" s="13" t="s">
        <v>545</v>
      </c>
      <c r="L218" s="13"/>
      <c r="M218" s="13"/>
    </row>
    <row r="219" spans="1:13" ht="12" customHeight="1" x14ac:dyDescent="0.3">
      <c r="B219" s="13" t="str">
        <f>VLOOKUP($E219,서비스!$C:$G,4,0)</f>
        <v>사진관리</v>
      </c>
      <c r="C219" s="13" t="str">
        <f>VLOOKUP($E219,서비스!$C:$G,5,0)</f>
        <v>사진관리상세조회</v>
      </c>
      <c r="D219" s="13" t="str">
        <f t="shared" si="58"/>
        <v>picMngDtl</v>
      </c>
      <c r="E219" s="15" t="s">
        <v>520</v>
      </c>
      <c r="F219" s="13" t="str">
        <f t="shared" si="59"/>
        <v>PicMngDtlDTO.java</v>
      </c>
      <c r="G219" s="15" t="s">
        <v>520</v>
      </c>
      <c r="H219" s="13" t="s">
        <v>125</v>
      </c>
      <c r="I219" s="13" t="s">
        <v>156</v>
      </c>
      <c r="J219" s="13" t="s">
        <v>12</v>
      </c>
      <c r="K219" s="13" t="s">
        <v>12</v>
      </c>
      <c r="L219" s="13"/>
      <c r="M219" s="13"/>
    </row>
    <row r="220" spans="1:13" ht="12" customHeight="1" x14ac:dyDescent="0.3">
      <c r="B220" s="13" t="str">
        <f>VLOOKUP($E220,서비스!$C:$G,4,0)</f>
        <v>사진관리</v>
      </c>
      <c r="C220" s="13" t="str">
        <f>VLOOKUP($E220,서비스!$C:$G,5,0)</f>
        <v>사진관리상세조회</v>
      </c>
      <c r="D220" s="13" t="str">
        <f t="shared" si="58"/>
        <v>picMngDtl</v>
      </c>
      <c r="E220" s="15" t="s">
        <v>520</v>
      </c>
      <c r="F220" s="13" t="str">
        <f t="shared" si="59"/>
        <v>PicMngDtlDTO.java</v>
      </c>
      <c r="G220" s="15" t="s">
        <v>520</v>
      </c>
      <c r="H220" s="13" t="s">
        <v>125</v>
      </c>
      <c r="I220" s="13" t="s">
        <v>107</v>
      </c>
      <c r="J220" s="13" t="s">
        <v>13</v>
      </c>
      <c r="K220" s="13" t="s">
        <v>13</v>
      </c>
      <c r="L220" s="13"/>
      <c r="M220" s="13"/>
    </row>
    <row r="221" spans="1:13" ht="12" customHeight="1" x14ac:dyDescent="0.3">
      <c r="B221" s="13" t="str">
        <f>VLOOKUP($E221,서비스!$C:$G,4,0)</f>
        <v>사진관리</v>
      </c>
      <c r="C221" s="13" t="str">
        <f>VLOOKUP($E221,서비스!$C:$G,5,0)</f>
        <v>사진관리상세조회</v>
      </c>
      <c r="D221" s="13" t="str">
        <f t="shared" si="58"/>
        <v>picMngDtl</v>
      </c>
      <c r="E221" s="13" t="s">
        <v>520</v>
      </c>
      <c r="F221" s="13" t="str">
        <f t="shared" si="59"/>
        <v>PicMngDtlDTO.java</v>
      </c>
      <c r="G221" s="13" t="s">
        <v>520</v>
      </c>
      <c r="H221" s="13" t="s">
        <v>125</v>
      </c>
      <c r="I221" s="13" t="s">
        <v>176</v>
      </c>
      <c r="J221" s="13" t="s">
        <v>523</v>
      </c>
      <c r="K221" s="13" t="s">
        <v>523</v>
      </c>
      <c r="L221" s="13"/>
      <c r="M221" s="13"/>
    </row>
    <row r="222" spans="1:13" s="17" customFormat="1" ht="12" customHeight="1" thickBot="1" x14ac:dyDescent="0.35">
      <c r="B222" s="16" t="str">
        <f>VLOOKUP($E222,서비스!$C:$G,4,0)</f>
        <v>사진관리</v>
      </c>
      <c r="C222" s="16" t="str">
        <f>VLOOKUP($E222,서비스!$C:$G,5,0)</f>
        <v>사진관리상세조회</v>
      </c>
      <c r="D222" s="16" t="str">
        <f t="shared" ref="D222" si="60">ToCamelLower(E222)</f>
        <v>picMngDtl</v>
      </c>
      <c r="E222" s="16" t="s">
        <v>520</v>
      </c>
      <c r="F222" s="16" t="str">
        <f t="shared" ref="F222" si="61">ToCamel(G222) &amp; "DTO.java"</f>
        <v>PicMngDtlDTO.java</v>
      </c>
      <c r="G222" s="16" t="s">
        <v>520</v>
      </c>
      <c r="H222" s="16" t="s">
        <v>125</v>
      </c>
      <c r="I222" s="16" t="s">
        <v>527</v>
      </c>
      <c r="J222" s="16" t="s">
        <v>528</v>
      </c>
      <c r="K222" s="16" t="s">
        <v>528</v>
      </c>
      <c r="L222" s="16"/>
      <c r="M222" s="16"/>
    </row>
    <row r="223" spans="1:13" ht="11.25" customHeight="1" thickTop="1" x14ac:dyDescent="0.3">
      <c r="B223" s="18"/>
      <c r="C223" s="18"/>
      <c r="D223" s="15"/>
      <c r="E223" s="15"/>
      <c r="F223" s="15"/>
      <c r="G223" s="15"/>
      <c r="H223" s="18"/>
      <c r="I223" s="18"/>
      <c r="J223" s="18"/>
      <c r="K223" s="18"/>
      <c r="L223" s="18"/>
      <c r="M223" s="18"/>
    </row>
    <row r="224" spans="1:13" x14ac:dyDescent="0.3">
      <c r="B224" s="13" t="str">
        <f>VLOOKUP($E224,서비스!$C:$G,4,0)</f>
        <v>사진관리</v>
      </c>
      <c r="C224" s="13" t="str">
        <f>VLOOKUP($E224,서비스!$C:$G,5,0)</f>
        <v>사진관리사진정보조회</v>
      </c>
      <c r="D224" s="13" t="str">
        <f t="shared" ref="D224:D227" si="62">ToCamelLower(E224)</f>
        <v>picMngItemList</v>
      </c>
      <c r="E224" s="15" t="s">
        <v>532</v>
      </c>
      <c r="F224" s="13" t="str">
        <f t="shared" ref="F224:F227" si="63">ToCamel(G224) &amp; "DTO.java"</f>
        <v>PicMngItemListDTO.java</v>
      </c>
      <c r="G224" s="15" t="s">
        <v>532</v>
      </c>
      <c r="H224" s="15" t="s">
        <v>126</v>
      </c>
      <c r="I224" s="13" t="s">
        <v>524</v>
      </c>
      <c r="J224" s="13" t="s">
        <v>544</v>
      </c>
      <c r="K224" s="13" t="s">
        <v>545</v>
      </c>
      <c r="L224" s="13"/>
      <c r="M224" s="13"/>
    </row>
    <row r="225" spans="1:13" s="89" customFormat="1" x14ac:dyDescent="0.3">
      <c r="A225" s="26"/>
      <c r="B225" s="54" t="str">
        <f>VLOOKUP($E225,서비스!$C:$G,4,0)</f>
        <v>사진관리</v>
      </c>
      <c r="C225" s="54" t="str">
        <f>VLOOKUP($E225,서비스!$C:$G,5,0)</f>
        <v>사진관리사진정보조회</v>
      </c>
      <c r="D225" s="54" t="str">
        <f t="shared" ref="D225" si="64">ToCamelLower(E225)</f>
        <v>picMngItemList</v>
      </c>
      <c r="E225" s="13" t="s">
        <v>532</v>
      </c>
      <c r="F225" s="54" t="str">
        <f t="shared" ref="F225" si="65">ToCamel(G225) &amp; "DTO.java"</f>
        <v>PicMngItemListDTO.java</v>
      </c>
      <c r="G225" s="13" t="s">
        <v>532</v>
      </c>
      <c r="H225" s="13" t="s">
        <v>125</v>
      </c>
      <c r="I225" s="54" t="s">
        <v>533</v>
      </c>
      <c r="J225" s="54" t="s">
        <v>534</v>
      </c>
      <c r="K225" s="54" t="s">
        <v>535</v>
      </c>
      <c r="L225" s="54"/>
      <c r="M225" s="54"/>
    </row>
    <row r="226" spans="1:13" s="89" customFormat="1" x14ac:dyDescent="0.3">
      <c r="A226" s="26"/>
      <c r="B226" s="54" t="str">
        <f>VLOOKUP($E226,서비스!$C:$G,4,0)</f>
        <v>사진관리</v>
      </c>
      <c r="C226" s="54" t="str">
        <f>VLOOKUP($E226,서비스!$C:$G,5,0)</f>
        <v>사진관리사진정보조회</v>
      </c>
      <c r="D226" s="54" t="str">
        <f t="shared" si="62"/>
        <v>picMngItemList</v>
      </c>
      <c r="E226" s="13" t="s">
        <v>532</v>
      </c>
      <c r="F226" s="54" t="str">
        <f t="shared" si="63"/>
        <v>PicMngItemListDTO.java</v>
      </c>
      <c r="G226" s="13" t="s">
        <v>532</v>
      </c>
      <c r="H226" s="13" t="s">
        <v>125</v>
      </c>
      <c r="I226" s="54" t="s">
        <v>435</v>
      </c>
      <c r="J226" s="54" t="s">
        <v>519</v>
      </c>
      <c r="K226" s="54" t="s">
        <v>439</v>
      </c>
      <c r="L226" s="54"/>
      <c r="M226" s="54"/>
    </row>
    <row r="227" spans="1:13" s="62" customFormat="1" ht="12.75" thickBot="1" x14ac:dyDescent="0.35">
      <c r="B227" s="63" t="str">
        <f>VLOOKUP($E227,서비스!$C:$G,4,0)</f>
        <v>사진관리</v>
      </c>
      <c r="C227" s="63" t="str">
        <f>VLOOKUP($E227,서비스!$C:$G,5,0)</f>
        <v>사진관리사진정보조회</v>
      </c>
      <c r="D227" s="63" t="str">
        <f t="shared" si="62"/>
        <v>picMngItemList</v>
      </c>
      <c r="E227" s="63" t="s">
        <v>532</v>
      </c>
      <c r="F227" s="63" t="str">
        <f t="shared" si="63"/>
        <v>PicMngItemListDTO.java</v>
      </c>
      <c r="G227" s="63" t="s">
        <v>532</v>
      </c>
      <c r="H227" s="63" t="s">
        <v>125</v>
      </c>
      <c r="I227" s="63" t="s">
        <v>514</v>
      </c>
      <c r="J227" s="63" t="s">
        <v>515</v>
      </c>
      <c r="K227" s="63" t="s">
        <v>516</v>
      </c>
      <c r="L227" s="63"/>
      <c r="M227" s="63"/>
    </row>
    <row r="228" spans="1:13" ht="12.75" thickTop="1" x14ac:dyDescent="0.3">
      <c r="B228" s="12"/>
      <c r="C228" s="12"/>
      <c r="D228" s="13"/>
      <c r="E228" s="13"/>
      <c r="F228" s="13"/>
      <c r="G228" s="13"/>
      <c r="H228" s="12"/>
      <c r="I228" s="12"/>
      <c r="J228" s="12"/>
      <c r="K228" s="12"/>
      <c r="L228" s="12"/>
      <c r="M228" s="12"/>
    </row>
    <row r="229" spans="1:13" s="99" customFormat="1" ht="24.75" thickBot="1" x14ac:dyDescent="0.35">
      <c r="B229" s="100" t="s">
        <v>560</v>
      </c>
      <c r="C229" s="100" t="str">
        <f>VLOOKUP($E229,서비스!$C:$G,5,0)</f>
        <v>사진관리사진정보조회  파일다운로드</v>
      </c>
      <c r="D229" s="100" t="str">
        <f>ToCamelLower(E229)</f>
        <v>picMngItemListFileDownload</v>
      </c>
      <c r="E229" s="100" t="s">
        <v>561</v>
      </c>
      <c r="F229" s="101" t="s">
        <v>539</v>
      </c>
      <c r="G229" s="100" t="s">
        <v>458</v>
      </c>
      <c r="H229" s="100" t="s">
        <v>126</v>
      </c>
      <c r="I229" s="100" t="s">
        <v>565</v>
      </c>
      <c r="J229" s="100" t="s">
        <v>567</v>
      </c>
      <c r="K229" s="100" t="s">
        <v>568</v>
      </c>
      <c r="L229" s="100"/>
      <c r="M229" s="100"/>
    </row>
    <row r="230" spans="1:13" s="102" customFormat="1" ht="25.5" thickTop="1" thickBot="1" x14ac:dyDescent="0.35">
      <c r="B230" s="103" t="s">
        <v>564</v>
      </c>
      <c r="C230" s="103" t="str">
        <f>VLOOKUP($E230,서비스!$C:$G,5,0)</f>
        <v>사진관리사진정보조회  파일다운로드</v>
      </c>
      <c r="D230" s="103" t="str">
        <f t="shared" ref="D230" si="66">ToCamelLower(E230)</f>
        <v>picMngItemListFileDownload</v>
      </c>
      <c r="E230" s="103" t="s">
        <v>561</v>
      </c>
      <c r="F230" s="101" t="s">
        <v>539</v>
      </c>
      <c r="G230" s="103" t="s">
        <v>458</v>
      </c>
      <c r="H230" s="103" t="s">
        <v>126</v>
      </c>
      <c r="I230" s="103" t="s">
        <v>566</v>
      </c>
      <c r="J230" s="103" t="s">
        <v>570</v>
      </c>
      <c r="K230" s="103" t="s">
        <v>571</v>
      </c>
      <c r="L230" s="103"/>
      <c r="M230" s="103"/>
    </row>
    <row r="231" spans="1:13" s="9" customFormat="1" ht="12.75" thickTop="1" x14ac:dyDescent="0.3">
      <c r="B231" s="59"/>
      <c r="C231" s="59"/>
      <c r="D231" s="59"/>
      <c r="E231" s="56"/>
      <c r="F231" s="59"/>
      <c r="G231" s="56"/>
      <c r="H231" s="56"/>
      <c r="I231" s="59"/>
      <c r="J231" s="59"/>
      <c r="K231" s="59"/>
      <c r="L231" s="59"/>
      <c r="M231" s="59"/>
    </row>
    <row r="232" spans="1:13" x14ac:dyDescent="0.3">
      <c r="B232" s="13" t="str">
        <f>VLOOKUP($E232,서비스!$C:$G,4,0)</f>
        <v>사진관리</v>
      </c>
      <c r="C232" s="13" t="str">
        <f>VLOOKUP($E232,서비스!$C:$G,5,0)</f>
        <v>사진관리저장</v>
      </c>
      <c r="D232" s="13" t="str">
        <f t="shared" ref="D232:D238" si="67">ToCamelLower(E232)</f>
        <v>picMngSave</v>
      </c>
      <c r="E232" s="13" t="s">
        <v>536</v>
      </c>
      <c r="F232" s="13" t="str">
        <f t="shared" ref="F232:F238" si="68">ToCamel(G232) &amp; "DTO.java"</f>
        <v>PicMngSaveDTO.java</v>
      </c>
      <c r="G232" s="13" t="s">
        <v>536</v>
      </c>
      <c r="H232" s="13" t="s">
        <v>126</v>
      </c>
      <c r="I232" s="13" t="s">
        <v>302</v>
      </c>
      <c r="J232" s="13" t="s">
        <v>300</v>
      </c>
      <c r="K232" s="13" t="s">
        <v>299</v>
      </c>
      <c r="L232" s="13" t="s">
        <v>531</v>
      </c>
      <c r="M232" s="13"/>
    </row>
    <row r="233" spans="1:13" x14ac:dyDescent="0.3">
      <c r="B233" s="13" t="str">
        <f>VLOOKUP($E233,서비스!$C:$G,4,0)</f>
        <v>사진관리</v>
      </c>
      <c r="C233" s="13" t="str">
        <f>VLOOKUP($E233,서비스!$C:$G,5,0)</f>
        <v>사진관리저장</v>
      </c>
      <c r="D233" s="13" t="str">
        <f t="shared" si="67"/>
        <v>picMngSave</v>
      </c>
      <c r="E233" s="15" t="s">
        <v>536</v>
      </c>
      <c r="F233" s="13" t="str">
        <f t="shared" si="68"/>
        <v>PicMngSaveDTO.java</v>
      </c>
      <c r="G233" s="15" t="s">
        <v>536</v>
      </c>
      <c r="H233" s="15" t="s">
        <v>126</v>
      </c>
      <c r="I233" s="13" t="s">
        <v>524</v>
      </c>
      <c r="J233" s="13" t="s">
        <v>546</v>
      </c>
      <c r="K233" s="13" t="s">
        <v>547</v>
      </c>
      <c r="L233" s="13"/>
      <c r="M233" s="13"/>
    </row>
    <row r="234" spans="1:13" s="53" customFormat="1" x14ac:dyDescent="0.3">
      <c r="B234" s="54" t="str">
        <f>VLOOKUP($E234,서비스!$C:$G,4,0)</f>
        <v>사진관리</v>
      </c>
      <c r="C234" s="54" t="str">
        <f>VLOOKUP($E234,서비스!$C:$G,5,0)</f>
        <v>사진관리저장</v>
      </c>
      <c r="D234" s="54" t="str">
        <f t="shared" si="67"/>
        <v>picMngSave</v>
      </c>
      <c r="E234" s="15" t="s">
        <v>536</v>
      </c>
      <c r="F234" s="54" t="str">
        <f t="shared" si="68"/>
        <v>PicMngSaveDTO.java</v>
      </c>
      <c r="G234" s="15" t="s">
        <v>536</v>
      </c>
      <c r="H234" s="15" t="s">
        <v>126</v>
      </c>
      <c r="I234" s="54" t="s">
        <v>307</v>
      </c>
      <c r="J234" s="55" t="s">
        <v>130</v>
      </c>
      <c r="K234" s="54" t="s">
        <v>260</v>
      </c>
      <c r="L234" s="54"/>
      <c r="M234" s="54"/>
    </row>
    <row r="235" spans="1:13" ht="12" customHeight="1" x14ac:dyDescent="0.3">
      <c r="B235" s="13" t="str">
        <f>VLOOKUP($E235,서비스!$C:$G,4,0)</f>
        <v>사진관리</v>
      </c>
      <c r="C235" s="13" t="str">
        <f>VLOOKUP($E235,서비스!$C:$G,5,0)</f>
        <v>사진관리저장</v>
      </c>
      <c r="D235" s="13" t="str">
        <f t="shared" si="67"/>
        <v>picMngSave</v>
      </c>
      <c r="E235" s="15" t="s">
        <v>536</v>
      </c>
      <c r="F235" s="13" t="str">
        <f t="shared" si="68"/>
        <v>PicMngSaveDTO.java</v>
      </c>
      <c r="G235" s="15" t="s">
        <v>536</v>
      </c>
      <c r="H235" s="15" t="s">
        <v>126</v>
      </c>
      <c r="I235" s="13" t="s">
        <v>156</v>
      </c>
      <c r="J235" s="13" t="s">
        <v>12</v>
      </c>
      <c r="K235" s="13" t="s">
        <v>12</v>
      </c>
      <c r="L235" s="13"/>
      <c r="M235" s="13"/>
    </row>
    <row r="236" spans="1:13" ht="12" customHeight="1" x14ac:dyDescent="0.3">
      <c r="B236" s="13" t="str">
        <f>VLOOKUP($E236,서비스!$C:$G,4,0)</f>
        <v>사진관리</v>
      </c>
      <c r="C236" s="13" t="str">
        <f>VLOOKUP($E236,서비스!$C:$G,5,0)</f>
        <v>사진관리저장</v>
      </c>
      <c r="D236" s="13" t="str">
        <f t="shared" si="67"/>
        <v>picMngSave</v>
      </c>
      <c r="E236" s="15" t="s">
        <v>537</v>
      </c>
      <c r="F236" s="13" t="str">
        <f t="shared" si="68"/>
        <v>PicMngSaveDTO.java</v>
      </c>
      <c r="G236" s="15" t="s">
        <v>536</v>
      </c>
      <c r="H236" s="15" t="s">
        <v>126</v>
      </c>
      <c r="I236" s="13" t="s">
        <v>107</v>
      </c>
      <c r="J236" s="13" t="s">
        <v>13</v>
      </c>
      <c r="K236" s="13" t="s">
        <v>13</v>
      </c>
      <c r="L236" s="13"/>
      <c r="M236" s="13"/>
    </row>
    <row r="237" spans="1:13" ht="12" customHeight="1" x14ac:dyDescent="0.3">
      <c r="B237" s="13" t="str">
        <f>VLOOKUP($E237,서비스!$C:$G,4,0)</f>
        <v>사진관리</v>
      </c>
      <c r="C237" s="13" t="str">
        <f>VLOOKUP($E237,서비스!$C:$G,5,0)</f>
        <v>사진관리저장</v>
      </c>
      <c r="D237" s="13" t="str">
        <f t="shared" si="67"/>
        <v>picMngSave</v>
      </c>
      <c r="E237" s="13" t="s">
        <v>536</v>
      </c>
      <c r="F237" s="13" t="str">
        <f t="shared" si="68"/>
        <v>PicMngSaveDTO.java</v>
      </c>
      <c r="G237" s="13" t="s">
        <v>536</v>
      </c>
      <c r="H237" s="15" t="s">
        <v>126</v>
      </c>
      <c r="I237" s="13" t="s">
        <v>176</v>
      </c>
      <c r="J237" s="13" t="s">
        <v>523</v>
      </c>
      <c r="K237" s="13" t="s">
        <v>523</v>
      </c>
      <c r="L237" s="13"/>
      <c r="M237" s="13"/>
    </row>
    <row r="238" spans="1:13" s="17" customFormat="1" ht="12" customHeight="1" thickBot="1" x14ac:dyDescent="0.35">
      <c r="B238" s="16" t="str">
        <f>VLOOKUP($E238,서비스!$C:$G,4,0)</f>
        <v>사진관리</v>
      </c>
      <c r="C238" s="16" t="str">
        <f>VLOOKUP($E238,서비스!$C:$G,5,0)</f>
        <v>사진관리저장</v>
      </c>
      <c r="D238" s="16" t="str">
        <f t="shared" si="67"/>
        <v>picMngSave</v>
      </c>
      <c r="E238" s="16" t="s">
        <v>536</v>
      </c>
      <c r="F238" s="16" t="str">
        <f t="shared" si="68"/>
        <v>PicMngSaveDTO.java</v>
      </c>
      <c r="G238" s="16" t="s">
        <v>536</v>
      </c>
      <c r="H238" s="16" t="s">
        <v>126</v>
      </c>
      <c r="I238" s="16" t="s">
        <v>527</v>
      </c>
      <c r="J238" s="16" t="s">
        <v>528</v>
      </c>
      <c r="K238" s="16" t="s">
        <v>528</v>
      </c>
      <c r="L238" s="16"/>
      <c r="M238" s="16"/>
    </row>
    <row r="239" spans="1:13" ht="12.75" thickTop="1" x14ac:dyDescent="0.3">
      <c r="B239" s="12"/>
      <c r="C239" s="12"/>
      <c r="D239" s="13"/>
      <c r="E239" s="13"/>
      <c r="F239" s="13"/>
      <c r="G239" s="13"/>
      <c r="H239" s="18"/>
      <c r="I239" s="12"/>
      <c r="J239" s="12"/>
      <c r="K239" s="12"/>
      <c r="L239" s="12"/>
      <c r="M239" s="12"/>
    </row>
    <row r="240" spans="1:13" s="41" customFormat="1" x14ac:dyDescent="0.3">
      <c r="B240" s="13" t="str">
        <f>VLOOKUP($E240,서비스!$C:$G,4,0)</f>
        <v>사진관리</v>
      </c>
      <c r="C240" s="13" t="str">
        <f>VLOOKUP($E240,서비스!$C:$G,5,0)</f>
        <v>사진관리사진정보저장</v>
      </c>
      <c r="D240" s="13" t="str">
        <f t="shared" ref="D240" si="69">ToCamelLower(E240)</f>
        <v>picMngItemSave</v>
      </c>
      <c r="E240" s="15" t="s">
        <v>538</v>
      </c>
      <c r="F240" s="13" t="s">
        <v>539</v>
      </c>
      <c r="G240" s="15" t="s">
        <v>538</v>
      </c>
      <c r="H240" s="15" t="s">
        <v>126</v>
      </c>
      <c r="I240" s="13" t="s">
        <v>524</v>
      </c>
      <c r="J240" s="13" t="s">
        <v>526</v>
      </c>
      <c r="K240" s="13" t="s">
        <v>525</v>
      </c>
      <c r="L240" s="13"/>
      <c r="M240" s="13"/>
    </row>
    <row r="241" spans="2:13" s="41" customFormat="1" x14ac:dyDescent="0.3">
      <c r="B241" s="13" t="str">
        <f>VLOOKUP($E241,서비스!$C:$G,4,0)</f>
        <v>사진관리</v>
      </c>
      <c r="C241" s="13" t="str">
        <f>VLOOKUP($E241,서비스!$C:$G,5,0)</f>
        <v>사진관리사진정보저장</v>
      </c>
      <c r="D241" s="13" t="str">
        <f t="shared" ref="D241" si="70">ToCamelLower(E241)</f>
        <v>picMngItemSave</v>
      </c>
      <c r="E241" s="15" t="s">
        <v>538</v>
      </c>
      <c r="F241" s="13" t="s">
        <v>539</v>
      </c>
      <c r="G241" s="15" t="s">
        <v>538</v>
      </c>
      <c r="H241" s="15" t="s">
        <v>126</v>
      </c>
      <c r="I241" s="54" t="s">
        <v>307</v>
      </c>
      <c r="J241" s="55" t="s">
        <v>130</v>
      </c>
      <c r="K241" s="54" t="s">
        <v>260</v>
      </c>
      <c r="L241" s="13"/>
      <c r="M241" s="13"/>
    </row>
    <row r="242" spans="2:13" s="17" customFormat="1" ht="12.75" thickBot="1" x14ac:dyDescent="0.35">
      <c r="B242" s="16" t="str">
        <f>VLOOKUP($E242,서비스!$C:$G,4,0)</f>
        <v>사진관리</v>
      </c>
      <c r="C242" s="16" t="str">
        <f>VLOOKUP($E242,서비스!$C:$G,5,0)</f>
        <v>사진관리사진정보저장</v>
      </c>
      <c r="D242" s="16" t="str">
        <f t="shared" ref="D242" si="71">ToCamelLower(E242)</f>
        <v>picMngItemSave</v>
      </c>
      <c r="E242" s="64" t="s">
        <v>538</v>
      </c>
      <c r="F242" s="16" t="s">
        <v>539</v>
      </c>
      <c r="G242" s="64" t="s">
        <v>538</v>
      </c>
      <c r="H242" s="64" t="s">
        <v>126</v>
      </c>
      <c r="I242" s="16" t="s">
        <v>540</v>
      </c>
      <c r="J242" s="16" t="s">
        <v>572</v>
      </c>
      <c r="K242" s="16" t="s">
        <v>572</v>
      </c>
      <c r="L242" s="16"/>
      <c r="M242" s="16"/>
    </row>
    <row r="243" spans="2:13" ht="12.75" thickTop="1" x14ac:dyDescent="0.3">
      <c r="B243" s="18"/>
      <c r="C243" s="18"/>
      <c r="D243" s="15"/>
      <c r="E243" s="15"/>
      <c r="F243" s="15"/>
      <c r="G243" s="15"/>
      <c r="H243" s="18"/>
      <c r="I243" s="18"/>
      <c r="J243" s="18"/>
      <c r="K243" s="18"/>
      <c r="L243" s="18"/>
      <c r="M243" s="18"/>
    </row>
    <row r="244" spans="2:13" s="17" customFormat="1" ht="12.75" thickBot="1" x14ac:dyDescent="0.35">
      <c r="B244" s="16" t="str">
        <f>VLOOKUP($E244,서비스!$C:$G,4,0)</f>
        <v>사진관리</v>
      </c>
      <c r="C244" s="16" t="str">
        <f>VLOOKUP($E244,서비스!$C:$G,5,0)</f>
        <v>사진관리삭제</v>
      </c>
      <c r="D244" s="16" t="str">
        <f t="shared" ref="D244" si="72">ToCamelLower(E244)</f>
        <v>picMngItemDelete</v>
      </c>
      <c r="E244" s="64" t="s">
        <v>541</v>
      </c>
      <c r="F244" s="16" t="str">
        <f t="shared" ref="F244" si="73">ToCamel(G244) &amp; "DTO.java"</f>
        <v>PicMngItemDeleteDTO.java</v>
      </c>
      <c r="G244" s="64" t="s">
        <v>541</v>
      </c>
      <c r="H244" s="64" t="s">
        <v>126</v>
      </c>
      <c r="I244" s="16" t="s">
        <v>524</v>
      </c>
      <c r="J244" s="16" t="s">
        <v>544</v>
      </c>
      <c r="K244" s="16" t="s">
        <v>545</v>
      </c>
      <c r="L244" s="16"/>
      <c r="M244" s="16"/>
    </row>
    <row r="245" spans="2:13" ht="12.75" thickTop="1" x14ac:dyDescent="0.3">
      <c r="B245" s="18"/>
      <c r="C245" s="18"/>
      <c r="D245" s="15"/>
      <c r="E245" s="15"/>
      <c r="F245" s="15"/>
      <c r="G245" s="15"/>
      <c r="H245" s="18"/>
      <c r="I245" s="18"/>
      <c r="J245" s="18"/>
      <c r="K245" s="18"/>
      <c r="L245" s="18"/>
      <c r="M245" s="18"/>
    </row>
    <row r="246" spans="2:13" x14ac:dyDescent="0.3">
      <c r="B246" s="12"/>
      <c r="C246" s="12"/>
      <c r="D246" s="13"/>
      <c r="E246" s="13"/>
      <c r="F246" s="13"/>
      <c r="G246" s="13"/>
      <c r="H246" s="12"/>
      <c r="I246" s="12"/>
      <c r="J246" s="12"/>
      <c r="K246" s="12"/>
      <c r="L246" s="12"/>
      <c r="M246" s="12"/>
    </row>
    <row r="247" spans="2:13" x14ac:dyDescent="0.3">
      <c r="B247" s="12"/>
      <c r="C247" s="12"/>
      <c r="D247" s="13"/>
      <c r="E247" s="13"/>
      <c r="F247" s="13"/>
      <c r="G247" s="13"/>
      <c r="H247" s="12"/>
      <c r="I247" s="12"/>
      <c r="J247" s="12"/>
      <c r="K247" s="12"/>
      <c r="L247" s="12"/>
      <c r="M247" s="12"/>
    </row>
    <row r="248" spans="2:13" x14ac:dyDescent="0.3">
      <c r="B248" s="12"/>
      <c r="C248" s="12"/>
      <c r="D248" s="13"/>
      <c r="E248" s="13"/>
      <c r="F248" s="13"/>
      <c r="G248" s="13"/>
      <c r="H248" s="12"/>
      <c r="I248" s="12"/>
      <c r="J248" s="12"/>
      <c r="K248" s="12"/>
      <c r="L248" s="12"/>
      <c r="M248" s="12"/>
    </row>
    <row r="249" spans="2:13" x14ac:dyDescent="0.3">
      <c r="B249" s="12"/>
      <c r="C249" s="12"/>
      <c r="D249" s="13"/>
      <c r="E249" s="13"/>
      <c r="F249" s="13"/>
      <c r="G249" s="13"/>
      <c r="H249" s="12"/>
      <c r="I249" s="12"/>
      <c r="J249" s="12"/>
      <c r="K249" s="12"/>
      <c r="L249" s="12"/>
      <c r="M249" s="12"/>
    </row>
    <row r="250" spans="2:13" x14ac:dyDescent="0.3">
      <c r="B250" s="12"/>
      <c r="C250" s="12"/>
      <c r="D250" s="13"/>
      <c r="E250" s="13"/>
      <c r="F250" s="13"/>
      <c r="G250" s="13"/>
      <c r="H250" s="12"/>
      <c r="I250" s="12"/>
      <c r="J250" s="12"/>
      <c r="K250" s="12"/>
      <c r="L250" s="12"/>
      <c r="M250" s="12"/>
    </row>
    <row r="251" spans="2:13" x14ac:dyDescent="0.3">
      <c r="B251" s="12"/>
      <c r="C251" s="12"/>
      <c r="D251" s="13"/>
      <c r="E251" s="13"/>
      <c r="F251" s="13"/>
      <c r="G251" s="13"/>
      <c r="H251" s="12"/>
      <c r="I251" s="12"/>
      <c r="J251" s="12"/>
      <c r="K251" s="12"/>
      <c r="L251" s="12"/>
      <c r="M251" s="12"/>
    </row>
    <row r="252" spans="2:13" x14ac:dyDescent="0.3">
      <c r="B252" s="12"/>
      <c r="C252" s="12"/>
      <c r="D252" s="13"/>
      <c r="E252" s="13"/>
      <c r="F252" s="13"/>
      <c r="G252" s="13"/>
      <c r="H252" s="12"/>
      <c r="I252" s="12"/>
      <c r="J252" s="12"/>
      <c r="K252" s="12"/>
      <c r="L252" s="12"/>
      <c r="M252" s="12"/>
    </row>
    <row r="253" spans="2:13" x14ac:dyDescent="0.3">
      <c r="B253" s="12"/>
      <c r="C253" s="12"/>
      <c r="D253" s="13"/>
      <c r="E253" s="13"/>
      <c r="F253" s="13"/>
      <c r="G253" s="13"/>
      <c r="H253" s="12"/>
      <c r="I253" s="12"/>
      <c r="J253" s="12"/>
      <c r="K253" s="12"/>
      <c r="L253" s="12"/>
      <c r="M253" s="12"/>
    </row>
    <row r="254" spans="2:13" x14ac:dyDescent="0.3">
      <c r="B254" s="12"/>
      <c r="C254" s="12"/>
      <c r="D254" s="13"/>
      <c r="E254" s="13"/>
      <c r="F254" s="13"/>
      <c r="G254" s="13"/>
      <c r="H254" s="12"/>
      <c r="I254" s="12"/>
      <c r="J254" s="12"/>
      <c r="K254" s="12"/>
      <c r="L254" s="12"/>
      <c r="M254" s="12"/>
    </row>
    <row r="255" spans="2:13" x14ac:dyDescent="0.3">
      <c r="B255" s="12"/>
      <c r="C255" s="12"/>
      <c r="D255" s="13"/>
      <c r="E255" s="13"/>
      <c r="F255" s="13"/>
      <c r="G255" s="13"/>
      <c r="H255" s="12"/>
      <c r="I255" s="12"/>
      <c r="J255" s="12"/>
      <c r="K255" s="12"/>
      <c r="L255" s="12"/>
      <c r="M255" s="12"/>
    </row>
    <row r="256" spans="2:13" x14ac:dyDescent="0.3">
      <c r="B256" s="12"/>
      <c r="C256" s="12"/>
      <c r="D256" s="13"/>
      <c r="E256" s="13"/>
      <c r="F256" s="13"/>
      <c r="G256" s="13"/>
      <c r="H256" s="12"/>
      <c r="I256" s="12"/>
      <c r="J256" s="12"/>
      <c r="K256" s="12"/>
      <c r="L256" s="12"/>
      <c r="M256" s="12"/>
    </row>
  </sheetData>
  <phoneticPr fontId="1" type="noConversion"/>
  <pageMargins left="0.7" right="0.7" top="0.75" bottom="0.75" header="0.3" footer="0.3"/>
  <pageSetup paperSize="9" scale="71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25"/>
  <sheetViews>
    <sheetView workbookViewId="0">
      <selection activeCell="F25" sqref="A1:XFD1048576"/>
    </sheetView>
  </sheetViews>
  <sheetFormatPr defaultRowHeight="16.5" x14ac:dyDescent="0.3"/>
  <cols>
    <col min="4" max="4" width="16.375" bestFit="1" customWidth="1"/>
  </cols>
  <sheetData>
    <row r="2" spans="2:11" x14ac:dyDescent="0.3">
      <c r="B2" s="1" t="s">
        <v>34</v>
      </c>
      <c r="C2" s="1" t="s">
        <v>88</v>
      </c>
      <c r="D2" s="1" t="s">
        <v>92</v>
      </c>
    </row>
    <row r="3" spans="2:11" x14ac:dyDescent="0.3">
      <c r="B3" s="1" t="s">
        <v>35</v>
      </c>
      <c r="C3" s="1" t="s">
        <v>89</v>
      </c>
      <c r="D3" s="1" t="s">
        <v>93</v>
      </c>
    </row>
    <row r="4" spans="2:11" x14ac:dyDescent="0.3">
      <c r="B4" s="1" t="s">
        <v>36</v>
      </c>
      <c r="C4" s="1" t="s">
        <v>90</v>
      </c>
      <c r="D4" s="1" t="s">
        <v>90</v>
      </c>
    </row>
    <row r="5" spans="2:11" x14ac:dyDescent="0.3">
      <c r="B5" s="1" t="s">
        <v>37</v>
      </c>
      <c r="C5" s="1" t="s">
        <v>91</v>
      </c>
      <c r="D5" s="1" t="s">
        <v>91</v>
      </c>
    </row>
    <row r="6" spans="2:11" x14ac:dyDescent="0.3">
      <c r="B6" s="1" t="s">
        <v>62</v>
      </c>
      <c r="C6" s="1" t="s">
        <v>63</v>
      </c>
      <c r="D6" s="1" t="s">
        <v>63</v>
      </c>
    </row>
    <row r="7" spans="2:11" x14ac:dyDescent="0.3">
      <c r="B7" s="1" t="s">
        <v>54</v>
      </c>
      <c r="C7" s="1" t="s">
        <v>76</v>
      </c>
      <c r="D7" s="1" t="s">
        <v>64</v>
      </c>
    </row>
    <row r="8" spans="2:11" x14ac:dyDescent="0.3">
      <c r="B8" s="1" t="s">
        <v>65</v>
      </c>
      <c r="C8" s="1" t="s">
        <v>82</v>
      </c>
      <c r="D8" s="1" t="s">
        <v>81</v>
      </c>
    </row>
    <row r="9" spans="2:11" x14ac:dyDescent="0.3">
      <c r="B9" s="1" t="s">
        <v>66</v>
      </c>
      <c r="C9" s="1" t="s">
        <v>77</v>
      </c>
      <c r="D9" s="1" t="s">
        <v>67</v>
      </c>
    </row>
    <row r="10" spans="2:11" x14ac:dyDescent="0.3">
      <c r="B10" s="1" t="s">
        <v>68</v>
      </c>
      <c r="C10" s="1" t="s">
        <v>78</v>
      </c>
      <c r="D10" s="1" t="s">
        <v>69</v>
      </c>
    </row>
    <row r="11" spans="2:11" x14ac:dyDescent="0.3">
      <c r="B11" s="1" t="s">
        <v>70</v>
      </c>
      <c r="C11" s="1" t="s">
        <v>79</v>
      </c>
      <c r="D11" s="1" t="s">
        <v>71</v>
      </c>
      <c r="H11" s="66"/>
    </row>
    <row r="12" spans="2:11" x14ac:dyDescent="0.3">
      <c r="B12" s="1" t="s">
        <v>72</v>
      </c>
      <c r="C12" s="1" t="s">
        <v>80</v>
      </c>
      <c r="D12" s="1" t="s">
        <v>73</v>
      </c>
      <c r="H12" s="66"/>
      <c r="I12" s="66"/>
      <c r="J12" s="66"/>
      <c r="K12" s="66"/>
    </row>
    <row r="13" spans="2:11" x14ac:dyDescent="0.3">
      <c r="B13" s="1" t="s">
        <v>49</v>
      </c>
      <c r="C13" s="1" t="s">
        <v>84</v>
      </c>
      <c r="D13" s="1" t="s">
        <v>83</v>
      </c>
      <c r="H13" s="66"/>
      <c r="I13" s="9"/>
      <c r="J13" s="9"/>
      <c r="K13" s="9"/>
    </row>
    <row r="14" spans="2:11" x14ac:dyDescent="0.3">
      <c r="B14" s="1" t="s">
        <v>87</v>
      </c>
      <c r="C14" s="10" t="s">
        <v>85</v>
      </c>
      <c r="D14" s="10" t="s">
        <v>86</v>
      </c>
      <c r="H14" s="66"/>
      <c r="I14" s="9"/>
      <c r="J14" s="9"/>
      <c r="K14" s="9"/>
    </row>
    <row r="15" spans="2:11" x14ac:dyDescent="0.3">
      <c r="B15" s="1" t="s">
        <v>96</v>
      </c>
      <c r="C15" s="1" t="s">
        <v>95</v>
      </c>
      <c r="D15" s="1" t="s">
        <v>97</v>
      </c>
      <c r="H15" s="66"/>
      <c r="I15" s="9"/>
      <c r="J15" s="9"/>
      <c r="K15" s="9"/>
    </row>
    <row r="16" spans="2:11" x14ac:dyDescent="0.3">
      <c r="B16" s="1" t="s">
        <v>98</v>
      </c>
      <c r="C16" s="1" t="s">
        <v>99</v>
      </c>
      <c r="D16" s="1" t="s">
        <v>100</v>
      </c>
      <c r="H16" s="66"/>
      <c r="I16" s="9"/>
      <c r="J16" s="9"/>
      <c r="K16" s="9"/>
    </row>
    <row r="17" spans="2:11" x14ac:dyDescent="0.3">
      <c r="B17" s="1" t="s">
        <v>342</v>
      </c>
      <c r="C17" s="1" t="s">
        <v>343</v>
      </c>
      <c r="D17" s="1"/>
      <c r="H17" s="66"/>
      <c r="I17" s="9"/>
      <c r="J17" s="9"/>
      <c r="K17" s="9"/>
    </row>
    <row r="18" spans="2:11" x14ac:dyDescent="0.3">
      <c r="B18" s="1" t="s">
        <v>344</v>
      </c>
      <c r="C18" s="1" t="s">
        <v>345</v>
      </c>
      <c r="D18" s="1"/>
      <c r="H18" s="66"/>
      <c r="I18" s="9"/>
      <c r="J18" s="9"/>
      <c r="K18" s="9"/>
    </row>
    <row r="19" spans="2:11" x14ac:dyDescent="0.3">
      <c r="B19" s="1" t="s">
        <v>347</v>
      </c>
      <c r="C19" s="1" t="s">
        <v>348</v>
      </c>
      <c r="D19" s="1"/>
    </row>
    <row r="20" spans="2:11" x14ac:dyDescent="0.3">
      <c r="B20" s="1" t="s">
        <v>496</v>
      </c>
      <c r="C20" s="1" t="s">
        <v>348</v>
      </c>
      <c r="D20" s="1"/>
    </row>
    <row r="21" spans="2:11" x14ac:dyDescent="0.3">
      <c r="I21" s="9"/>
    </row>
    <row r="22" spans="2:11" x14ac:dyDescent="0.3">
      <c r="I22" s="9"/>
    </row>
    <row r="23" spans="2:11" x14ac:dyDescent="0.3">
      <c r="I23" s="9"/>
    </row>
    <row r="24" spans="2:11" x14ac:dyDescent="0.3">
      <c r="I24" s="9"/>
    </row>
    <row r="25" spans="2:11" x14ac:dyDescent="0.3">
      <c r="I25" s="9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서비스</vt:lpstr>
      <vt:lpstr>map</vt:lpstr>
      <vt:lpstr>dic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softm-note</cp:lastModifiedBy>
  <cp:lastPrinted>2015-12-16T03:04:36Z</cp:lastPrinted>
  <dcterms:created xsi:type="dcterms:W3CDTF">2015-11-30T05:03:16Z</dcterms:created>
  <dcterms:modified xsi:type="dcterms:W3CDTF">2017-05-24T08:04:36Z</dcterms:modified>
</cp:coreProperties>
</file>