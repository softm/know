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drawings/drawing2.xml" ContentType="application/vnd.openxmlformats-officedocument.drawing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drawings/drawing3.xml" ContentType="application/vnd.openxmlformats-officedocument.drawing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softm/Work/ecoinsight/work/"/>
    </mc:Choice>
  </mc:AlternateContent>
  <xr:revisionPtr revIDLastSave="0" documentId="13_ncr:1_{7789D56E-BEF8-6E4F-AF1F-2A2DE3AAC72E}" xr6:coauthVersionLast="47" xr6:coauthVersionMax="47" xr10:uidLastSave="{00000000-0000-0000-0000-000000000000}"/>
  <bookViews>
    <workbookView xWindow="4200" yWindow="500" windowWidth="29400" windowHeight="20500" tabRatio="429" xr2:uid="{00000000-000D-0000-FFFF-FFFF00000000}"/>
  </bookViews>
  <sheets>
    <sheet name="API정의" sheetId="1" r:id="rId1"/>
    <sheet name="프로토콜 목록" sheetId="3" r:id="rId2"/>
    <sheet name="기능정의_" sheetId="4" r:id="rId3"/>
    <sheet name="data  structure" sheetId="2" r:id="rId4"/>
    <sheet name="Sheet1" sheetId="5" r:id="rId5"/>
    <sheet name="Data" sheetId="6" r:id="rId6"/>
  </sheets>
  <functionGroups builtInGroupCount="19"/>
  <definedNames>
    <definedName name="_xlnm._FilterDatabase" localSheetId="2" hidden="1">기능정의_!$C$2:$P$2</definedName>
    <definedName name="_xlnm._FilterDatabase" localSheetId="0" hidden="1">API정의!$A$2:$XFC$134</definedName>
    <definedName name="공고상세" localSheetId="2">기능정의_!$F$14</definedName>
    <definedName name="공고상세">API정의!$G$52</definedName>
    <definedName name="라이브_인터뷰_취소" localSheetId="2">기능정의_!$F$31</definedName>
    <definedName name="라이브_인터뷰_취소">API정의!$G$114</definedName>
    <definedName name="라이브_인터뷰_확정" localSheetId="2">기능정의_!$F$30</definedName>
    <definedName name="라이브_인터뷰_확정">API정의!$G$112</definedName>
    <definedName name="인터뷰_목록" localSheetId="2">기능정의_!$F$25</definedName>
    <definedName name="인터뷰_목록">API정의!$G$100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62" i="1" l="1" a="1"/>
  <c r="W62" i="1" s="1"/>
  <c r="W76" i="1" a="1"/>
  <c r="W76" i="1" s="1"/>
  <c r="W61" i="1" a="1"/>
  <c r="W61" i="1" s="1"/>
  <c r="M61" i="1" a="1"/>
  <c r="N134" i="1" a="1"/>
  <c r="V85" i="1" a="1"/>
  <c r="V61" i="1" a="1"/>
  <c r="N61" i="1" a="1"/>
  <c r="V134" i="1" a="1"/>
  <c r="V76" i="1" a="1"/>
  <c r="N63" i="1" a="1"/>
  <c r="N62" i="1" a="1"/>
  <c r="N85" i="1" a="1"/>
  <c r="N76" i="1" a="1"/>
  <c r="O61" i="1" a="1"/>
  <c r="V62" i="1" a="1"/>
  <c r="V85" i="1" l="1"/>
  <c r="N85" i="1"/>
  <c r="N134" i="1"/>
  <c r="V134" i="1"/>
  <c r="V62" i="1"/>
  <c r="N62" i="1"/>
  <c r="N76" i="1"/>
  <c r="V76" i="1"/>
  <c r="O61" i="1"/>
  <c r="N61" i="1"/>
  <c r="V61" i="1"/>
  <c r="M61" i="1"/>
  <c r="N63" i="1"/>
  <c r="X62" i="1" a="1"/>
  <c r="X76" i="1" a="1"/>
  <c r="X85" i="1" a="1"/>
  <c r="W85" i="1" a="1"/>
  <c r="W134" i="1" a="1"/>
  <c r="X134" i="1" a="1"/>
  <c r="X61" i="1" a="1"/>
  <c r="V63" i="1" a="1"/>
  <c r="W85" i="1" l="1"/>
  <c r="X85" i="1"/>
  <c r="X134" i="1"/>
  <c r="W134" i="1"/>
  <c r="X62" i="1"/>
  <c r="X76" i="1"/>
  <c r="X61" i="1"/>
  <c r="V63" i="1"/>
  <c r="W63" i="1" a="1"/>
  <c r="W63" i="1" s="1"/>
  <c r="W64" i="1" a="1"/>
  <c r="W64" i="1" s="1"/>
  <c r="X63" i="1" a="1"/>
  <c r="N64" i="1" a="1"/>
  <c r="V64" i="1" a="1"/>
  <c r="X63" i="1" l="1"/>
  <c r="N64" i="1"/>
  <c r="V64" i="1"/>
  <c r="V89" i="1" a="1"/>
  <c r="X64" i="1" a="1"/>
  <c r="N89" i="1" a="1"/>
  <c r="X64" i="1" l="1"/>
  <c r="V89" i="1"/>
  <c r="N89" i="1"/>
  <c r="W89" i="1" a="1"/>
  <c r="X89" i="1" a="1"/>
  <c r="X89" i="1" l="1"/>
  <c r="W89" i="1"/>
  <c r="W77" i="1" a="1"/>
  <c r="W77" i="1" s="1"/>
  <c r="N131" i="1" a="1"/>
  <c r="O131" i="1" a="1"/>
  <c r="V77" i="1" a="1"/>
  <c r="V132" i="1" a="1"/>
  <c r="V131" i="1" a="1"/>
  <c r="V93" i="1" a="1"/>
  <c r="N132" i="1" a="1"/>
  <c r="N77" i="1" a="1"/>
  <c r="M131" i="1" a="1"/>
  <c r="N133" i="1" a="1"/>
  <c r="N93" i="1" a="1"/>
  <c r="V132" i="1" l="1"/>
  <c r="N131" i="1"/>
  <c r="N132" i="1"/>
  <c r="N133" i="1"/>
  <c r="V131" i="1"/>
  <c r="M131" i="1"/>
  <c r="O131" i="1"/>
  <c r="N93" i="1"/>
  <c r="V93" i="1"/>
  <c r="V77" i="1"/>
  <c r="N77" i="1"/>
  <c r="X132" i="1" a="1"/>
  <c r="V59" i="1" a="1"/>
  <c r="X93" i="1" a="1"/>
  <c r="X77" i="1" a="1"/>
  <c r="W93" i="1" a="1"/>
  <c r="X131" i="1" a="1"/>
  <c r="W131" i="1" a="1"/>
  <c r="W132" i="1" a="1"/>
  <c r="X131" i="1" l="1"/>
  <c r="W131" i="1"/>
  <c r="X132" i="1"/>
  <c r="W132" i="1"/>
  <c r="X93" i="1"/>
  <c r="W93" i="1"/>
  <c r="X77" i="1"/>
  <c r="V59" i="1"/>
  <c r="W8" i="1" l="1" a="1"/>
  <c r="W8" i="1" s="1"/>
  <c r="W4" i="1" a="1"/>
  <c r="W4" i="1" s="1"/>
  <c r="W21" i="1" a="1"/>
  <c r="W21" i="1" s="1"/>
  <c r="W27" i="1" a="1"/>
  <c r="W27" i="1" s="1"/>
  <c r="W37" i="1" a="1"/>
  <c r="W37" i="1" s="1"/>
  <c r="W38" i="1" a="1"/>
  <c r="W38" i="1" s="1"/>
  <c r="W43" i="1" a="1"/>
  <c r="W43" i="1" s="1"/>
  <c r="W44" i="1" a="1"/>
  <c r="W44" i="1" s="1"/>
  <c r="W49" i="1" a="1"/>
  <c r="W49" i="1" s="1"/>
  <c r="W50" i="1" a="1"/>
  <c r="W50" i="1" s="1"/>
  <c r="W52" i="1" a="1"/>
  <c r="W52" i="1" s="1"/>
  <c r="W53" i="1" a="1"/>
  <c r="W53" i="1" s="1"/>
  <c r="W54" i="1" a="1"/>
  <c r="W54" i="1" s="1"/>
  <c r="W65" i="1" a="1"/>
  <c r="W65" i="1" s="1"/>
  <c r="W69" i="1" a="1"/>
  <c r="W69" i="1" s="1"/>
  <c r="W71" i="1" a="1"/>
  <c r="W71" i="1" s="1"/>
  <c r="W78" i="1" a="1"/>
  <c r="W78" i="1" s="1"/>
  <c r="W88" i="1" a="1"/>
  <c r="W88" i="1" s="1"/>
  <c r="W90" i="1" a="1"/>
  <c r="W90" i="1" s="1"/>
  <c r="W91" i="1" a="1"/>
  <c r="W91" i="1" s="1"/>
  <c r="W94" i="1" a="1"/>
  <c r="W94" i="1" s="1"/>
  <c r="W96" i="1" a="1"/>
  <c r="W96" i="1" s="1"/>
  <c r="W100" i="1" a="1"/>
  <c r="W100" i="1" s="1"/>
  <c r="W101" i="1" a="1"/>
  <c r="W101" i="1" s="1"/>
  <c r="W103" i="1" a="1"/>
  <c r="W103" i="1" s="1"/>
  <c r="W104" i="1" a="1"/>
  <c r="W104" i="1" s="1"/>
  <c r="W106" i="1" a="1"/>
  <c r="W106" i="1" s="1"/>
  <c r="W107" i="1" a="1"/>
  <c r="W107" i="1" s="1"/>
  <c r="W108" i="1" a="1"/>
  <c r="W108" i="1" s="1"/>
  <c r="W110" i="1" a="1"/>
  <c r="W110" i="1" s="1"/>
  <c r="W113" i="1" a="1"/>
  <c r="W113" i="1" s="1"/>
  <c r="W115" i="1" a="1"/>
  <c r="W115" i="1" s="1"/>
  <c r="W119" i="1" a="1"/>
  <c r="W119" i="1" s="1"/>
  <c r="W120" i="1" a="1"/>
  <c r="W120" i="1" s="1"/>
  <c r="W121" i="1" a="1"/>
  <c r="W121" i="1" s="1"/>
  <c r="W129" i="1" a="1"/>
  <c r="W129" i="1" s="1"/>
  <c r="W3" i="1" a="1"/>
  <c r="W3" i="1" s="1"/>
  <c r="N116" i="1" a="1"/>
  <c r="V107" i="1" a="1"/>
  <c r="N42" i="1" a="1"/>
  <c r="V37" i="1" a="1"/>
  <c r="N50" i="1" a="1"/>
  <c r="N102" i="1" a="1"/>
  <c r="N69" i="1" a="1"/>
  <c r="V16" i="1" a="1"/>
  <c r="V10" i="1" a="1"/>
  <c r="M112" i="1" a="1"/>
  <c r="N100" i="1" a="1"/>
  <c r="V40" i="1" a="1"/>
  <c r="V23" i="1" a="1"/>
  <c r="N68" i="1" a="1"/>
  <c r="V70" i="1" a="1"/>
  <c r="V52" i="1" a="1"/>
  <c r="N107" i="1" a="1"/>
  <c r="N86" i="1" a="1"/>
  <c r="N30" i="1" a="1"/>
  <c r="N74" i="1" a="1"/>
  <c r="V73" i="1" a="1"/>
  <c r="V128" i="1" a="1"/>
  <c r="O48" i="1" a="1"/>
  <c r="N78" i="1" a="1"/>
  <c r="O95" i="1" a="1"/>
  <c r="V66" i="1" a="1"/>
  <c r="N13" i="1" a="1"/>
  <c r="N122" i="1" a="1"/>
  <c r="V12" i="1" a="1"/>
  <c r="V67" i="1" a="1"/>
  <c r="V21" i="1" a="1"/>
  <c r="O21" i="1" a="1"/>
  <c r="V90" i="1" a="1"/>
  <c r="N119" i="1" a="1"/>
  <c r="N36" i="1" a="1"/>
  <c r="V125" i="1" a="1"/>
  <c r="N5" i="1" a="1"/>
  <c r="V111" i="1" a="1"/>
  <c r="N29" i="1" a="1"/>
  <c r="N82" i="1" a="1"/>
  <c r="N130" i="1" a="1"/>
  <c r="O17" i="1" a="1"/>
  <c r="N19" i="1" a="1"/>
  <c r="V32" i="1" a="1"/>
  <c r="N18" i="1" a="1"/>
  <c r="V43" i="1" a="1"/>
  <c r="O87" i="1" a="1"/>
  <c r="N110" i="1" a="1"/>
  <c r="N79" i="1" a="1"/>
  <c r="N118" i="1" a="1"/>
  <c r="N44" i="1" a="1"/>
  <c r="V88" i="1" a="1"/>
  <c r="N70" i="1" a="1"/>
  <c r="N49" i="1" a="1"/>
  <c r="V82" i="1" a="1"/>
  <c r="V30" i="1" a="1"/>
  <c r="V29" i="1" a="1"/>
  <c r="N123" i="1" a="1"/>
  <c r="V121" i="1" a="1"/>
  <c r="V51" i="1" a="1"/>
  <c r="V24" i="1" a="1"/>
  <c r="N71" i="1" a="1"/>
  <c r="N16" i="1" a="1"/>
  <c r="M21" i="1" a="1"/>
  <c r="V13" i="1" a="1"/>
  <c r="N54" i="1" a="1"/>
  <c r="N56" i="1" a="1"/>
  <c r="N106" i="1" a="1"/>
  <c r="N67" i="1" a="1"/>
  <c r="N10" i="1" a="1"/>
  <c r="N11" i="1" a="1"/>
  <c r="N99" i="1" a="1"/>
  <c r="N92" i="1" a="1"/>
  <c r="V44" i="1" a="1"/>
  <c r="M17" i="1" a="1"/>
  <c r="V103" i="1" a="1"/>
  <c r="V35" i="1" a="1"/>
  <c r="V120" i="1" a="1"/>
  <c r="N84" i="1" a="1"/>
  <c r="V38" i="1" a="1"/>
  <c r="O129" i="1" a="1"/>
  <c r="N41" i="1" a="1"/>
  <c r="N46" i="1" a="1"/>
  <c r="V86" i="1" a="1"/>
  <c r="O75" i="1" a="1"/>
  <c r="M84" i="1" a="1"/>
  <c r="N103" i="1" a="1"/>
  <c r="V11" i="1" a="1"/>
  <c r="V112" i="1" a="1"/>
  <c r="O3" i="1" a="1"/>
  <c r="M103" i="1" a="1"/>
  <c r="M129" i="1" a="1"/>
  <c r="V50" i="1" a="1"/>
  <c r="V75" i="1" a="1"/>
  <c r="N96" i="1" a="1"/>
  <c r="N129" i="1" a="1"/>
  <c r="N73" i="1" a="1"/>
  <c r="N57" i="1" a="1"/>
  <c r="V69" i="1" a="1"/>
  <c r="N80" i="1" a="1"/>
  <c r="N53" i="1" a="1"/>
  <c r="N31" i="1" a="1"/>
  <c r="N25" i="1" a="1"/>
  <c r="N108" i="1" a="1"/>
  <c r="V92" i="1" a="1"/>
  <c r="N115" i="1" a="1"/>
  <c r="N128" i="1" a="1"/>
  <c r="V49" i="1" a="1"/>
  <c r="V36" i="1" a="1"/>
  <c r="V65" i="1" a="1"/>
  <c r="V126" i="1" a="1"/>
  <c r="V48" i="1" a="1"/>
  <c r="V8" i="1" a="1"/>
  <c r="V27" i="1" a="1"/>
  <c r="N105" i="1" a="1"/>
  <c r="V133" i="1" a="1"/>
  <c r="N81" i="1" a="1"/>
  <c r="N26" i="1" a="1"/>
  <c r="N72" i="1" a="1"/>
  <c r="N51" i="1" a="1"/>
  <c r="V9" i="1" a="1"/>
  <c r="V124" i="1" a="1"/>
  <c r="V81" i="1" a="1"/>
  <c r="N120" i="1" a="1"/>
  <c r="V96" i="1" a="1"/>
  <c r="V4" i="1" a="1"/>
  <c r="N121" i="1" a="1"/>
  <c r="N6" i="1" a="1"/>
  <c r="N117" i="1" a="1"/>
  <c r="N127" i="1" a="1"/>
  <c r="V17" i="1" a="1"/>
  <c r="N58" i="1" a="1"/>
  <c r="O103" i="1" a="1"/>
  <c r="V79" i="1" a="1"/>
  <c r="V97" i="1" a="1"/>
  <c r="N22" i="1" a="1"/>
  <c r="M3" i="1" a="1"/>
  <c r="V71" i="1" a="1"/>
  <c r="N91" i="1" a="1"/>
  <c r="N104" i="1" a="1"/>
  <c r="V99" i="1" a="1"/>
  <c r="V74" i="1" a="1"/>
  <c r="N124" i="1" a="1"/>
  <c r="V68" i="1" a="1"/>
  <c r="V114" i="1" a="1"/>
  <c r="N97" i="1" a="1"/>
  <c r="V102" i="1" a="1"/>
  <c r="V78" i="1" a="1"/>
  <c r="V15" i="1" a="1"/>
  <c r="N47" i="1" a="1"/>
  <c r="V122" i="1" a="1"/>
  <c r="V72" i="1" a="1"/>
  <c r="V34" i="1" a="1"/>
  <c r="N55" i="1" a="1"/>
  <c r="V42" i="1" a="1"/>
  <c r="N98" i="1" a="1"/>
  <c r="V47" i="1" a="1"/>
  <c r="N12" i="1" a="1"/>
  <c r="V100" i="1" a="1"/>
  <c r="V33" i="1" a="1"/>
  <c r="N3" i="1" a="1"/>
  <c r="N125" i="1" a="1"/>
  <c r="N24" i="1" a="1"/>
  <c r="V3" i="1" a="1"/>
  <c r="V5" i="1" a="1"/>
  <c r="N60" i="1" a="1"/>
  <c r="N40" i="1" a="1"/>
  <c r="V84" i="1" a="1"/>
  <c r="V39" i="1" a="1"/>
  <c r="V56" i="1" a="1"/>
  <c r="V58" i="1" a="1"/>
  <c r="N114" i="1" a="1"/>
  <c r="N66" i="1" a="1"/>
  <c r="M75" i="1" a="1"/>
  <c r="M26" i="1" a="1"/>
  <c r="N9" i="1" a="1"/>
  <c r="N15" i="1" a="1"/>
  <c r="V109" i="1" a="1"/>
  <c r="N90" i="1" a="1"/>
  <c r="V60" i="1" a="1"/>
  <c r="V94" i="1" a="1"/>
  <c r="V117" i="1" a="1"/>
  <c r="N101" i="1" a="1"/>
  <c r="V45" i="1" a="1"/>
  <c r="N28" i="1" a="1"/>
  <c r="V57" i="1" a="1"/>
  <c r="O84" i="1" a="1"/>
  <c r="N113" i="1" a="1"/>
  <c r="V41" i="1" a="1"/>
  <c r="V98" i="1" a="1"/>
  <c r="N126" i="1" a="1"/>
  <c r="V105" i="1" a="1"/>
  <c r="N95" i="1" a="1"/>
  <c r="M95" i="1" a="1"/>
  <c r="V127" i="1" a="1"/>
  <c r="V130" i="1" a="1"/>
  <c r="V87" i="1" a="1"/>
  <c r="V118" i="1" a="1"/>
  <c r="N48" i="1" a="1"/>
  <c r="O43" i="1" a="1"/>
  <c r="O112" i="1" a="1"/>
  <c r="N75" i="1" a="1"/>
  <c r="V31" i="1" a="1"/>
  <c r="N43" i="1" a="1"/>
  <c r="V26" i="1" a="1"/>
  <c r="N20" i="1" a="1"/>
  <c r="N32" i="1" a="1"/>
  <c r="O26" i="1" a="1"/>
  <c r="N112" i="1" a="1"/>
  <c r="N38" i="1" a="1"/>
  <c r="N35" i="1" a="1"/>
  <c r="V6" i="1" a="1"/>
  <c r="V116" i="1" a="1"/>
  <c r="N109" i="1" a="1"/>
  <c r="V119" i="1" a="1"/>
  <c r="N37" i="1" a="1"/>
  <c r="V123" i="1" a="1"/>
  <c r="N7" i="1" a="1"/>
  <c r="M87" i="1" a="1"/>
  <c r="N34" i="1" a="1"/>
  <c r="N94" i="1" a="1"/>
  <c r="N83" i="1" a="1"/>
  <c r="N111" i="1" a="1"/>
  <c r="N59" i="1" a="1"/>
  <c r="N39" i="1" a="1"/>
  <c r="N27" i="1" a="1"/>
  <c r="V95" i="1" a="1"/>
  <c r="V46" i="1" a="1"/>
  <c r="V91" i="1" a="1"/>
  <c r="V129" i="1" a="1"/>
  <c r="N33" i="1" a="1"/>
  <c r="V7" i="1" a="1"/>
  <c r="V83" i="1" a="1"/>
  <c r="V22" i="1" a="1"/>
  <c r="N8" i="1" a="1"/>
  <c r="V80" i="1" a="1"/>
  <c r="V19" i="1" a="1"/>
  <c r="N52" i="1" a="1"/>
  <c r="N23" i="1" a="1"/>
  <c r="N87" i="1" a="1"/>
  <c r="N14" i="1" a="1"/>
  <c r="V55" i="1" a="1"/>
  <c r="N88" i="1" a="1"/>
  <c r="N17" i="1" a="1"/>
  <c r="N45" i="1" a="1"/>
  <c r="N21" i="1" a="1"/>
  <c r="N65" i="1" a="1"/>
  <c r="N4" i="1" a="1"/>
  <c r="V14" i="1" a="1"/>
  <c r="V3" i="1" l="1"/>
  <c r="V133" i="1"/>
  <c r="V124" i="1"/>
  <c r="V116" i="1"/>
  <c r="V102" i="1"/>
  <c r="V97" i="1"/>
  <c r="V82" i="1"/>
  <c r="V79" i="1"/>
  <c r="V60" i="1"/>
  <c r="V127" i="1"/>
  <c r="V123" i="1"/>
  <c r="V119" i="1"/>
  <c r="V114" i="1"/>
  <c r="V107" i="1"/>
  <c r="V100" i="1"/>
  <c r="V96" i="1"/>
  <c r="V91" i="1"/>
  <c r="V86" i="1"/>
  <c r="V81" i="1"/>
  <c r="V78" i="1"/>
  <c r="V72" i="1"/>
  <c r="V68" i="1"/>
  <c r="V55" i="1"/>
  <c r="V49" i="1"/>
  <c r="V45" i="1"/>
  <c r="V42" i="1"/>
  <c r="V38" i="1"/>
  <c r="V34" i="1"/>
  <c r="V30" i="1"/>
  <c r="V24" i="1"/>
  <c r="V19" i="1"/>
  <c r="V130" i="1"/>
  <c r="V122" i="1"/>
  <c r="V105" i="1"/>
  <c r="V95" i="1"/>
  <c r="V84" i="1"/>
  <c r="V75" i="1"/>
  <c r="V67" i="1"/>
  <c r="V58" i="1"/>
  <c r="V48" i="1"/>
  <c r="V44" i="1"/>
  <c r="V41" i="1"/>
  <c r="V37" i="1"/>
  <c r="V33" i="1"/>
  <c r="V29" i="1"/>
  <c r="V23" i="1"/>
  <c r="V126" i="1"/>
  <c r="V118" i="1"/>
  <c r="V112" i="1"/>
  <c r="V99" i="1"/>
  <c r="V90" i="1"/>
  <c r="V80" i="1"/>
  <c r="V71" i="1"/>
  <c r="V52" i="1"/>
  <c r="V129" i="1"/>
  <c r="V117" i="1"/>
  <c r="V103" i="1"/>
  <c r="V94" i="1"/>
  <c r="V83" i="1"/>
  <c r="V74" i="1"/>
  <c r="V70" i="1"/>
  <c r="V66" i="1"/>
  <c r="V51" i="1"/>
  <c r="V47" i="1"/>
  <c r="V43" i="1"/>
  <c r="V40" i="1"/>
  <c r="V36" i="1"/>
  <c r="V32" i="1"/>
  <c r="V27" i="1"/>
  <c r="V22" i="1"/>
  <c r="V125" i="1"/>
  <c r="V121" i="1"/>
  <c r="V111" i="1"/>
  <c r="V98" i="1"/>
  <c r="V88" i="1"/>
  <c r="V57" i="1"/>
  <c r="V128" i="1"/>
  <c r="V120" i="1"/>
  <c r="V109" i="1"/>
  <c r="V92" i="1"/>
  <c r="V87" i="1"/>
  <c r="V73" i="1"/>
  <c r="V69" i="1"/>
  <c r="V56" i="1"/>
  <c r="V50" i="1"/>
  <c r="V46" i="1"/>
  <c r="V39" i="1"/>
  <c r="V35" i="1"/>
  <c r="V31" i="1"/>
  <c r="V26" i="1"/>
  <c r="V21" i="1"/>
  <c r="N48" i="1"/>
  <c r="N95" i="1"/>
  <c r="N34" i="1"/>
  <c r="N122" i="1"/>
  <c r="V15" i="1"/>
  <c r="N52" i="1"/>
  <c r="N50" i="1"/>
  <c r="M129" i="1"/>
  <c r="O3" i="1"/>
  <c r="N123" i="1"/>
  <c r="N116" i="1"/>
  <c r="N28" i="1"/>
  <c r="M17" i="1"/>
  <c r="V8" i="1"/>
  <c r="V12" i="1"/>
  <c r="N44" i="1"/>
  <c r="N14" i="1"/>
  <c r="N7" i="1"/>
  <c r="N3" i="1"/>
  <c r="N120" i="1"/>
  <c r="N125" i="1"/>
  <c r="N126" i="1"/>
  <c r="N124" i="1"/>
  <c r="N129" i="1"/>
  <c r="O129" i="1"/>
  <c r="V17" i="1"/>
  <c r="V11" i="1"/>
  <c r="N43" i="1"/>
  <c r="N107" i="1"/>
  <c r="N40" i="1"/>
  <c r="N86" i="1"/>
  <c r="N72" i="1"/>
  <c r="N5" i="1"/>
  <c r="N53" i="1"/>
  <c r="N101" i="1"/>
  <c r="N38" i="1"/>
  <c r="N11" i="1"/>
  <c r="N66" i="1"/>
  <c r="N102" i="1"/>
  <c r="N31" i="1"/>
  <c r="O75" i="1"/>
  <c r="O112" i="1"/>
  <c r="O17" i="1"/>
  <c r="V6" i="1"/>
  <c r="N128" i="1"/>
  <c r="N56" i="1"/>
  <c r="N121" i="1"/>
  <c r="N88" i="1"/>
  <c r="O43" i="1"/>
  <c r="N24" i="1"/>
  <c r="N22" i="1"/>
  <c r="N15" i="1"/>
  <c r="N103" i="1"/>
  <c r="N49" i="1"/>
  <c r="N29" i="1"/>
  <c r="M75" i="1"/>
  <c r="V13" i="1"/>
  <c r="V4" i="1"/>
  <c r="N67" i="1"/>
  <c r="N111" i="1"/>
  <c r="N71" i="1"/>
  <c r="N96" i="1"/>
  <c r="N16" i="1"/>
  <c r="N81" i="1"/>
  <c r="N33" i="1"/>
  <c r="N65" i="1"/>
  <c r="N105" i="1"/>
  <c r="N32" i="1"/>
  <c r="N45" i="1"/>
  <c r="N19" i="1"/>
  <c r="N70" i="1"/>
  <c r="N106" i="1"/>
  <c r="N8" i="1"/>
  <c r="N39" i="1"/>
  <c r="M84" i="1"/>
  <c r="O103" i="1"/>
  <c r="M21" i="1"/>
  <c r="N90" i="1"/>
  <c r="V10" i="1"/>
  <c r="N4" i="1"/>
  <c r="N55" i="1"/>
  <c r="M3" i="1"/>
  <c r="N68" i="1"/>
  <c r="N87" i="1"/>
  <c r="N94" i="1"/>
  <c r="V7" i="1"/>
  <c r="N78" i="1"/>
  <c r="N47" i="1"/>
  <c r="N30" i="1"/>
  <c r="N98" i="1"/>
  <c r="N130" i="1"/>
  <c r="V5" i="1"/>
  <c r="V16" i="1"/>
  <c r="N80" i="1"/>
  <c r="N115" i="1"/>
  <c r="N25" i="1"/>
  <c r="N100" i="1"/>
  <c r="N51" i="1"/>
  <c r="N91" i="1"/>
  <c r="N10" i="1"/>
  <c r="N69" i="1"/>
  <c r="N109" i="1"/>
  <c r="N59" i="1"/>
  <c r="N57" i="1"/>
  <c r="N27" i="1"/>
  <c r="N74" i="1"/>
  <c r="N110" i="1"/>
  <c r="N36" i="1"/>
  <c r="N54" i="1"/>
  <c r="M87" i="1"/>
  <c r="O95" i="1"/>
  <c r="M26" i="1"/>
  <c r="N37" i="1"/>
  <c r="N127" i="1"/>
  <c r="N82" i="1"/>
  <c r="N46" i="1"/>
  <c r="M112" i="1"/>
  <c r="N99" i="1"/>
  <c r="N42" i="1"/>
  <c r="N9" i="1"/>
  <c r="O48" i="1"/>
  <c r="N12" i="1"/>
  <c r="N60" i="1"/>
  <c r="N97" i="1"/>
  <c r="N58" i="1"/>
  <c r="N23" i="1"/>
  <c r="V14" i="1"/>
  <c r="V9" i="1"/>
  <c r="N84" i="1"/>
  <c r="N119" i="1"/>
  <c r="N41" i="1"/>
  <c r="N108" i="1"/>
  <c r="N13" i="1"/>
  <c r="N104" i="1"/>
  <c r="N18" i="1"/>
  <c r="N73" i="1"/>
  <c r="N113" i="1"/>
  <c r="N21" i="1"/>
  <c r="N92" i="1"/>
  <c r="N35" i="1"/>
  <c r="N114" i="1"/>
  <c r="N75" i="1"/>
  <c r="O21" i="1"/>
  <c r="M95" i="1"/>
  <c r="O87" i="1"/>
  <c r="N112" i="1"/>
  <c r="N26" i="1"/>
  <c r="N79" i="1"/>
  <c r="N117" i="1"/>
  <c r="N6" i="1"/>
  <c r="N20" i="1"/>
  <c r="N83" i="1"/>
  <c r="N118" i="1"/>
  <c r="N17" i="1"/>
  <c r="O26" i="1"/>
  <c r="M103" i="1"/>
  <c r="O84" i="1"/>
  <c r="V65" i="1"/>
  <c r="W75" i="1" a="1"/>
  <c r="W57" i="1" a="1"/>
  <c r="X67" i="1" a="1"/>
  <c r="W11" i="1" a="1"/>
  <c r="X80" i="1" a="1"/>
  <c r="X6" i="1" a="1"/>
  <c r="X39" i="1" a="1"/>
  <c r="X111" i="1" a="1"/>
  <c r="X127" i="1" a="1"/>
  <c r="X38" i="1" a="1"/>
  <c r="X69" i="1" a="1"/>
  <c r="X73" i="1" a="1"/>
  <c r="X49" i="1" a="1"/>
  <c r="X92" i="1" a="1"/>
  <c r="W133" i="1" a="1"/>
  <c r="X36" i="1" a="1"/>
  <c r="X45" i="1" a="1"/>
  <c r="W84" i="1" a="1"/>
  <c r="W59" i="1" a="1"/>
  <c r="W123" i="1" a="1"/>
  <c r="X70" i="1" a="1"/>
  <c r="W26" i="1" a="1"/>
  <c r="X51" i="1" a="1"/>
  <c r="W6" i="1" a="1"/>
  <c r="W51" i="1" a="1"/>
  <c r="X81" i="1" a="1"/>
  <c r="W79" i="1" a="1"/>
  <c r="X125" i="1" a="1"/>
  <c r="X14" i="1" a="1"/>
  <c r="X66" i="1" a="1"/>
  <c r="X19" i="1" a="1"/>
  <c r="W17" i="1" a="1"/>
  <c r="W118" i="1" a="1"/>
  <c r="X8" i="1" a="1"/>
  <c r="W16" i="1" a="1"/>
  <c r="W117" i="1" a="1"/>
  <c r="X7" i="1" a="1"/>
  <c r="W112" i="1" a="1"/>
  <c r="W5" i="1" a="1"/>
  <c r="W10" i="1" a="1"/>
  <c r="X118" i="1" a="1"/>
  <c r="W34" i="1" a="1"/>
  <c r="X47" i="1" a="1"/>
  <c r="X128" i="1" a="1"/>
  <c r="X87" i="1" a="1"/>
  <c r="X91" i="1" a="1"/>
  <c r="X42" i="1" a="1"/>
  <c r="W15" i="1" a="1"/>
  <c r="X109" i="1" a="1"/>
  <c r="W70" i="1" a="1"/>
  <c r="X35" i="1" a="1"/>
  <c r="W111" i="1" a="1"/>
  <c r="W66" i="1" a="1"/>
  <c r="W12" i="1" a="1"/>
  <c r="X43" i="1" a="1"/>
  <c r="W102" i="1" a="1"/>
  <c r="W126" i="1" a="1"/>
  <c r="W45" i="1" a="1"/>
  <c r="W32" i="1" a="1"/>
  <c r="X97" i="1" a="1"/>
  <c r="W29" i="1" a="1"/>
  <c r="X68" i="1" a="1"/>
  <c r="X23" i="1" a="1"/>
  <c r="W58" i="1" a="1"/>
  <c r="W30" i="1" a="1"/>
  <c r="X90" i="1" a="1"/>
  <c r="X4" i="1" a="1"/>
  <c r="X59" i="1" a="1"/>
  <c r="X37" i="1" a="1"/>
  <c r="X13" i="1" a="1"/>
  <c r="X27" i="1" a="1"/>
  <c r="X99" i="1" a="1"/>
  <c r="X40" i="1" a="1"/>
  <c r="W81" i="1" a="1"/>
  <c r="X57" i="1" a="1"/>
  <c r="X52" i="1" a="1"/>
  <c r="X129" i="1" a="1"/>
  <c r="X22" i="1" a="1"/>
  <c r="W46" i="1" a="1"/>
  <c r="X120" i="1" a="1"/>
  <c r="W13" i="1" a="1"/>
  <c r="W42" i="1" a="1"/>
  <c r="X124" i="1" a="1"/>
  <c r="X78" i="1" a="1"/>
  <c r="X83" i="1" a="1"/>
  <c r="X50" i="1" a="1"/>
  <c r="X98" i="1" a="1"/>
  <c r="W99" i="1" a="1"/>
  <c r="X48" i="1" a="1"/>
  <c r="X33" i="1" a="1"/>
  <c r="X79" i="1" a="1"/>
  <c r="X3" i="1" a="1"/>
  <c r="X107" i="1" a="1"/>
  <c r="X123" i="1" a="1"/>
  <c r="W24" i="1" a="1"/>
  <c r="X112" i="1" a="1"/>
  <c r="X15" i="1" a="1"/>
  <c r="X55" i="1" a="1"/>
  <c r="W7" i="1" a="1"/>
  <c r="X29" i="1" a="1"/>
  <c r="X26" i="1" a="1"/>
  <c r="W128" i="1" a="1"/>
  <c r="W130" i="1" a="1"/>
  <c r="W33" i="1" a="1"/>
  <c r="X121" i="1" a="1"/>
  <c r="X122" i="1" a="1"/>
  <c r="W122" i="1" a="1"/>
  <c r="W116" i="1" a="1"/>
  <c r="W55" i="1" a="1"/>
  <c r="X88" i="1" a="1"/>
  <c r="W82" i="1" a="1"/>
  <c r="X84" i="1" a="1"/>
  <c r="X103" i="1" a="1"/>
  <c r="W87" i="1" a="1"/>
  <c r="X31" i="1" a="1"/>
  <c r="X58" i="1" a="1"/>
  <c r="X95" i="1" a="1"/>
  <c r="X102" i="1" a="1"/>
  <c r="X32" i="1" a="1"/>
  <c r="X72" i="1" a="1"/>
  <c r="W95" i="1" a="1"/>
  <c r="X117" i="1" a="1"/>
  <c r="X130" i="1" a="1"/>
  <c r="W124" i="1" a="1"/>
  <c r="W31" i="1" a="1"/>
  <c r="W97" i="1" a="1"/>
  <c r="W80" i="1" a="1"/>
  <c r="W114" i="1" a="1"/>
  <c r="X105" i="1" a="1"/>
  <c r="X44" i="1" a="1"/>
  <c r="X74" i="1" a="1"/>
  <c r="X12" i="1" a="1"/>
  <c r="W23" i="1" a="1"/>
  <c r="W14" i="1" a="1"/>
  <c r="W109" i="1" a="1"/>
  <c r="W19" i="1" a="1"/>
  <c r="W36" i="1" a="1"/>
  <c r="X11" i="1" a="1"/>
  <c r="W48" i="1" a="1"/>
  <c r="W127" i="1" a="1"/>
  <c r="W56" i="1" a="1"/>
  <c r="W125" i="1" a="1"/>
  <c r="X71" i="1" a="1"/>
  <c r="X100" i="1" a="1"/>
  <c r="X5" i="1" a="1"/>
  <c r="X96" i="1" a="1"/>
  <c r="X94" i="1" a="1"/>
  <c r="W35" i="1" a="1"/>
  <c r="W74" i="1" a="1"/>
  <c r="W72" i="1" a="1"/>
  <c r="W60" i="1" a="1"/>
  <c r="X10" i="1" a="1"/>
  <c r="W83" i="1" a="1"/>
  <c r="X34" i="1" a="1"/>
  <c r="X30" i="1" a="1"/>
  <c r="X116" i="1" a="1"/>
  <c r="W67" i="1" a="1"/>
  <c r="X56" i="1" a="1"/>
  <c r="X17" i="1" a="1"/>
  <c r="X133" i="1" a="1"/>
  <c r="W86" i="1" a="1"/>
  <c r="X119" i="1" a="1"/>
  <c r="X9" i="1" a="1"/>
  <c r="X86" i="1" a="1"/>
  <c r="W98" i="1" a="1"/>
  <c r="W47" i="1" a="1"/>
  <c r="X46" i="1" a="1"/>
  <c r="X21" i="1" a="1"/>
  <c r="X82" i="1" a="1"/>
  <c r="X75" i="1" a="1"/>
  <c r="X114" i="1" a="1"/>
  <c r="X65" i="1" a="1"/>
  <c r="X24" i="1" a="1"/>
  <c r="W73" i="1" a="1"/>
  <c r="X126" i="1" a="1"/>
  <c r="X41" i="1" a="1"/>
  <c r="W105" i="1" a="1"/>
  <c r="W68" i="1" a="1"/>
  <c r="X16" i="1" a="1"/>
  <c r="W92" i="1" a="1"/>
  <c r="W9" i="1" a="1"/>
  <c r="W39" i="1" a="1"/>
  <c r="W40" i="1" a="1"/>
  <c r="X60" i="1" a="1"/>
  <c r="W86" i="1" l="1"/>
  <c r="W48" i="1"/>
  <c r="X133" i="1"/>
  <c r="W133" i="1"/>
  <c r="W23" i="1"/>
  <c r="W55" i="1"/>
  <c r="W51" i="1"/>
  <c r="X5" i="1"/>
  <c r="W5" i="1"/>
  <c r="W56" i="1"/>
  <c r="X56" i="1"/>
  <c r="W47" i="1"/>
  <c r="X47" i="1"/>
  <c r="W117" i="1"/>
  <c r="X117" i="1"/>
  <c r="W112" i="1"/>
  <c r="X112" i="1"/>
  <c r="X41" i="1"/>
  <c r="W105" i="1"/>
  <c r="X105" i="1"/>
  <c r="X38" i="1"/>
  <c r="X78" i="1"/>
  <c r="W79" i="1"/>
  <c r="X79" i="1"/>
  <c r="X3" i="1"/>
  <c r="X4" i="1"/>
  <c r="X8" i="1"/>
  <c r="W26" i="1"/>
  <c r="X26" i="1"/>
  <c r="W73" i="1"/>
  <c r="X73" i="1"/>
  <c r="X22" i="1"/>
  <c r="W66" i="1"/>
  <c r="X66" i="1"/>
  <c r="W126" i="1"/>
  <c r="X126" i="1"/>
  <c r="X48" i="1"/>
  <c r="W130" i="1"/>
  <c r="X130" i="1"/>
  <c r="W45" i="1"/>
  <c r="X45" i="1"/>
  <c r="X86" i="1"/>
  <c r="W127" i="1"/>
  <c r="X127" i="1"/>
  <c r="W97" i="1"/>
  <c r="X97" i="1"/>
  <c r="X13" i="1"/>
  <c r="W13" i="1"/>
  <c r="W87" i="1"/>
  <c r="X87" i="1"/>
  <c r="X88" i="1"/>
  <c r="X27" i="1"/>
  <c r="W70" i="1"/>
  <c r="X70" i="1"/>
  <c r="X52" i="1"/>
  <c r="W58" i="1"/>
  <c r="X58" i="1"/>
  <c r="X49" i="1"/>
  <c r="X91" i="1"/>
  <c r="W102" i="1"/>
  <c r="X102" i="1"/>
  <c r="W35" i="1"/>
  <c r="X35" i="1"/>
  <c r="X55" i="1"/>
  <c r="W9" i="1"/>
  <c r="X9" i="1"/>
  <c r="X10" i="1"/>
  <c r="W10" i="1"/>
  <c r="W39" i="1"/>
  <c r="X39" i="1"/>
  <c r="W111" i="1"/>
  <c r="X111" i="1"/>
  <c r="W36" i="1"/>
  <c r="X36" i="1"/>
  <c r="W80" i="1"/>
  <c r="X80" i="1"/>
  <c r="W29" i="1"/>
  <c r="X29" i="1"/>
  <c r="W75" i="1"/>
  <c r="X75" i="1"/>
  <c r="W24" i="1"/>
  <c r="X24" i="1"/>
  <c r="W59" i="1"/>
  <c r="X59" i="1"/>
  <c r="X100" i="1"/>
  <c r="W124" i="1"/>
  <c r="X124" i="1"/>
  <c r="X65" i="1"/>
  <c r="W31" i="1"/>
  <c r="X31" i="1"/>
  <c r="X15" i="1"/>
  <c r="W15" i="1"/>
  <c r="W92" i="1"/>
  <c r="X92" i="1"/>
  <c r="W98" i="1"/>
  <c r="X98" i="1"/>
  <c r="W32" i="1"/>
  <c r="X32" i="1"/>
  <c r="W74" i="1"/>
  <c r="X74" i="1"/>
  <c r="X71" i="1"/>
  <c r="X23" i="1"/>
  <c r="W67" i="1"/>
  <c r="X67" i="1"/>
  <c r="W19" i="1"/>
  <c r="X19" i="1"/>
  <c r="X96" i="1"/>
  <c r="W116" i="1"/>
  <c r="X116" i="1"/>
  <c r="X14" i="1"/>
  <c r="W14" i="1"/>
  <c r="X11" i="1"/>
  <c r="W11" i="1"/>
  <c r="W109" i="1"/>
  <c r="X109" i="1"/>
  <c r="W83" i="1"/>
  <c r="X83" i="1"/>
  <c r="X7" i="1"/>
  <c r="W7" i="1"/>
  <c r="W17" i="1"/>
  <c r="X17" i="1"/>
  <c r="W46" i="1"/>
  <c r="X46" i="1"/>
  <c r="X120" i="1"/>
  <c r="X121" i="1"/>
  <c r="W40" i="1"/>
  <c r="X40" i="1"/>
  <c r="X94" i="1"/>
  <c r="X90" i="1"/>
  <c r="W33" i="1"/>
  <c r="X33" i="1"/>
  <c r="W84" i="1"/>
  <c r="X84" i="1"/>
  <c r="W30" i="1"/>
  <c r="X30" i="1"/>
  <c r="W68" i="1"/>
  <c r="X68" i="1"/>
  <c r="X107" i="1"/>
  <c r="X50" i="1"/>
  <c r="W128" i="1"/>
  <c r="X128" i="1"/>
  <c r="W125" i="1"/>
  <c r="X125" i="1"/>
  <c r="X43" i="1"/>
  <c r="X103" i="1"/>
  <c r="W99" i="1"/>
  <c r="X99" i="1"/>
  <c r="X37" i="1"/>
  <c r="W95" i="1"/>
  <c r="X95" i="1"/>
  <c r="W34" i="1"/>
  <c r="X34" i="1"/>
  <c r="W72" i="1"/>
  <c r="X72" i="1"/>
  <c r="W114" i="1"/>
  <c r="X114" i="1"/>
  <c r="W60" i="1"/>
  <c r="X60" i="1"/>
  <c r="X119" i="1"/>
  <c r="X16" i="1"/>
  <c r="W16" i="1"/>
  <c r="X6" i="1"/>
  <c r="W6" i="1"/>
  <c r="X12" i="1"/>
  <c r="W12" i="1"/>
  <c r="X21" i="1"/>
  <c r="X69" i="1"/>
  <c r="W57" i="1"/>
  <c r="X57" i="1"/>
  <c r="X51" i="1"/>
  <c r="X129" i="1"/>
  <c r="W118" i="1"/>
  <c r="X118" i="1"/>
  <c r="X44" i="1"/>
  <c r="W122" i="1"/>
  <c r="X122" i="1"/>
  <c r="W42" i="1"/>
  <c r="X42" i="1"/>
  <c r="W81" i="1"/>
  <c r="X81" i="1"/>
  <c r="W123" i="1"/>
  <c r="X123" i="1"/>
  <c r="W82" i="1"/>
  <c r="X82" i="1"/>
  <c r="O31" i="1" a="1"/>
  <c r="M31" i="1" a="1"/>
  <c r="O31" i="1" l="1"/>
  <c r="M31" i="1"/>
  <c r="M48" i="1" a="1"/>
  <c r="M43" i="1" a="1"/>
  <c r="M43" i="1" l="1"/>
  <c r="M4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<sst xmlns="http://schemas.openxmlformats.org/spreadsheetml/2006/main" count="3301" uniqueCount="888">
  <si>
    <t>기능1</t>
    <phoneticPr fontId="1" type="noConversion"/>
  </si>
  <si>
    <t>기능2</t>
    <phoneticPr fontId="1" type="noConversion"/>
  </si>
  <si>
    <t>기능3</t>
    <phoneticPr fontId="1" type="noConversion"/>
  </si>
  <si>
    <t>대분류</t>
    <phoneticPr fontId="1" type="noConversion"/>
  </si>
  <si>
    <t>중분류</t>
    <phoneticPr fontId="1" type="noConversion"/>
  </si>
  <si>
    <t>소분류</t>
    <phoneticPr fontId="1" type="noConversion"/>
  </si>
  <si>
    <t>S200</t>
  </si>
  <si>
    <t>In</t>
    <phoneticPr fontId="1" type="noConversion"/>
  </si>
  <si>
    <t>Out</t>
    <phoneticPr fontId="1" type="noConversion"/>
  </si>
  <si>
    <t>email</t>
    <phoneticPr fontId="1" type="noConversion"/>
  </si>
  <si>
    <t>{</t>
    <phoneticPr fontId="1" type="noConversion"/>
  </si>
  <si>
    <t>data:</t>
    <phoneticPr fontId="1" type="noConversion"/>
  </si>
  <si>
    <t xml:space="preserve">value1 : </t>
    <phoneticPr fontId="1" type="noConversion"/>
  </si>
  <si>
    <t>""</t>
    <phoneticPr fontId="1" type="noConversion"/>
  </si>
  <si>
    <t>,</t>
    <phoneticPr fontId="1" type="noConversion"/>
  </si>
  <si>
    <t xml:space="preserve">value2 : </t>
    <phoneticPr fontId="1" type="noConversion"/>
  </si>
  <si>
    <t>items:</t>
    <phoneticPr fontId="1" type="noConversion"/>
  </si>
  <si>
    <t>[</t>
    <phoneticPr fontId="1" type="noConversion"/>
  </si>
  <si>
    <t>{ .. }</t>
    <phoneticPr fontId="1" type="noConversion"/>
  </si>
  <si>
    <t>]</t>
    <phoneticPr fontId="1" type="noConversion"/>
  </si>
  <si>
    <t>vvvvItems:</t>
    <phoneticPr fontId="1" type="noConversion"/>
  </si>
  <si>
    <t>aaaaItems:</t>
    <phoneticPr fontId="1" type="noConversion"/>
  </si>
  <si>
    <t>}</t>
    <phoneticPr fontId="1" type="noConversion"/>
  </si>
  <si>
    <t>valid:true, exist:false</t>
    <phoneticPr fontId="1" type="noConversion"/>
  </si>
  <si>
    <t>email,password</t>
    <phoneticPr fontId="1" type="noConversion"/>
  </si>
  <si>
    <t>S300</t>
  </si>
  <si>
    <t>회원</t>
    <phoneticPr fontId="1" type="noConversion"/>
  </si>
  <si>
    <t>로그인</t>
    <phoneticPr fontId="1" type="noConversion"/>
  </si>
  <si>
    <t>비고</t>
    <phoneticPr fontId="1" type="noConversion"/>
  </si>
  <si>
    <t>S400</t>
    <phoneticPr fontId="1" type="noConversion"/>
  </si>
  <si>
    <t>member_type, auth_id, email, password, name</t>
    <phoneticPr fontId="1" type="noConversion"/>
  </si>
  <si>
    <t>member_type, auth_id, email, password</t>
    <phoneticPr fontId="1" type="noConversion"/>
  </si>
  <si>
    <t>member_type &gt;&gt; { 1:일반회원,2:google,3:facebook,4:apple }</t>
    <phoneticPr fontId="1" type="noConversion"/>
  </si>
  <si>
    <t>가입</t>
    <phoneticPr fontId="1" type="noConversion"/>
  </si>
  <si>
    <t>비밀번호_재설정</t>
    <phoneticPr fontId="1" type="noConversion"/>
  </si>
  <si>
    <t>이메일_확인</t>
    <phoneticPr fontId="1" type="noConversion"/>
  </si>
  <si>
    <t>S600</t>
    <phoneticPr fontId="1" type="noConversion"/>
  </si>
  <si>
    <t>S700</t>
    <phoneticPr fontId="1" type="noConversion"/>
  </si>
  <si>
    <t>email, user_name, user_id ….</t>
    <phoneticPr fontId="1" type="noConversion"/>
  </si>
  <si>
    <t>홈</t>
    <phoneticPr fontId="1" type="noConversion"/>
  </si>
  <si>
    <t>H100</t>
  </si>
  <si>
    <t>H1100</t>
  </si>
  <si>
    <t>-</t>
    <phoneticPr fontId="1" type="noConversion"/>
  </si>
  <si>
    <t>search</t>
    <phoneticPr fontId="1" type="noConversion"/>
  </si>
  <si>
    <t>job_id, job_title, company_id, company_name, reg_date, city, state, saved, order_seq</t>
    <phoneticPr fontId="1" type="noConversion"/>
  </si>
  <si>
    <t xml:space="preserve">job_id, job_title …. </t>
    <phoneticPr fontId="1" type="noConversion"/>
  </si>
  <si>
    <t>공고</t>
    <phoneticPr fontId="1" type="noConversion"/>
  </si>
  <si>
    <t>지역_자동_완성</t>
    <phoneticPr fontId="1" type="noConversion"/>
  </si>
  <si>
    <t>검색_자동_완성</t>
    <phoneticPr fontId="1" type="noConversion"/>
  </si>
  <si>
    <t>지원</t>
    <phoneticPr fontId="1" type="noConversion"/>
  </si>
  <si>
    <t>회사_정보</t>
    <phoneticPr fontId="1" type="noConversion"/>
  </si>
  <si>
    <t>J100</t>
  </si>
  <si>
    <t>J200</t>
  </si>
  <si>
    <t>인터뷰_사용_선택</t>
  </si>
  <si>
    <t>A100</t>
  </si>
  <si>
    <t>정보</t>
    <phoneticPr fontId="1" type="noConversion"/>
  </si>
  <si>
    <t>목록</t>
    <phoneticPr fontId="1" type="noConversion"/>
  </si>
  <si>
    <t>상세</t>
    <phoneticPr fontId="1" type="noConversion"/>
  </si>
  <si>
    <t>검색 목록</t>
    <phoneticPr fontId="1" type="noConversion"/>
  </si>
  <si>
    <t>서류_업로드</t>
    <phoneticPr fontId="1" type="noConversion"/>
  </si>
  <si>
    <t>서류</t>
    <phoneticPr fontId="1" type="noConversion"/>
  </si>
  <si>
    <t>조회</t>
    <phoneticPr fontId="1" type="noConversion"/>
  </si>
  <si>
    <t>서류_제출</t>
    <phoneticPr fontId="1" type="noConversion"/>
  </si>
  <si>
    <t>사용자가 등록한 서류</t>
    <phoneticPr fontId="1" type="noConversion"/>
  </si>
  <si>
    <t>인터뷰_질문_상세</t>
    <phoneticPr fontId="1" type="noConversion"/>
  </si>
  <si>
    <t>공고 : 모집_내용</t>
    <phoneticPr fontId="1" type="noConversion"/>
  </si>
  <si>
    <t>인터뷰_저장</t>
    <phoneticPr fontId="1" type="noConversion"/>
  </si>
  <si>
    <t>A600</t>
  </si>
  <si>
    <t>A400</t>
  </si>
  <si>
    <t>인터뷰_재생</t>
    <phoneticPr fontId="1" type="noConversion"/>
  </si>
  <si>
    <t>A700</t>
  </si>
  <si>
    <t>메시지</t>
  </si>
  <si>
    <t>M100</t>
  </si>
  <si>
    <t>삭제</t>
    <phoneticPr fontId="1" type="noConversion"/>
  </si>
  <si>
    <t>M110</t>
  </si>
  <si>
    <t>기능 확인 필요</t>
    <phoneticPr fontId="1" type="noConversion"/>
  </si>
  <si>
    <t>M200</t>
  </si>
  <si>
    <t>라이브 인터뷰 확인 팝업에의해 처리됨</t>
    <phoneticPr fontId="1" type="noConversion"/>
  </si>
  <si>
    <t>대화창</t>
    <phoneticPr fontId="1" type="noConversion"/>
  </si>
  <si>
    <t>입력</t>
    <phoneticPr fontId="1" type="noConversion"/>
  </si>
  <si>
    <t>라이브_인터뷰_확정</t>
    <phoneticPr fontId="1" type="noConversion"/>
  </si>
  <si>
    <t>완료</t>
    <phoneticPr fontId="1" type="noConversion"/>
  </si>
  <si>
    <t>라이브_인터뷰</t>
  </si>
  <si>
    <t>라이브_인터뷰</t>
    <phoneticPr fontId="1" type="noConversion"/>
  </si>
  <si>
    <t>시작</t>
    <phoneticPr fontId="1" type="noConversion"/>
  </si>
  <si>
    <t>진행</t>
    <phoneticPr fontId="1" type="noConversion"/>
  </si>
  <si>
    <t>가이드</t>
    <phoneticPr fontId="1" type="noConversion"/>
  </si>
  <si>
    <t>L100</t>
  </si>
  <si>
    <t>L200</t>
  </si>
  <si>
    <t>L300</t>
  </si>
  <si>
    <t>개인</t>
    <phoneticPr fontId="1" type="noConversion"/>
  </si>
  <si>
    <t>내정보</t>
  </si>
  <si>
    <t>내정보</t>
    <phoneticPr fontId="1" type="noConversion"/>
  </si>
  <si>
    <t>설정</t>
    <phoneticPr fontId="1" type="noConversion"/>
  </si>
  <si>
    <t>P100</t>
  </si>
  <si>
    <t>지원상세</t>
  </si>
  <si>
    <t>알림설정_메시지</t>
  </si>
  <si>
    <t>알림설정_관심</t>
  </si>
  <si>
    <t>법적_공지</t>
  </si>
  <si>
    <t>개인정보처리방침</t>
  </si>
  <si>
    <t>이용약관</t>
  </si>
  <si>
    <t>쿠키_정책</t>
  </si>
  <si>
    <t>1:1_문의하기</t>
  </si>
  <si>
    <t>이름</t>
    <phoneticPr fontId="1" type="noConversion"/>
  </si>
  <si>
    <t>변경</t>
    <phoneticPr fontId="1" type="noConversion"/>
  </si>
  <si>
    <t>등록</t>
    <phoneticPr fontId="1" type="noConversion"/>
  </si>
  <si>
    <t>내정보_서류_목록</t>
    <phoneticPr fontId="1" type="noConversion"/>
  </si>
  <si>
    <t>P200</t>
  </si>
  <si>
    <t>이메일</t>
    <phoneticPr fontId="1" type="noConversion"/>
  </si>
  <si>
    <t>비밀번호</t>
    <phoneticPr fontId="1" type="noConversion"/>
  </si>
  <si>
    <t>재설정</t>
    <phoneticPr fontId="1" type="noConversion"/>
  </si>
  <si>
    <t>요청</t>
    <phoneticPr fontId="1" type="noConversion"/>
  </si>
  <si>
    <t>이메일 발송으로 비밀번호 변경 링크 전송</t>
    <phoneticPr fontId="1" type="noConversion"/>
  </si>
  <si>
    <t>핸드폰</t>
    <phoneticPr fontId="1" type="noConversion"/>
  </si>
  <si>
    <t>P300</t>
  </si>
  <si>
    <t>Y</t>
    <phoneticPr fontId="1" type="noConversion"/>
  </si>
  <si>
    <t>연결됨</t>
    <phoneticPr fontId="1" type="noConversion"/>
  </si>
  <si>
    <t>P410</t>
  </si>
  <si>
    <t>공고상세</t>
    <phoneticPr fontId="1" type="noConversion"/>
  </si>
  <si>
    <t>확정</t>
    <phoneticPr fontId="1" type="noConversion"/>
  </si>
  <si>
    <t>프로필</t>
    <phoneticPr fontId="1" type="noConversion"/>
  </si>
  <si>
    <t>서류_제출_목록</t>
    <phoneticPr fontId="1" type="noConversion"/>
  </si>
  <si>
    <t>인터뷰_목록</t>
    <phoneticPr fontId="1" type="noConversion"/>
  </si>
  <si>
    <t>One way Interview</t>
  </si>
  <si>
    <t>관심</t>
    <phoneticPr fontId="1" type="noConversion"/>
  </si>
  <si>
    <t>저장</t>
    <phoneticPr fontId="1" type="noConversion"/>
  </si>
  <si>
    <t>Saved</t>
    <phoneticPr fontId="1" type="noConversion"/>
  </si>
  <si>
    <t>라이브_인터뷰_취소</t>
    <phoneticPr fontId="1" type="noConversion"/>
  </si>
  <si>
    <t>취소</t>
    <phoneticPr fontId="1" type="noConversion"/>
  </si>
  <si>
    <t>지원내역</t>
    <phoneticPr fontId="1" type="noConversion"/>
  </si>
  <si>
    <t>P400</t>
  </si>
  <si>
    <t>P500</t>
  </si>
  <si>
    <t>관심공고_목록</t>
    <phoneticPr fontId="1" type="noConversion"/>
  </si>
  <si>
    <t>P600</t>
  </si>
  <si>
    <t>P610</t>
  </si>
  <si>
    <t>P620</t>
  </si>
  <si>
    <t>비기능</t>
    <phoneticPr fontId="1" type="noConversion"/>
  </si>
  <si>
    <t>시스템메일</t>
    <phoneticPr fontId="1" type="noConversion"/>
  </si>
  <si>
    <t>X100</t>
  </si>
  <si>
    <t>X200</t>
  </si>
  <si>
    <t>회원가입_완료</t>
    <phoneticPr fontId="1" type="noConversion"/>
  </si>
  <si>
    <t>기업</t>
    <phoneticPr fontId="1" type="noConversion"/>
  </si>
  <si>
    <t>P630</t>
  </si>
  <si>
    <t>P640</t>
  </si>
  <si>
    <t>P650</t>
  </si>
  <si>
    <t>P660</t>
  </si>
  <si>
    <t>P670</t>
  </si>
  <si>
    <t>로그인</t>
  </si>
  <si>
    <t>S100</t>
  </si>
  <si>
    <t>S200</t>
    <phoneticPr fontId="1" type="noConversion"/>
  </si>
  <si>
    <t>S500</t>
    <phoneticPr fontId="1" type="noConversion"/>
  </si>
  <si>
    <t>H300</t>
  </si>
  <si>
    <t>H200</t>
  </si>
  <si>
    <t>H100</t>
    <phoneticPr fontId="1" type="noConversion"/>
  </si>
  <si>
    <t>지원자</t>
  </si>
  <si>
    <t>목록</t>
  </si>
  <si>
    <t>등록</t>
  </si>
  <si>
    <t>수정</t>
  </si>
  <si>
    <t>복사</t>
  </si>
  <si>
    <t>상세</t>
  </si>
  <si>
    <t>기본_질문_목록</t>
    <phoneticPr fontId="1" type="noConversion"/>
  </si>
  <si>
    <t>H211</t>
  </si>
  <si>
    <t>H230</t>
  </si>
  <si>
    <t>H240</t>
  </si>
  <si>
    <t>마감</t>
    <phoneticPr fontId="1" type="noConversion"/>
  </si>
  <si>
    <t>H400</t>
  </si>
  <si>
    <t>읽음</t>
    <phoneticPr fontId="1" type="noConversion"/>
  </si>
  <si>
    <t>I300</t>
  </si>
  <si>
    <t>M200</t>
    <phoneticPr fontId="1" type="noConversion"/>
  </si>
  <si>
    <t>H500</t>
  </si>
  <si>
    <t>알림설정_메시지</t>
    <phoneticPr fontId="1" type="noConversion"/>
  </si>
  <si>
    <t>추가</t>
  </si>
  <si>
    <t>시작</t>
  </si>
  <si>
    <t>가이드</t>
  </si>
  <si>
    <t>진행</t>
  </si>
  <si>
    <t>I100</t>
  </si>
  <si>
    <t>I200</t>
  </si>
  <si>
    <t>일자</t>
    <phoneticPr fontId="1" type="noConversion"/>
  </si>
  <si>
    <t>수정</t>
    <phoneticPr fontId="1" type="noConversion"/>
  </si>
  <si>
    <t>I400</t>
  </si>
  <si>
    <t>I500</t>
  </si>
  <si>
    <t>I600</t>
  </si>
  <si>
    <t>캘린더</t>
  </si>
  <si>
    <t>C100</t>
  </si>
  <si>
    <t>스케쥴_상세</t>
    <phoneticPr fontId="1" type="noConversion"/>
  </si>
  <si>
    <t>C200</t>
  </si>
  <si>
    <t>라이브_인터뷰 상세와 동일한것 아닌지?</t>
    <phoneticPr fontId="1" type="noConversion"/>
  </si>
  <si>
    <t>E100</t>
  </si>
  <si>
    <t>E200</t>
  </si>
  <si>
    <t>로고</t>
    <phoneticPr fontId="1" type="noConversion"/>
  </si>
  <si>
    <t>업로드</t>
  </si>
  <si>
    <t>사용자</t>
  </si>
  <si>
    <t>추가</t>
    <phoneticPr fontId="1" type="noConversion"/>
  </si>
  <si>
    <t>그룹</t>
    <phoneticPr fontId="1" type="noConversion"/>
  </si>
  <si>
    <t>U100</t>
  </si>
  <si>
    <t>U110</t>
  </si>
  <si>
    <t>U200</t>
  </si>
  <si>
    <t>U210</t>
  </si>
  <si>
    <t>U220</t>
  </si>
  <si>
    <t>로그아웃</t>
    <phoneticPr fontId="1" type="noConversion"/>
  </si>
  <si>
    <t>정책</t>
    <phoneticPr fontId="1" type="noConversion"/>
  </si>
  <si>
    <t>P110</t>
  </si>
  <si>
    <t>업로드</t>
    <phoneticPr fontId="1" type="noConversion"/>
  </si>
  <si>
    <t>프로필_이미지</t>
    <phoneticPr fontId="1" type="noConversion"/>
  </si>
  <si>
    <t>순번</t>
    <phoneticPr fontId="1" type="noConversion"/>
  </si>
  <si>
    <t>화면ID</t>
    <phoneticPr fontId="1" type="noConversion"/>
  </si>
  <si>
    <t>+</t>
    <phoneticPr fontId="1" type="noConversion"/>
  </si>
  <si>
    <t>API 프로토콜</t>
    <phoneticPr fontId="1" type="noConversion"/>
  </si>
  <si>
    <t>Email Check</t>
    <phoneticPr fontId="1" type="noConversion"/>
  </si>
  <si>
    <t>URI</t>
    <phoneticPr fontId="1" type="noConversion"/>
  </si>
  <si>
    <t>가입 이메일인지 확인</t>
    <phoneticPr fontId="1" type="noConversion"/>
  </si>
  <si>
    <t>가입 처리</t>
    <phoneticPr fontId="1" type="noConversion"/>
  </si>
  <si>
    <t>로그인 처리</t>
    <phoneticPr fontId="1" type="noConversion"/>
  </si>
  <si>
    <t>Request Passwd Change</t>
    <phoneticPr fontId="1" type="noConversion"/>
  </si>
  <si>
    <t>Confirm Passwd Change</t>
    <phoneticPr fontId="1" type="noConversion"/>
  </si>
  <si>
    <t>C/R/U/D</t>
    <phoneticPr fontId="1" type="noConversion"/>
  </si>
  <si>
    <t>Comment</t>
    <phoneticPr fontId="1" type="noConversion"/>
  </si>
  <si>
    <t>R</t>
    <phoneticPr fontId="1" type="noConversion"/>
  </si>
  <si>
    <t>C</t>
    <phoneticPr fontId="1" type="noConversion"/>
  </si>
  <si>
    <t>U</t>
    <phoneticPr fontId="1" type="noConversion"/>
  </si>
  <si>
    <t>Name Change</t>
    <phoneticPr fontId="1" type="noConversion"/>
  </si>
  <si>
    <t>POST/GET</t>
    <phoneticPr fontId="1" type="noConversion"/>
  </si>
  <si>
    <t>post</t>
    <phoneticPr fontId="1" type="noConversion"/>
  </si>
  <si>
    <t>get</t>
    <phoneticPr fontId="1" type="noConversion"/>
  </si>
  <si>
    <t>User Info</t>
    <phoneticPr fontId="1" type="noConversion"/>
  </si>
  <si>
    <t>User Create</t>
    <phoneticPr fontId="1" type="noConversion"/>
  </si>
  <si>
    <t>Get Token</t>
    <phoneticPr fontId="1" type="noConversion"/>
  </si>
  <si>
    <t>header</t>
    <phoneticPr fontId="1" type="noConversion"/>
  </si>
  <si>
    <t>none</t>
    <phoneticPr fontId="1" type="noConversion"/>
  </si>
  <si>
    <t>auth_token</t>
    <phoneticPr fontId="1" type="noConversion"/>
  </si>
  <si>
    <t>User List</t>
    <phoneticPr fontId="1" type="noConversion"/>
  </si>
  <si>
    <t>/member/check_email</t>
    <phoneticPr fontId="1" type="noConversion"/>
  </si>
  <si>
    <t>/member/create</t>
    <phoneticPr fontId="1" type="noConversion"/>
  </si>
  <si>
    <t>/member/token</t>
    <phoneticPr fontId="1" type="noConversion"/>
  </si>
  <si>
    <t>/member/passwd</t>
    <phoneticPr fontId="1" type="noConversion"/>
  </si>
  <si>
    <t>/member/passwd/update</t>
    <phoneticPr fontId="1" type="noConversion"/>
  </si>
  <si>
    <t>Document Add</t>
    <phoneticPr fontId="1" type="noConversion"/>
  </si>
  <si>
    <t>Document List</t>
    <phoneticPr fontId="1" type="noConversion"/>
  </si>
  <si>
    <t>/member/:id</t>
    <phoneticPr fontId="1" type="noConversion"/>
  </si>
  <si>
    <t>Contacts Change</t>
    <phoneticPr fontId="1" type="noConversion"/>
  </si>
  <si>
    <t>/member/contacts/update</t>
    <phoneticPr fontId="1" type="noConversion"/>
  </si>
  <si>
    <t>/recruit/list</t>
    <phoneticPr fontId="1" type="noConversion"/>
  </si>
  <si>
    <t>/member/list</t>
    <phoneticPr fontId="1" type="noConversion"/>
  </si>
  <si>
    <t>recruit notification list</t>
    <phoneticPr fontId="1" type="noConversion"/>
  </si>
  <si>
    <t>recruit notification add</t>
    <phoneticPr fontId="1" type="noConversion"/>
  </si>
  <si>
    <t>recruit notification update</t>
    <phoneticPr fontId="1" type="noConversion"/>
  </si>
  <si>
    <t>recruit notification list from userid(company id)</t>
    <phoneticPr fontId="1" type="noConversion"/>
  </si>
  <si>
    <t>검색 조건은 post 데이터로 처리</t>
    <phoneticPr fontId="1" type="noConversion"/>
  </si>
  <si>
    <t>이력 문서</t>
    <phoneticPr fontId="1" type="noConversion"/>
  </si>
  <si>
    <t>/member/doc/list</t>
    <phoneticPr fontId="1" type="noConversion"/>
  </si>
  <si>
    <t>검색 조건 post data</t>
    <phoneticPr fontId="1" type="noConversion"/>
  </si>
  <si>
    <t>/member/doc/list/:memberid</t>
    <phoneticPr fontId="1" type="noConversion"/>
  </si>
  <si>
    <t>/member/doc/add/:memberid</t>
    <phoneticPr fontId="1" type="noConversion"/>
  </si>
  <si>
    <t>/member/doc/update/:memberid</t>
    <phoneticPr fontId="1" type="noConversion"/>
  </si>
  <si>
    <t>/member/doc/delete/:memberid</t>
    <phoneticPr fontId="1" type="noConversion"/>
  </si>
  <si>
    <t>D</t>
    <phoneticPr fontId="1" type="noConversion"/>
  </si>
  <si>
    <t>Document Update</t>
    <phoneticPr fontId="1" type="noConversion"/>
  </si>
  <si>
    <t>Document Delete</t>
    <phoneticPr fontId="1" type="noConversion"/>
  </si>
  <si>
    <t>회사 정보</t>
    <phoneticPr fontId="1" type="noConversion"/>
  </si>
  <si>
    <t>회사 ID는 회원ID와 동일할 수 있음</t>
    <phoneticPr fontId="1" type="noConversion"/>
  </si>
  <si>
    <t>/company/setting/add/:memberid</t>
    <phoneticPr fontId="1" type="noConversion"/>
  </si>
  <si>
    <t>/company/setting/update/:memberid</t>
    <phoneticPr fontId="1" type="noConversion"/>
  </si>
  <si>
    <t>/company/question/add/:memberid</t>
    <phoneticPr fontId="1" type="noConversion"/>
  </si>
  <si>
    <t>인터뷰 질문 목록</t>
    <phoneticPr fontId="1" type="noConversion"/>
  </si>
  <si>
    <t>기본 정보</t>
    <phoneticPr fontId="1" type="noConversion"/>
  </si>
  <si>
    <t>/company/question/delete/:questionid</t>
    <phoneticPr fontId="1" type="noConversion"/>
  </si>
  <si>
    <t>/company/question/update/:questionid</t>
    <phoneticPr fontId="1" type="noConversion"/>
  </si>
  <si>
    <t>/company/setting/:memberid</t>
    <phoneticPr fontId="1" type="noConversion"/>
  </si>
  <si>
    <t>/메인카테고리/하위카테고리/기능/식별자(회원id,회사id,항목id 등)</t>
    <phoneticPr fontId="1" type="noConversion"/>
  </si>
  <si>
    <t>/recruit/:recruitid</t>
    <phoneticPr fontId="1" type="noConversion"/>
  </si>
  <si>
    <t>/company/question/list/:memberid</t>
    <phoneticPr fontId="1" type="noConversion"/>
  </si>
  <si>
    <t>/company/question/use/:memberid</t>
    <phoneticPr fontId="1" type="noConversion"/>
  </si>
  <si>
    <t>/company/question/unuse/:memberid</t>
    <phoneticPr fontId="1" type="noConversion"/>
  </si>
  <si>
    <t>recruit notification detail</t>
    <phoneticPr fontId="1" type="noConversion"/>
  </si>
  <si>
    <t>recruit notification achive</t>
    <phoneticPr fontId="1" type="noConversion"/>
  </si>
  <si>
    <t>/recruit/list/:memberid</t>
    <phoneticPr fontId="1" type="noConversion"/>
  </si>
  <si>
    <t>/recruit/add/:memberid</t>
    <phoneticPr fontId="1" type="noConversion"/>
  </si>
  <si>
    <t>/recruit/update/:memberid/:recruitid</t>
    <phoneticPr fontId="1" type="noConversion"/>
  </si>
  <si>
    <t>post 데이터는 업데이트 항목</t>
    <phoneticPr fontId="1" type="noConversion"/>
  </si>
  <si>
    <t>member/setting/aaa</t>
    <phoneticPr fontId="1" type="noConversion"/>
  </si>
  <si>
    <t>/member/name/update/:memberid</t>
    <phoneticPr fontId="1" type="noConversion"/>
  </si>
  <si>
    <t>URL</t>
    <phoneticPr fontId="1" type="noConversion"/>
  </si>
  <si>
    <t>C/R/U/D</t>
  </si>
  <si>
    <t>R</t>
  </si>
  <si>
    <t>프로토콜명</t>
    <phoneticPr fontId="1" type="noConversion"/>
  </si>
  <si>
    <t>post</t>
  </si>
  <si>
    <t>User Create</t>
  </si>
  <si>
    <t>C</t>
  </si>
  <si>
    <t>가입 처리
member_type &gt;&gt; { 1:일반회원,2:google,3:facebook,4:apple }</t>
    <phoneticPr fontId="1" type="noConversion"/>
  </si>
  <si>
    <t>e</t>
    <phoneticPr fontId="1" type="noConversion"/>
  </si>
  <si>
    <t>Log out</t>
    <phoneticPr fontId="1" type="noConversion"/>
  </si>
  <si>
    <t>U</t>
  </si>
  <si>
    <t>모듈</t>
    <phoneticPr fontId="1" type="noConversion"/>
  </si>
  <si>
    <t>Name Change</t>
  </si>
  <si>
    <t>Contacts Change</t>
  </si>
  <si>
    <t>auth_token</t>
  </si>
  <si>
    <t>/member/name/email/:memberid</t>
    <phoneticPr fontId="1" type="noConversion"/>
  </si>
  <si>
    <t>/member/name/cellphone/:memberid</t>
    <phoneticPr fontId="1" type="noConversion"/>
  </si>
  <si>
    <t>Document Add</t>
  </si>
  <si>
    <t>Document Delete</t>
  </si>
  <si>
    <t>D</t>
  </si>
  <si>
    <t>get</t>
  </si>
  <si>
    <t>Document Update</t>
  </si>
  <si>
    <t>사용자 정보</t>
    <phoneticPr fontId="1" type="noConversion"/>
  </si>
  <si>
    <t>사용자 목록</t>
    <phoneticPr fontId="1" type="noConversion"/>
  </si>
  <si>
    <t>사용자 생성</t>
    <phoneticPr fontId="1" type="noConversion"/>
  </si>
  <si>
    <t>사용자 비밀번호 변경</t>
    <phoneticPr fontId="1" type="noConversion"/>
  </si>
  <si>
    <t>사용자 이메일 체크</t>
    <phoneticPr fontId="1" type="noConversion"/>
  </si>
  <si>
    <t>사용자 로그인</t>
    <phoneticPr fontId="1" type="noConversion"/>
  </si>
  <si>
    <t>사용자 로그아웃</t>
    <phoneticPr fontId="1" type="noConversion"/>
  </si>
  <si>
    <t>사용자 비밀번호 변경 요청</t>
    <phoneticPr fontId="1" type="noConversion"/>
  </si>
  <si>
    <t>?</t>
    <phoneticPr fontId="1" type="noConversion"/>
  </si>
  <si>
    <t>사용자 이메일 변경</t>
    <phoneticPr fontId="1" type="noConversion"/>
  </si>
  <si>
    <t>사용자 핸드폰 변경</t>
    <phoneticPr fontId="1" type="noConversion"/>
  </si>
  <si>
    <t>이력서 문서 목록</t>
    <phoneticPr fontId="1" type="noConversion"/>
  </si>
  <si>
    <t>이력서</t>
    <phoneticPr fontId="1" type="noConversion"/>
  </si>
  <si>
    <t>이력서 삭제</t>
    <phoneticPr fontId="1" type="noConversion"/>
  </si>
  <si>
    <t>회사 생성</t>
    <phoneticPr fontId="1" type="noConversion"/>
  </si>
  <si>
    <t>/company/create</t>
    <phoneticPr fontId="1" type="noConversion"/>
  </si>
  <si>
    <t>회사 사용자 목록</t>
    <phoneticPr fontId="1" type="noConversion"/>
  </si>
  <si>
    <t>회사 사용자 삭제</t>
    <phoneticPr fontId="1" type="noConversion"/>
  </si>
  <si>
    <t>회사 사용자 그룹 변경</t>
    <phoneticPr fontId="1" type="noConversion"/>
  </si>
  <si>
    <t>/company/member/list/:companyid</t>
    <phoneticPr fontId="1" type="noConversion"/>
  </si>
  <si>
    <t>회사 사용자 추가</t>
    <phoneticPr fontId="1" type="noConversion"/>
  </si>
  <si>
    <t>/company/member/create/:companyid</t>
    <phoneticPr fontId="1" type="noConversion"/>
  </si>
  <si>
    <t>recruit notification list</t>
  </si>
  <si>
    <t>recruit notification list from userid</t>
    <phoneticPr fontId="1" type="noConversion"/>
  </si>
  <si>
    <t>recruit notification list from company id</t>
    <phoneticPr fontId="1" type="noConversion"/>
  </si>
  <si>
    <t>/recruit/autocomplete/search</t>
    <phoneticPr fontId="1" type="noConversion"/>
  </si>
  <si>
    <t>/recruit/autocomplete/area</t>
    <phoneticPr fontId="1" type="noConversion"/>
  </si>
  <si>
    <t>공고 목록</t>
    <phoneticPr fontId="1" type="noConversion"/>
  </si>
  <si>
    <t>공고 검색 자동 완성</t>
    <phoneticPr fontId="1" type="noConversion"/>
  </si>
  <si>
    <t>공고 지역 자동 완성</t>
    <phoneticPr fontId="1" type="noConversion"/>
  </si>
  <si>
    <t>공고 정보</t>
    <phoneticPr fontId="1" type="noConversion"/>
  </si>
  <si>
    <t>공고 목록 (기업)</t>
    <phoneticPr fontId="1" type="noConversion"/>
  </si>
  <si>
    <t>공고 삭제</t>
    <phoneticPr fontId="1" type="noConversion"/>
  </si>
  <si>
    <t>공고 마감</t>
    <phoneticPr fontId="1" type="noConversion"/>
  </si>
  <si>
    <t>공고 등록</t>
    <phoneticPr fontId="1" type="noConversion"/>
  </si>
  <si>
    <t>공고 수정</t>
    <phoneticPr fontId="1" type="noConversion"/>
  </si>
  <si>
    <t>공고 복사</t>
    <phoneticPr fontId="1" type="noConversion"/>
  </si>
  <si>
    <t>인터뷰 질문 상세</t>
    <phoneticPr fontId="1" type="noConversion"/>
  </si>
  <si>
    <t>인터뷰 질문 목록</t>
  </si>
  <si>
    <t>인터뷰 질문 상세 (사용자)</t>
    <phoneticPr fontId="1" type="noConversion"/>
  </si>
  <si>
    <t>인터뷰 질문 등록</t>
  </si>
  <si>
    <t>인터뷰 질문 삭제</t>
  </si>
  <si>
    <t>인터뷰 질문 수정</t>
  </si>
  <si>
    <t>인터뷰 질문 수정</t>
    <phoneticPr fontId="1" type="noConversion"/>
  </si>
  <si>
    <t>인터뷰 질문 사용</t>
  </si>
  <si>
    <t>인터뷰 질문 사용</t>
    <phoneticPr fontId="1" type="noConversion"/>
  </si>
  <si>
    <t>인터뷰 질문 미사용</t>
  </si>
  <si>
    <t>인터뷰 질문 미사용</t>
    <phoneticPr fontId="1" type="noConversion"/>
  </si>
  <si>
    <t>인터뷰 삭제</t>
    <phoneticPr fontId="1" type="noConversion"/>
  </si>
  <si>
    <t>인터뷰 정보</t>
    <phoneticPr fontId="1" type="noConversion"/>
  </si>
  <si>
    <t>인터뷰</t>
    <phoneticPr fontId="1" type="noConversion"/>
  </si>
  <si>
    <t>대화창 목록</t>
    <phoneticPr fontId="1" type="noConversion"/>
  </si>
  <si>
    <t>대화창 입력</t>
    <phoneticPr fontId="1" type="noConversion"/>
  </si>
  <si>
    <t>메시지</t>
    <phoneticPr fontId="1" type="noConversion"/>
  </si>
  <si>
    <t>메시지 읽음</t>
    <phoneticPr fontId="1" type="noConversion"/>
  </si>
  <si>
    <t>메시지 삭제</t>
    <phoneticPr fontId="1" type="noConversion"/>
  </si>
  <si>
    <t>메시지 목록</t>
    <phoneticPr fontId="1" type="noConversion"/>
  </si>
  <si>
    <t>그룹 목록</t>
    <phoneticPr fontId="1" type="noConversion"/>
  </si>
  <si>
    <t>그룹 삭제</t>
    <phoneticPr fontId="1" type="noConversion"/>
  </si>
  <si>
    <t>그룹 추가</t>
    <phoneticPr fontId="1" type="noConversion"/>
  </si>
  <si>
    <t>그룹 정보</t>
    <phoneticPr fontId="1" type="noConversion"/>
  </si>
  <si>
    <t>그룹 수정</t>
    <phoneticPr fontId="1" type="noConversion"/>
  </si>
  <si>
    <t>/company/group/list/:companyid</t>
    <phoneticPr fontId="1" type="noConversion"/>
  </si>
  <si>
    <t>/company/group/add/:companyid</t>
    <phoneticPr fontId="1" type="noConversion"/>
  </si>
  <si>
    <t>라이브 인터뷰 참가</t>
    <phoneticPr fontId="1" type="noConversion"/>
  </si>
  <si>
    <t>라이브 인터뷰 취소</t>
    <phoneticPr fontId="1" type="noConversion"/>
  </si>
  <si>
    <t>라이브 인터뷰 시작</t>
    <phoneticPr fontId="1" type="noConversion"/>
  </si>
  <si>
    <t>라이브 인터뷰 가이드</t>
    <phoneticPr fontId="1" type="noConversion"/>
  </si>
  <si>
    <t>라이브 인터뷰 진행</t>
    <phoneticPr fontId="1" type="noConversion"/>
  </si>
  <si>
    <t>라이브 인터뷰 목록</t>
    <phoneticPr fontId="1" type="noConversion"/>
  </si>
  <si>
    <t>라이브 인터뷰 정보</t>
    <phoneticPr fontId="1" type="noConversion"/>
  </si>
  <si>
    <t>인터뷰질문</t>
    <phoneticPr fontId="1" type="noConversion"/>
  </si>
  <si>
    <t>라이브 인터뷰 수정</t>
    <phoneticPr fontId="1" type="noConversion"/>
  </si>
  <si>
    <t>지원 목록</t>
    <phoneticPr fontId="1" type="noConversion"/>
  </si>
  <si>
    <t>지원 하기</t>
    <phoneticPr fontId="1" type="noConversion"/>
  </si>
  <si>
    <t>지원 정보</t>
    <phoneticPr fontId="1" type="noConversion"/>
  </si>
  <si>
    <t>관심 공고 목록</t>
    <phoneticPr fontId="1" type="noConversion"/>
  </si>
  <si>
    <t>관심 공고 저장</t>
    <phoneticPr fontId="1" type="noConversion"/>
  </si>
  <si>
    <t>관심공고</t>
    <phoneticPr fontId="1" type="noConversion"/>
  </si>
  <si>
    <t>이력서 제출</t>
    <phoneticPr fontId="1" type="noConversion"/>
  </si>
  <si>
    <t>이력서제출</t>
    <phoneticPr fontId="1" type="noConversion"/>
  </si>
  <si>
    <t>KEY</t>
    <phoneticPr fontId="1" type="noConversion"/>
  </si>
  <si>
    <t>/company/group/:companyid/:groupid</t>
    <phoneticPr fontId="1" type="noConversion"/>
  </si>
  <si>
    <t xml:space="preserve">pk : groupid
fk : companyid
</t>
    <phoneticPr fontId="1" type="noConversion"/>
  </si>
  <si>
    <t>라이브 인터뷰 추가</t>
    <phoneticPr fontId="1" type="noConversion"/>
  </si>
  <si>
    <t>라이브 인터뷰 일자 수정</t>
    <phoneticPr fontId="1" type="noConversion"/>
  </si>
  <si>
    <t>지원 공고 읽음</t>
    <phoneticPr fontId="1" type="noConversion"/>
  </si>
  <si>
    <t>지원 상세</t>
    <phoneticPr fontId="1" type="noConversion"/>
  </si>
  <si>
    <t>개인 설정 조회</t>
    <phoneticPr fontId="1" type="noConversion"/>
  </si>
  <si>
    <t>개인 설정 저장</t>
    <phoneticPr fontId="1" type="noConversion"/>
  </si>
  <si>
    <t>회원 정보</t>
    <phoneticPr fontId="1" type="noConversion"/>
  </si>
  <si>
    <t>회원가입 완료</t>
    <phoneticPr fontId="1" type="noConversion"/>
  </si>
  <si>
    <t>비밀번호 재설정</t>
    <phoneticPr fontId="1" type="noConversion"/>
  </si>
  <si>
    <t>메일</t>
    <phoneticPr fontId="1" type="noConversion"/>
  </si>
  <si>
    <t>회원 정보 수정</t>
    <phoneticPr fontId="1" type="noConversion"/>
  </si>
  <si>
    <t>인터뷰 완료[지원완료]</t>
    <phoneticPr fontId="1" type="noConversion"/>
  </si>
  <si>
    <t>API 프로토콜</t>
  </si>
  <si>
    <t>지원 목록 (회사)</t>
    <phoneticPr fontId="1" type="noConversion"/>
  </si>
  <si>
    <t>Member</t>
    <phoneticPr fontId="1" type="noConversion"/>
  </si>
  <si>
    <t>Mail</t>
    <phoneticPr fontId="1" type="noConversion"/>
  </si>
  <si>
    <t>Recruit</t>
    <phoneticPr fontId="1" type="noConversion"/>
  </si>
  <si>
    <t>Company</t>
    <phoneticPr fontId="1" type="noConversion"/>
  </si>
  <si>
    <t>Group</t>
    <phoneticPr fontId="1" type="noConversion"/>
  </si>
  <si>
    <t>Document</t>
    <phoneticPr fontId="1" type="noConversion"/>
  </si>
  <si>
    <t>InterviewQuestion</t>
    <phoneticPr fontId="1" type="noConversion"/>
  </si>
  <si>
    <t>Favorite</t>
    <phoneticPr fontId="1" type="noConversion"/>
  </si>
  <si>
    <t>Apply</t>
    <phoneticPr fontId="1" type="noConversion"/>
  </si>
  <si>
    <t>Interview</t>
    <phoneticPr fontId="1" type="noConversion"/>
  </si>
  <si>
    <t>Message</t>
    <phoneticPr fontId="1" type="noConversion"/>
  </si>
  <si>
    <t>Config</t>
    <phoneticPr fontId="1" type="noConversion"/>
  </si>
  <si>
    <t>User</t>
    <phoneticPr fontId="1" type="noConversion"/>
  </si>
  <si>
    <t>컨트롤러</t>
    <phoneticPr fontId="1" type="noConversion"/>
  </si>
  <si>
    <t>모듈dir
modules/</t>
    <phoneticPr fontId="1" type="noConversion"/>
  </si>
  <si>
    <t>/member/contacts/update/:memberid</t>
    <phoneticPr fontId="1" type="noConversion"/>
  </si>
  <si>
    <t>Method Base</t>
    <phoneticPr fontId="1" type="noConversion"/>
  </si>
  <si>
    <t>Logout</t>
    <phoneticPr fontId="1" type="noConversion"/>
  </si>
  <si>
    <t>contact</t>
    <phoneticPr fontId="1" type="noConversion"/>
  </si>
  <si>
    <t>groupid
name
email
phone</t>
    <phoneticPr fontId="1" type="noConversion"/>
  </si>
  <si>
    <t>Method Name</t>
    <phoneticPr fontId="1" type="noConversion"/>
  </si>
  <si>
    <t>행위</t>
    <phoneticPr fontId="1" type="noConversion"/>
  </si>
  <si>
    <t>check</t>
    <phoneticPr fontId="1" type="noConversion"/>
  </si>
  <si>
    <t>User Email</t>
    <phoneticPr fontId="1" type="noConversion"/>
  </si>
  <si>
    <t>create</t>
    <phoneticPr fontId="1" type="noConversion"/>
  </si>
  <si>
    <t>token</t>
    <phoneticPr fontId="1" type="noConversion"/>
  </si>
  <si>
    <t>request</t>
    <phoneticPr fontId="1" type="noConversion"/>
  </si>
  <si>
    <t>save</t>
    <phoneticPr fontId="1" type="noConversion"/>
  </si>
  <si>
    <t>Password</t>
    <phoneticPr fontId="1" type="noConversion"/>
  </si>
  <si>
    <t>Password For Request</t>
    <phoneticPr fontId="1" type="noConversion"/>
  </si>
  <si>
    <t>Cell Phone</t>
    <phoneticPr fontId="1" type="noConversion"/>
  </si>
  <si>
    <t>add</t>
    <phoneticPr fontId="1" type="noConversion"/>
  </si>
  <si>
    <t>Company User</t>
    <phoneticPr fontId="1" type="noConversion"/>
  </si>
  <si>
    <t>delete</t>
    <phoneticPr fontId="1" type="noConversion"/>
  </si>
  <si>
    <t>Company User Group</t>
    <phoneticPr fontId="1" type="noConversion"/>
  </si>
  <si>
    <t>User Profile</t>
    <phoneticPr fontId="1" type="noConversion"/>
  </si>
  <si>
    <t>/company/member/group/:companyid</t>
    <phoneticPr fontId="1" type="noConversion"/>
  </si>
  <si>
    <t>memberid
groupid</t>
    <phoneticPr fontId="1" type="noConversion"/>
  </si>
  <si>
    <t>/company/member/delete/:companyid</t>
    <phoneticPr fontId="1" type="noConversion"/>
  </si>
  <si>
    <t>memberid</t>
    <phoneticPr fontId="1" type="noConversion"/>
  </si>
  <si>
    <t>send</t>
    <phoneticPr fontId="1" type="noConversion"/>
  </si>
  <si>
    <t>Mail For User Create</t>
    <phoneticPr fontId="1" type="noConversion"/>
  </si>
  <si>
    <t>Mail For Rest Password</t>
    <phoneticPr fontId="1" type="noConversion"/>
  </si>
  <si>
    <t>Documents</t>
    <phoneticPr fontId="1" type="noConversion"/>
  </si>
  <si>
    <t>submit</t>
    <phoneticPr fontId="1" type="noConversion"/>
  </si>
  <si>
    <t>groupid</t>
  </si>
  <si>
    <t>/company/group/update/:companyid</t>
    <phoneticPr fontId="1" type="noConversion"/>
  </si>
  <si>
    <t>/company/group/delete/:companyid</t>
    <phoneticPr fontId="1" type="noConversion"/>
  </si>
  <si>
    <t>Groups</t>
    <phoneticPr fontId="1" type="noConversion"/>
  </si>
  <si>
    <t>Recruits</t>
    <phoneticPr fontId="1" type="noConversion"/>
  </si>
  <si>
    <t>Recruits For Home</t>
    <phoneticPr fontId="1" type="noConversion"/>
  </si>
  <si>
    <t>Auto Complete For Search</t>
    <phoneticPr fontId="1" type="noConversion"/>
  </si>
  <si>
    <t>Auto Complete For Area</t>
    <phoneticPr fontId="1" type="noConversion"/>
  </si>
  <si>
    <t>Recruit</t>
  </si>
  <si>
    <t>finish</t>
    <phoneticPr fontId="1" type="noConversion"/>
  </si>
  <si>
    <t>copy</t>
    <phoneticPr fontId="1" type="noConversion"/>
  </si>
  <si>
    <t>Recruits For Company</t>
    <phoneticPr fontId="1" type="noConversion"/>
  </si>
  <si>
    <t>Interview Question For User</t>
    <phoneticPr fontId="1" type="noConversion"/>
  </si>
  <si>
    <t>Interview Question</t>
    <phoneticPr fontId="1" type="noConversion"/>
  </si>
  <si>
    <t>Interview Questions</t>
    <phoneticPr fontId="1" type="noConversion"/>
  </si>
  <si>
    <t>used</t>
    <phoneticPr fontId="1" type="noConversion"/>
  </si>
  <si>
    <t>unused</t>
    <phoneticPr fontId="1" type="noConversion"/>
  </si>
  <si>
    <t>Favorites</t>
    <phoneticPr fontId="1" type="noConversion"/>
  </si>
  <si>
    <t>do</t>
    <phoneticPr fontId="1" type="noConversion"/>
  </si>
  <si>
    <t>Applys</t>
    <phoneticPr fontId="1" type="noConversion"/>
  </si>
  <si>
    <t>read</t>
    <phoneticPr fontId="1" type="noConversion"/>
  </si>
  <si>
    <t>Applys For Company</t>
    <phoneticPr fontId="1" type="noConversion"/>
  </si>
  <si>
    <t>Apply Detail</t>
    <phoneticPr fontId="1" type="noConversion"/>
  </si>
  <si>
    <t>Interviews</t>
    <phoneticPr fontId="1" type="noConversion"/>
  </si>
  <si>
    <t>Messages</t>
    <phoneticPr fontId="1" type="noConversion"/>
  </si>
  <si>
    <t>join</t>
    <phoneticPr fontId="1" type="noConversion"/>
  </si>
  <si>
    <t>LiveInterview</t>
  </si>
  <si>
    <t>LiveInterview</t>
    <phoneticPr fontId="1" type="noConversion"/>
  </si>
  <si>
    <t>cancel</t>
    <phoneticPr fontId="1" type="noConversion"/>
  </si>
  <si>
    <t>start</t>
    <phoneticPr fontId="1" type="noConversion"/>
  </si>
  <si>
    <t>/liveinterview/guide/:memberid</t>
    <phoneticPr fontId="1" type="noConversion"/>
  </si>
  <si>
    <t>ing</t>
    <phoneticPr fontId="1" type="noConversion"/>
  </si>
  <si>
    <t>LiveInterviews</t>
    <phoneticPr fontId="1" type="noConversion"/>
  </si>
  <si>
    <t>LiveInterview For Company</t>
    <phoneticPr fontId="1" type="noConversion"/>
  </si>
  <si>
    <t>LiveInterview Date</t>
    <phoneticPr fontId="1" type="noConversion"/>
  </si>
  <si>
    <t>Log라이브인터뷰</t>
    <phoneticPr fontId="1" type="noConversion"/>
  </si>
  <si>
    <t>LogLiveinterview</t>
    <phoneticPr fontId="1" type="noConversion"/>
  </si>
  <si>
    <t>liveinterviewid</t>
  </si>
  <si>
    <t>/company/liveinterview/updatedate/:companyid</t>
    <phoneticPr fontId="1" type="noConversion"/>
  </si>
  <si>
    <t>liveinterviewid</t>
    <phoneticPr fontId="1" type="noConversion"/>
  </si>
  <si>
    <t>LiveInterviews For Company</t>
    <phoneticPr fontId="1" type="noConversion"/>
  </si>
  <si>
    <t>Repo</t>
    <phoneticPr fontId="1" type="noConversion"/>
  </si>
  <si>
    <t>interface-Req</t>
    <phoneticPr fontId="1" type="noConversion"/>
  </si>
  <si>
    <t>interface-Res</t>
    <phoneticPr fontId="1" type="noConversion"/>
  </si>
  <si>
    <t>update</t>
    <phoneticPr fontId="1" type="noConversion"/>
  </si>
  <si>
    <t>N</t>
    <phoneticPr fontId="1" type="noConversion"/>
  </si>
  <si>
    <t>Y</t>
  </si>
  <si>
    <t>Users</t>
    <phoneticPr fontId="1" type="noConversion"/>
  </si>
  <si>
    <t>User Detail</t>
    <phoneticPr fontId="1" type="noConversion"/>
  </si>
  <si>
    <t>pk : memberId</t>
  </si>
  <si>
    <t>/mail/createuser/:memberId</t>
  </si>
  <si>
    <t>/mail/changepassword/:memberId</t>
  </si>
  <si>
    <t>/member/doc/add/:memberId</t>
  </si>
  <si>
    <t>/member/doc/submit/:memberId</t>
  </si>
  <si>
    <t>/recruit/favorite/:memberId</t>
  </si>
  <si>
    <t>/interview/delete/:memberId</t>
  </si>
  <si>
    <t>/interview/finish/:memberId</t>
  </si>
  <si>
    <t>/interview/chat/message/list/:memberId</t>
  </si>
  <si>
    <t>/interview/chat/message/delete/:memberId</t>
  </si>
  <si>
    <t>/interview/chat/list/:memberId</t>
  </si>
  <si>
    <t>/interview/chat/add/:memberId</t>
  </si>
  <si>
    <t>/interview/chat/message/read/:memberId</t>
  </si>
  <si>
    <t>/liveinterview/join/:memberId</t>
  </si>
  <si>
    <t>/liveinterview/start/:memberId</t>
  </si>
  <si>
    <t>/liveinterview/ing/:memberId</t>
  </si>
  <si>
    <t>/liveinterview/list/:memberId</t>
  </si>
  <si>
    <t>/settings/:memberId</t>
  </si>
  <si>
    <t>/settings/save/:memberId</t>
  </si>
  <si>
    <t>/member/list/:companyId</t>
  </si>
  <si>
    <t>/company/update/:companyId</t>
  </si>
  <si>
    <t>/company/recruit/list/:companyId</t>
  </si>
  <si>
    <t>/company/recruit/delete/:companyId</t>
  </si>
  <si>
    <t>/company/recruit/finish/:companyId</t>
  </si>
  <si>
    <t>/company/recruit/update/:companyId</t>
  </si>
  <si>
    <t>/company/recruit/copy/:companyId</t>
  </si>
  <si>
    <t>/company/question/use/:companyId</t>
  </si>
  <si>
    <t>/company/question/unuse/:companyId</t>
  </si>
  <si>
    <t>/company/apply/read/:companyId</t>
  </si>
  <si>
    <t>/company/liveinterview/list/:companyId</t>
  </si>
  <si>
    <t>/company/liveinterview/update/:companyId</t>
  </si>
  <si>
    <t>/company/liveinterview/add/:companyId</t>
  </si>
  <si>
    <t>/company/liveinterview/cacel/:companyId</t>
  </si>
  <si>
    <t>/company/liveinterview/start/:companyId</t>
  </si>
  <si>
    <t>/company/liveinterview/ing/:companyId</t>
  </si>
  <si>
    <t>pk : docid
fk : memberId
fk : applyId</t>
  </si>
  <si>
    <t>/company/apply/:companyId/:applyId</t>
  </si>
  <si>
    <t>pk : memberId
ref : recruitId</t>
  </si>
  <si>
    <t>pk : applyId
fk : memberId fk : recruitId</t>
  </si>
  <si>
    <t>/recruit/:memberId/:recruitId</t>
  </si>
  <si>
    <t xml:space="preserve">pk:liveinterviewId
fk : memberId
fk : recruitId
fk : applyId
      </t>
  </si>
  <si>
    <t>/interview/list/:memberId/:interviewId</t>
  </si>
  <si>
    <t>/company/liveinterview/:companyId/:liveinterviewId</t>
  </si>
  <si>
    <t>pk : mailId</t>
    <phoneticPr fontId="1" type="noConversion"/>
  </si>
  <si>
    <t>질문</t>
    <phoneticPr fontId="1" type="noConversion"/>
  </si>
  <si>
    <t>Question</t>
    <phoneticPr fontId="1" type="noConversion"/>
  </si>
  <si>
    <t>질문 목록</t>
    <phoneticPr fontId="1" type="noConversion"/>
  </si>
  <si>
    <t>질문 삭제</t>
    <phoneticPr fontId="1" type="noConversion"/>
  </si>
  <si>
    <t>질문카테고리</t>
    <phoneticPr fontId="1" type="noConversion"/>
  </si>
  <si>
    <t>질문 등록</t>
    <phoneticPr fontId="1" type="noConversion"/>
  </si>
  <si>
    <t>QuestionFolder</t>
    <phoneticPr fontId="1" type="noConversion"/>
  </si>
  <si>
    <t>pk : folderId</t>
    <phoneticPr fontId="1" type="noConversion"/>
  </si>
  <si>
    <t>질문 카테고리 등록</t>
    <phoneticPr fontId="1" type="noConversion"/>
  </si>
  <si>
    <t>질문 카테고리 목록</t>
    <phoneticPr fontId="1" type="noConversion"/>
  </si>
  <si>
    <t>H210</t>
    <phoneticPr fontId="1" type="noConversion"/>
  </si>
  <si>
    <t xml:space="preserve">pk : interviewId
ref : applyId
ref : lnterviewQuestionId
</t>
    <phoneticPr fontId="1" type="noConversion"/>
  </si>
  <si>
    <t>interviewQuestionId</t>
  </si>
  <si>
    <t>Entity</t>
    <phoneticPr fontId="1" type="noConversion"/>
  </si>
  <si>
    <t>pk : questionId
fk : folderId
fk : companyId</t>
    <phoneticPr fontId="1" type="noConversion"/>
  </si>
  <si>
    <t>질문 이동</t>
    <phoneticPr fontId="1" type="noConversion"/>
  </si>
  <si>
    <t>/company/interviewquestion/add/:companyId</t>
    <phoneticPr fontId="1" type="noConversion"/>
  </si>
  <si>
    <t>/company/interviewquestion/:companyId/:interviewQuestionId</t>
    <phoneticPr fontId="1" type="noConversion"/>
  </si>
  <si>
    <t>/company/interviewquestion/update/:companyId</t>
    <phoneticPr fontId="1" type="noConversion"/>
  </si>
  <si>
    <t>/company/interviewquestion/delete/:companyId</t>
    <phoneticPr fontId="1" type="noConversion"/>
  </si>
  <si>
    <t>/company/questionfolder/list/:companyId</t>
    <phoneticPr fontId="1" type="noConversion"/>
  </si>
  <si>
    <t>/company/questionfolder/add/:companyId</t>
    <phoneticPr fontId="1" type="noConversion"/>
  </si>
  <si>
    <t>/company/question/list/:companyId</t>
    <phoneticPr fontId="1" type="noConversion"/>
  </si>
  <si>
    <t>/company/question/add/:companyId</t>
    <phoneticPr fontId="1" type="noConversion"/>
  </si>
  <si>
    <t>/company/question/delete/:companyId</t>
    <phoneticPr fontId="1" type="noConversion"/>
  </si>
  <si>
    <t>/company/question/move/:companyId</t>
    <phoneticPr fontId="1" type="noConversion"/>
  </si>
  <si>
    <t>질문 수정</t>
    <phoneticPr fontId="1" type="noConversion"/>
  </si>
  <si>
    <t>/company/question/update/:companyId</t>
    <phoneticPr fontId="1" type="noConversion"/>
  </si>
  <si>
    <t>L100</t>
    <phoneticPr fontId="1" type="noConversion"/>
  </si>
  <si>
    <t>DocumentSubmit</t>
    <phoneticPr fontId="1" type="noConversion"/>
  </si>
  <si>
    <t>move</t>
    <phoneticPr fontId="1" type="noConversion"/>
  </si>
  <si>
    <t>Question Folder</t>
    <phoneticPr fontId="1" type="noConversion"/>
  </si>
  <si>
    <t>Questions</t>
    <phoneticPr fontId="1" type="noConversion"/>
  </si>
  <si>
    <t>질문 상세</t>
    <phoneticPr fontId="1" type="noConversion"/>
  </si>
  <si>
    <t>email: string;</t>
    <phoneticPr fontId="1" type="noConversion"/>
  </si>
  <si>
    <t>pk : documentSubmitId,
fk : documentId
fk : applyId</t>
    <phoneticPr fontId="1" type="noConversion"/>
  </si>
  <si>
    <t>LogLiveInterview</t>
    <phoneticPr fontId="1" type="noConversion"/>
  </si>
  <si>
    <t xml:space="preserve">pk : messageId
ref : memberId
ref : companyId
ref : send_gubun : 지원, 메시지, 읽음 상태
fk : recruitId
</t>
    <phoneticPr fontId="1" type="noConversion"/>
  </si>
  <si>
    <t>/member/doc/list/:memberId/:applyId</t>
    <phoneticPr fontId="1" type="noConversion"/>
  </si>
  <si>
    <t>/member/doc/list/:memberId</t>
    <phoneticPr fontId="1" type="noConversion"/>
  </si>
  <si>
    <t>이력서 문서 목록 지원서</t>
    <phoneticPr fontId="1" type="noConversion"/>
  </si>
  <si>
    <t>Documents For Apply</t>
    <phoneticPr fontId="1" type="noConversion"/>
  </si>
  <si>
    <t>Document List For Apply</t>
    <phoneticPr fontId="1" type="noConversion"/>
  </si>
  <si>
    <t>recruitId:number</t>
    <phoneticPr fontId="1" type="noConversion"/>
  </si>
  <si>
    <t>interviewQuestionId:number</t>
    <phoneticPr fontId="1" type="noConversion"/>
  </si>
  <si>
    <t>interviewId:number</t>
    <phoneticPr fontId="1" type="noConversion"/>
  </si>
  <si>
    <t>messageId:number</t>
    <phoneticPr fontId="1" type="noConversion"/>
  </si>
  <si>
    <t>liveinterviewId:number</t>
    <phoneticPr fontId="1" type="noConversion"/>
  </si>
  <si>
    <t>recruitId:number
applyId:number</t>
    <phoneticPr fontId="1" type="noConversion"/>
  </si>
  <si>
    <t>password: string</t>
    <phoneticPr fontId="1" type="noConversion"/>
  </si>
  <si>
    <t>/member/:memberId</t>
    <phoneticPr fontId="1" type="noConversion"/>
  </si>
  <si>
    <t>/liveinterview/cancel/:memberId</t>
    <phoneticPr fontId="1" type="noConversion"/>
  </si>
  <si>
    <t>개인회원</t>
    <phoneticPr fontId="1" type="noConversion"/>
  </si>
  <si>
    <t>기업회원</t>
    <phoneticPr fontId="1" type="noConversion"/>
  </si>
  <si>
    <t>Post-Req
params</t>
    <phoneticPr fontId="1" type="noConversion"/>
  </si>
  <si>
    <t>id: number;
email: string;
token: string;</t>
    <phoneticPr fontId="1" type="noConversion"/>
  </si>
  <si>
    <t>controller</t>
    <phoneticPr fontId="11" type="noConversion"/>
  </si>
  <si>
    <t>-</t>
    <phoneticPr fontId="11" type="noConversion"/>
  </si>
  <si>
    <t>name:string;
email: string;
password: string;</t>
    <phoneticPr fontId="1" type="noConversion"/>
  </si>
  <si>
    <t>email: string;
password: string</t>
    <phoneticPr fontId="11" type="noConversion"/>
  </si>
  <si>
    <t>id: number;
email: string;
token: string;</t>
    <phoneticPr fontId="11" type="noConversion"/>
  </si>
  <si>
    <t>module</t>
    <phoneticPr fontId="11" type="noConversion"/>
  </si>
  <si>
    <t>모듈별 생성 - 무조건 다시생성됨 조심</t>
    <phoneticPr fontId="11" type="noConversion"/>
  </si>
  <si>
    <t>email: string;
isregister:boolean</t>
    <phoneticPr fontId="11" type="noConversion"/>
  </si>
  <si>
    <t>사용자 정보 변경</t>
    <phoneticPr fontId="1" type="noConversion"/>
  </si>
  <si>
    <t>pk : companyId</t>
  </si>
  <si>
    <t>update</t>
  </si>
  <si>
    <t>save</t>
  </si>
  <si>
    <t>token For Company</t>
    <phoneticPr fontId="1" type="noConversion"/>
  </si>
  <si>
    <t>/company/token</t>
    <phoneticPr fontId="1" type="noConversion"/>
  </si>
  <si>
    <t>/company/passwd/:companyId</t>
    <phoneticPr fontId="1" type="noConversion"/>
  </si>
  <si>
    <t>/company/passwd/update/:companyId</t>
    <phoneticPr fontId="11" type="noConversion"/>
  </si>
  <si>
    <t>Password Of Company</t>
    <phoneticPr fontId="1" type="noConversion"/>
  </si>
  <si>
    <t>Password  Of Company For Request</t>
    <phoneticPr fontId="1" type="noConversion"/>
  </si>
  <si>
    <t>/company/:companyId</t>
    <phoneticPr fontId="11" type="noConversion"/>
  </si>
  <si>
    <t>/company/update/:companyId</t>
    <phoneticPr fontId="11" type="noConversion"/>
  </si>
  <si>
    <t>Password Confirm</t>
    <phoneticPr fontId="1" type="noConversion"/>
  </si>
  <si>
    <t>/company/passwd/confirm_update/:companyId</t>
    <phoneticPr fontId="11" type="noConversion"/>
  </si>
  <si>
    <t>행위</t>
  </si>
  <si>
    <t>check</t>
  </si>
  <si>
    <t>create</t>
  </si>
  <si>
    <t>request</t>
  </si>
  <si>
    <t>send</t>
  </si>
  <si>
    <t>delete</t>
  </si>
  <si>
    <t>add</t>
  </si>
  <si>
    <t>submit</t>
  </si>
  <si>
    <t>finish</t>
  </si>
  <si>
    <t>copy</t>
  </si>
  <si>
    <t>move</t>
  </si>
  <si>
    <t>used</t>
  </si>
  <si>
    <t>unused</t>
  </si>
  <si>
    <t>do</t>
  </si>
  <si>
    <t>read</t>
  </si>
  <si>
    <t>join</t>
  </si>
  <si>
    <t>cancel</t>
  </si>
  <si>
    <t>start</t>
  </si>
  <si>
    <t>ing</t>
  </si>
  <si>
    <t>/member/passwd/confirm_update/:memberId</t>
    <phoneticPr fontId="11" type="noConversion"/>
  </si>
  <si>
    <t>Password Confirm For Company</t>
    <phoneticPr fontId="1" type="noConversion"/>
  </si>
  <si>
    <t>newpassword: string;
oldpassword: string;</t>
    <phoneticPr fontId="1" type="noConversion"/>
  </si>
  <si>
    <t>공고_목록</t>
    <phoneticPr fontId="1" type="noConversion"/>
  </si>
  <si>
    <t>정보관리</t>
    <phoneticPr fontId="1" type="noConversion"/>
  </si>
  <si>
    <t>질문</t>
  </si>
  <si>
    <t>이동</t>
    <phoneticPr fontId="1" type="noConversion"/>
  </si>
  <si>
    <t>인터뷰_기본_질문_목록</t>
    <phoneticPr fontId="1" type="noConversion"/>
  </si>
  <si>
    <t>인터뷰_기본_질문_등록</t>
    <phoneticPr fontId="1" type="noConversion"/>
  </si>
  <si>
    <t>인터뷰_기본_질문_상세</t>
    <phoneticPr fontId="1" type="noConversion"/>
  </si>
  <si>
    <t>인터뷰_기본_질문_수정</t>
    <phoneticPr fontId="1" type="noConversion"/>
  </si>
  <si>
    <t>인터뷰_기본_질문_삭제</t>
    <phoneticPr fontId="1" type="noConversion"/>
  </si>
  <si>
    <t>인터뷰_기본_질문_사용</t>
    <phoneticPr fontId="1" type="noConversion"/>
  </si>
  <si>
    <t>인터뷰_기본_질문_미사용</t>
    <phoneticPr fontId="1" type="noConversion"/>
  </si>
  <si>
    <t>인터뷰_정보</t>
    <phoneticPr fontId="1" type="noConversion"/>
  </si>
  <si>
    <t>라이브_인터뷰_참가</t>
    <phoneticPr fontId="1" type="noConversion"/>
  </si>
  <si>
    <t>사용자 비밀번호 변경2</t>
    <phoneticPr fontId="1" type="noConversion"/>
  </si>
  <si>
    <t>/member/logout/:memberId</t>
    <phoneticPr fontId="11" type="noConversion"/>
  </si>
  <si>
    <t>/member/passwd/update/:memberId</t>
    <phoneticPr fontId="11" type="noConversion"/>
  </si>
  <si>
    <t>append
param</t>
    <phoneticPr fontId="11" type="noConversion"/>
  </si>
  <si>
    <t>email: string;</t>
    <phoneticPr fontId="11" type="noConversion"/>
  </si>
  <si>
    <t>access_token:string</t>
    <phoneticPr fontId="11" type="noConversion"/>
  </si>
  <si>
    <t>인터뷰 질문 목록</t>
    <phoneticPr fontId="11" type="noConversion"/>
  </si>
  <si>
    <t>Company Detail</t>
    <phoneticPr fontId="1" type="noConversion"/>
  </si>
  <si>
    <t>회사 로그인</t>
    <phoneticPr fontId="1" type="noConversion"/>
  </si>
  <si>
    <t>회사 이메일 체크</t>
    <phoneticPr fontId="1" type="noConversion"/>
  </si>
  <si>
    <t>회사 비밀번호 변경 요청</t>
    <phoneticPr fontId="1" type="noConversion"/>
  </si>
  <si>
    <t>Company Email</t>
    <phoneticPr fontId="1" type="noConversion"/>
  </si>
  <si>
    <t>회사 비밀번호 변경</t>
    <phoneticPr fontId="1" type="noConversion"/>
  </si>
  <si>
    <t>회사 정보 변경</t>
    <phoneticPr fontId="1" type="noConversion"/>
  </si>
  <si>
    <t>모듈별 생성 - 있으면 생성안함.</t>
    <phoneticPr fontId="11" type="noConversion"/>
  </si>
  <si>
    <t>/company/check_email</t>
    <phoneticPr fontId="1" type="noConversion"/>
  </si>
  <si>
    <t>회사 비밀번호 변경2</t>
    <phoneticPr fontId="1" type="noConversion"/>
  </si>
  <si>
    <t>/member/update/:memberId</t>
    <phoneticPr fontId="1" type="noConversion"/>
  </si>
  <si>
    <t>Company Logo</t>
    <phoneticPr fontId="1" type="noConversion"/>
  </si>
  <si>
    <t>/company/logo/:companyId</t>
    <phoneticPr fontId="11" type="noConversion"/>
  </si>
  <si>
    <t>name:string;</t>
    <phoneticPr fontId="1" type="noConversion"/>
  </si>
  <si>
    <t>/company/question/:companyId/:questionId</t>
    <phoneticPr fontId="1" type="noConversion"/>
  </si>
  <si>
    <t>id: number;
contents: string;
questionFolderId: number;
companyId: number;</t>
    <phoneticPr fontId="11" type="noConversion"/>
  </si>
  <si>
    <t>questionId : number;
contents: string;
questionFolderId: number;</t>
    <phoneticPr fontId="1" type="noConversion"/>
  </si>
  <si>
    <t xml:space="preserve">questionId : number;
contents: string;
questionFolderId: number; </t>
    <phoneticPr fontId="11" type="noConversion"/>
  </si>
  <si>
    <t>질문 카테고리 삭제</t>
    <phoneticPr fontId="1" type="noConversion"/>
  </si>
  <si>
    <t>질문 카테고리 수정</t>
    <phoneticPr fontId="1" type="noConversion"/>
  </si>
  <si>
    <t>questionFolderId:number;</t>
    <phoneticPr fontId="1" type="noConversion"/>
  </si>
  <si>
    <t>questionFolderId:number;
name: string;</t>
    <phoneticPr fontId="1" type="noConversion"/>
  </si>
  <si>
    <t>questionFolderId:number;
name:string</t>
    <phoneticPr fontId="1" type="noConversion"/>
  </si>
  <si>
    <t>/company/questionfolder/delete/:companyId</t>
    <phoneticPr fontId="11" type="noConversion"/>
  </si>
  <si>
    <t>/company/questionfolder/update/:companyId</t>
    <phoneticPr fontId="11" type="noConversion"/>
  </si>
  <si>
    <t>Question Folders</t>
    <phoneticPr fontId="1" type="noConversion"/>
  </si>
  <si>
    <t>Response Json</t>
    <phoneticPr fontId="1" type="noConversion"/>
  </si>
  <si>
    <t>id: number;
name: string;
companyId: number;</t>
    <phoneticPr fontId="11" type="noConversion"/>
  </si>
  <si>
    <t>id: number;
email: string;
name: string;
contact: string;
profileimgUrl: string;
memberType: number;</t>
    <phoneticPr fontId="1" type="noConversion"/>
  </si>
  <si>
    <t>contents: string;
questionFolderId: number;</t>
    <phoneticPr fontId="11" type="noConversion"/>
  </si>
  <si>
    <t>공고 목록 (사용자) - 검색</t>
    <phoneticPr fontId="1" type="noConversion"/>
  </si>
  <si>
    <t>post</t>
    <phoneticPr fontId="11" type="noConversion"/>
  </si>
  <si>
    <t>전체 컬럼</t>
    <phoneticPr fontId="11" type="noConversion"/>
  </si>
  <si>
    <t>id
state
title
reception_period
period_begin
period_end
location
job_type
salary
at_home
task
process_contents
inquiry_name
inquiry_contect
inquiry_email
config_doc
config_interview</t>
    <phoneticPr fontId="11" type="noConversion"/>
  </si>
  <si>
    <t>state
title
reception_period
period_begin
period_end
location
job_type
salary
at_home
task
process_contents
inquiry_name
inquiry_contect
inquiry_email
config_doc
config_interview</t>
    <phoneticPr fontId="11" type="noConversion"/>
  </si>
  <si>
    <t>pk : interviewQuestionId
fk : recruitId
fk : questionId
fk : companyId</t>
    <phoneticPr fontId="1" type="noConversion"/>
  </si>
  <si>
    <t>recruitId:number;
questionId:number;</t>
    <phoneticPr fontId="1" type="noConversion"/>
  </si>
  <si>
    <t>id
update_at
create_at
company_id
recruit_id
question_id</t>
    <phoneticPr fontId="11" type="noConversion"/>
  </si>
  <si>
    <t>N</t>
    <phoneticPr fontId="11" type="noConversion"/>
  </si>
  <si>
    <t>/company/interviewquestion/list/:companyId/:recruitId</t>
    <phoneticPr fontId="1" type="noConversion"/>
  </si>
  <si>
    <t>id:number;
companyId:number;
recruitId:number;
questionId:number;
questionContents:string;</t>
    <phoneticPr fontId="11" type="noConversion"/>
  </si>
  <si>
    <t>인터뷰 질문 목록 ( 사용자 )</t>
    <phoneticPr fontId="11" type="noConversion"/>
  </si>
  <si>
    <t>Interview Questions For User</t>
    <phoneticPr fontId="1" type="noConversion"/>
  </si>
  <si>
    <t>/interviewquestion/list/:memberId/:recruitId</t>
    <phoneticPr fontId="1" type="noConversion"/>
  </si>
  <si>
    <t>/interviewquestion/:memberId/:interviewQuestionId</t>
    <phoneticPr fontId="1" type="noConversion"/>
  </si>
  <si>
    <t xml:space="preserve"> array</t>
    <phoneticPr fontId="1" type="noConversion"/>
  </si>
  <si>
    <t xml:space="preserve"> 사용</t>
    <phoneticPr fontId="1" type="noConversion"/>
  </si>
  <si>
    <t>create empty 
file N Reload</t>
    <phoneticPr fontId="11" type="noConversion"/>
  </si>
  <si>
    <t>copy 
path</t>
    <phoneticPr fontId="11" type="noConversion"/>
  </si>
  <si>
    <t>POST
GET</t>
    <phoneticPr fontId="11" type="noConversion"/>
  </si>
  <si>
    <t>unuse</t>
    <phoneticPr fontId="11" type="noConversion"/>
  </si>
  <si>
    <t>/apply/do/:memberId</t>
    <phoneticPr fontId="11" type="noConversion"/>
  </si>
  <si>
    <t>/apply/:memberId/:applyId</t>
    <phoneticPr fontId="11" type="noConversion"/>
  </si>
  <si>
    <t>apply_state</t>
    <phoneticPr fontId="11" type="noConversion"/>
  </si>
  <si>
    <t>import
interface</t>
    <phoneticPr fontId="11" type="noConversion"/>
  </si>
  <si>
    <t>import
index</t>
    <phoneticPr fontId="11" type="noConversion"/>
  </si>
  <si>
    <t>H400</t>
    <phoneticPr fontId="11" type="noConversion"/>
  </si>
  <si>
    <t>H500</t>
    <phoneticPr fontId="11" type="noConversion"/>
  </si>
  <si>
    <t>지원 수정</t>
    <phoneticPr fontId="1" type="noConversion"/>
  </si>
  <si>
    <t>/company/apply/update/:companyId</t>
    <phoneticPr fontId="11" type="noConversion"/>
  </si>
  <si>
    <t>apply_state
interview_url</t>
    <phoneticPr fontId="11" type="noConversion"/>
  </si>
  <si>
    <t xml:space="preserve">
    try {
        const data: TblInterviewQuestion[] = await DataStore&lt;InterviewQuestionRepo&gt;(InterviewQuestionRepo).FindsByRecruitIdForUser(recruitId);
        let resData;
        if ( data ) {
            resData = filterDatas&lt;IGetInterviewQuestionsForUserRes&gt;(data,[
                    "id"
                  , "company_id"
                  , "recruit_id"
                  , "question_id"
                  , "question_contents"
            ]);
        } else {
        }
/*
        const resData: IGetInterviewQuestionsForUserRes = {
                id:data.id
              , companyId:data.companyId
              , recruitId:data.recruitId
              , questionId:data.questionId
              , questionContents:data.questionContents
        }
*/
       return Promise.resolve(resData);
    } catch (error) {
        throw &lt;IError&gt;{ status: error.status, message: error.message };
    }
</t>
    <phoneticPr fontId="11" type="noConversion"/>
  </si>
  <si>
    <t xml:space="preserve">
    try {
        const data: TblInterviewQuestion[] = await DataStore&lt;InterviewQuestionRepo&gt;(InterviewQuestionRepo).FindsByRecruitId(companyId,recruitId);
        let resData;
        if ( data ) {
            resData = filterDatas&lt;IGetInterviewQuestionsRes&gt;(data,[
                    "id"
                  , "company_id"
                  , "recruit_id"
                  , "question_id"
                  , "question_contents"
            ]);
        } else {
        }
/*
        const resData: IGetInterviewQuestionsRes = {
                id:data.id
              , companyId:data.companyId
              , recruitId:data.recruitId
              , questionId:data.questionId
              , questionContents:data.questionContents
        }
*/
       return Promise.resolve(resData);
    } catch (error) {
        throw &lt;IError&gt;{ status: error.status, message: error.message };
    }
</t>
    <phoneticPr fontId="11" type="noConversion"/>
  </si>
  <si>
    <t xml:space="preserve">
    try {
        const data: TblInterviewQuestion = await DataStore&lt;InterviewQuestionRepo&gt;(InterviewQuestionRepo).FindByIdForUser(memberId,interviewQuestionId);
        let resData;
        if ( DataStore&lt;ApplyRepo&gt;(ApplyRepo).IsApply(memberId,data.recruit_id) ) {
            if ( data ) {
                resData = filterData&lt;IGetInterviewQuestionForUserRes&gt;(data,[
                        "id"
                      , "company_id"
                      , "recruit_id"
                      , "question_id"
                      , "question_contents"
                ]);
            } else {
            }
        } else {
            throw &lt;IError&gt;{ status: 401, message: '접근이 불가능합니다.' };
        }
/*
        const resData: IGetInterviewQuestionForUserRes = {
                id:data.id
              , companyId:data.companyId
              , recruitId:data.recruitId
              , questionId:data.questionId
              , questionContents:data.questionContents
        }
*/
       return Promise.resolve(resData);
    } catch (error) {
        throw &lt;IError&gt;{ status: error.status, message: error.message };
    }
</t>
    <phoneticPr fontId="11" type="noConversion"/>
  </si>
  <si>
    <t xml:space="preserve">
    try {
        const data: TblInterviewQuestion = await DataStore&lt;InterviewQuestionRepo&gt;(InterviewQuestionRepo).FindByIdForCompany(companyId,interviewQuestionId);
        let resData;
            if ( data ) {
                resData = filterData&lt;IGetInterviewQuestionForUserRes&gt;(data,[
                        "id"
                      , "company_id"
                      , "recruit_id"
                      , "question_id"
                      , "question_contents"
                ]);
            } else {
            }
/*
        const resData: IGetInterviewQuestionRes = {
                id:data.id
              , companyId:data.companyId
              , recruitId:data.recruitId
              , questionId:data.questionId
              , questionContents:data.questionContents
        }
*/
       return Promise.resolve(resData);
    } catch (error) {
        throw &lt;IError&gt;{ status: error.status, message: error.message };
    }
</t>
    <phoneticPr fontId="11" type="noConversion"/>
  </si>
  <si>
    <t xml:space="preserve">
    try {
        const model: TblInterviewQuestion = new TblInterviewQuestion();
        model.recruit_id = recruitId;
        model.question_id = questionId;
        model.company_id = companyId;
        if ( await DataStore&lt;RecruitRepo&gt;(RecruitRepo).IsOwner(companyId,recruitId) ) {
            const saveData:TblInterviewQuestion = await DataStore&lt;InterviewQuestionRepo&gt;(InterviewQuestionRepo).Create(companyId,recruitId, questionId);
            if (!saveData.id) {
                throw &lt;IError&gt;{ status: 401, message: '정상적으로 처리되지 않았습니다.' };
            }
            const resData: IAddInterviewQuestionRes = {
                id: saveData.id,
                success:true
            };
            return Promise.resolve(resData);
        } else {
            throw &lt;IError&gt;{ status: 401, message: '정상적으로 등록되지 않았습니다.' };
        }
    } catch (error) {
        throw &lt;IError&gt;{ status: error.status, message: error.message };
    }
</t>
    <phoneticPr fontId="11" type="noConversion"/>
  </si>
  <si>
    <t xml:space="preserve">
    try {
        const isExist: boolean = await DataStore&lt;InterviewQuestionRepo&gt;(InterviewQuestionRepo).ExistIdForCompany(companyId,reqData.interviewQuestionId);
        if (isExist) {
            const model: TblInterviewQuestion = new TblInterviewQuestion();
            model.id = interviewQuestionId;
            const saveData:DeleteResult = await DataStore&lt;InterviewQuestionRepo&gt;(InterviewQuestionRepo).delete(model);
            if (!saveData.affected) {
                throw &lt;IError&gt;{ status: 401, message: '정상적으로 처리되지 않았습니다.' };
            }
            const resData: IDeleteInterviewQuestionRes = {
                id: interviewQuestionId,
                success:true
            };
            return Promise.resolve(resData);
        } else {
            throw &lt;IError&gt;{ status: 401, message: '정상적으로 처리되지 않았습니다.' };
        }
    } catch (error) {
        throw &lt;IError&gt;{ status: error.status, message: error.message };
    }
</t>
    <phoneticPr fontId="11" type="noConversion"/>
  </si>
  <si>
    <t>fromSave:FromSave;</t>
    <phoneticPr fontId="11" type="noConversion"/>
  </si>
  <si>
    <t>{ RecruitState }:data/entity/TblRecruit</t>
    <phoneticPr fontId="11" type="noConversion"/>
  </si>
  <si>
    <t>{ FromSave }:data/entity/TblDocument</t>
    <phoneticPr fontId="11" type="noConversion"/>
  </si>
  <si>
    <t>{ JobType, RecruitState, DistanceRange, AtHome, SalaryRange }:data/entity/TblRecruit</t>
    <phoneticPr fontId="11" type="noConversion"/>
  </si>
  <si>
    <t>{ RecruitRepo }:data/datastore/recruitRepo</t>
    <phoneticPr fontId="11" type="noConversion"/>
  </si>
  <si>
    <t>{ ApplyRepo }:data/datastore/applyRepo</t>
    <phoneticPr fontId="11" type="noConversion"/>
  </si>
  <si>
    <t>{ ApplyState }:data/entity/TblApply
{ Not }:../node_modules/typeorm</t>
    <phoneticPr fontId="11" type="noConversion"/>
  </si>
  <si>
    <t>fs:fs:none
moment:moment:none
{ Const }:commons/Utils/Const
{ isExistFile, makeDir }:commons/Utils/util
{ MemberRepo }:data/datastore/memberRepo
{ ApplyRepo }:data/datastore/applyRepo
{ TblMember }:data/entity/TblMember
{ FromSave }:data/entity/TblDocument</t>
    <phoneticPr fontId="11" type="noConversion"/>
  </si>
  <si>
    <t>id: number;
documentPath: string;
memberId: number;
fromSave: FromSave;
createAt: Date;</t>
    <phoneticPr fontId="11" type="noConversion"/>
  </si>
  <si>
    <t>id
name
logoimg_url
email
pw_key
pw_salt
update_at
create_at
number_employees
industry
major_field
homepage_url
representative
representative_contact
contry
city
address
annual_sales
establishment</t>
    <phoneticPr fontId="11" type="noConversion"/>
  </si>
  <si>
    <t xml:space="preserve"> 수정가능필드</t>
    <phoneticPr fontId="11" type="noConversion"/>
  </si>
  <si>
    <t>name
logoimg_url
number_employees
industry
major_field
homepage_url
representative
representative_contact
contry
city
address
annual_sales
establishment</t>
    <phoneticPr fontId="11" type="noConversion"/>
  </si>
  <si>
    <t>id
email
pw_key
pw_salt
name
contact
profileimg_url
member_type
update_at
create_at</t>
    <phoneticPr fontId="11" type="noConversion"/>
  </si>
  <si>
    <t>name
contact
profileimg_url</t>
    <phoneticPr fontId="11" type="noConversion"/>
  </si>
  <si>
    <t>name: string
contact: string
profileimgUrl: string</t>
    <phoneticPr fontId="11" type="noConversion"/>
  </si>
  <si>
    <t>{ GMailService }:commons/Utils/GMailService</t>
    <phoneticPr fontId="11" type="noConversion"/>
  </si>
  <si>
    <t>{ Const }:commons/Utils/Const</t>
    <phoneticPr fontId="11" type="noConversion"/>
  </si>
  <si>
    <t>email:string;</t>
    <phoneticPr fontId="11" type="noConversion"/>
  </si>
  <si>
    <t>success:boolean;
id:number;</t>
    <phoneticPr fontId="11" type="noConversion"/>
  </si>
  <si>
    <t>success:boolean</t>
    <phoneticPr fontId="11" type="noConversion"/>
  </si>
  <si>
    <t>success:boolean;
id:number;
name:string;</t>
    <phoneticPr fontId="11" type="noConversion"/>
  </si>
  <si>
    <t>docId:number;</t>
    <phoneticPr fontId="1" type="noConversion"/>
  </si>
  <si>
    <t>/member/doc/delete/:memberId</t>
    <phoneticPr fontId="11" type="noConversion"/>
  </si>
  <si>
    <t>id
document_path
create_at
member_id
from_save</t>
    <phoneticPr fontId="11" type="noConversion"/>
  </si>
  <si>
    <t>업로드</t>
    <phoneticPr fontId="11" type="noConversion"/>
  </si>
  <si>
    <t>Upload</t>
    <phoneticPr fontId="1" type="noConversion"/>
  </si>
  <si>
    <t>Document</t>
  </si>
  <si>
    <t>upload</t>
    <phoneticPr fontId="1" type="noConversion"/>
  </si>
  <si>
    <t>/company/upload/logo/:companyId</t>
    <phoneticPr fontId="11" type="noConversion"/>
  </si>
  <si>
    <t>/upload/profile/:memberId</t>
    <phoneticPr fontId="11" type="noConversion"/>
  </si>
  <si>
    <t>{ deleteFile }:commons/Utils/util</t>
    <phoneticPr fontId="11" type="noConversion"/>
  </si>
  <si>
    <t>import
controller</t>
    <phoneticPr fontId="11" type="noConversion"/>
  </si>
  <si>
    <t>* as express:express:none</t>
    <phoneticPr fontId="11" type="noConversion"/>
  </si>
  <si>
    <t>"docFile":string</t>
    <phoneticPr fontId="11" type="noConversion"/>
  </si>
  <si>
    <t>"logoFile":string</t>
    <phoneticPr fontId="11" type="noConversion"/>
  </si>
  <si>
    <t>"proFile":string</t>
    <phoneticPr fontId="11" type="noConversion"/>
  </si>
  <si>
    <t>fromSave:FromSave;
applyId:number;
fileExt: string;</t>
    <phoneticPr fontId="11" type="noConversion"/>
  </si>
  <si>
    <t>id: number;
fileBaseUrl: string;
fileName: string;
fileExt: string;
success:boolean</t>
    <phoneticPr fontId="11" type="noConversion"/>
  </si>
  <si>
    <t>multer:multer:none
path:path:none
{ Const }:commons/Utils/Const
* as express:express:none
moment:moment:none
{ isExistFile, makeDir }:commons/Utils/util
{ MemberRepo }:data/datastore/memberRepo
{ TblMember }:data/entity/TblMember</t>
    <phoneticPr fontId="11" type="noConversion"/>
  </si>
  <si>
    <t>{ CompanyRepo }:data/datastore/companyRepo
{ TblCompany }:data/entity/TblCompany</t>
    <phoneticPr fontId="11" type="noConversion"/>
  </si>
  <si>
    <t>/upload/doc/:memberId/:docId</t>
    <phoneticPr fontId="11" type="noConversion"/>
  </si>
  <si>
    <t>fileBaseUrl: string;
fileName: string;
fileExt: string;
success:boolean;</t>
    <phoneticPr fontId="11" type="noConversion"/>
  </si>
  <si>
    <t>fileExt: string;</t>
    <phoneticPr fontId="11" type="noConversion"/>
  </si>
  <si>
    <t>moment:moment:none
{ Const }:commons/Utils/Const</t>
    <phoneticPr fontId="11" type="noConversion"/>
  </si>
  <si>
    <t>moment:moment:none</t>
    <phoneticPr fontId="11" type="noConversion"/>
  </si>
  <si>
    <t>프로필 이미지 변경 - (정보)</t>
    <phoneticPr fontId="1" type="noConversion"/>
  </si>
  <si>
    <t>프로필 이미지 변경 - (파일)</t>
    <phoneticPr fontId="1" type="noConversion"/>
  </si>
  <si>
    <t>로고 이미지 변경 - (파일)</t>
    <phoneticPr fontId="1" type="noConversion"/>
  </si>
  <si>
    <t>이력서 등록 - (파일)</t>
    <phoneticPr fontId="1" type="noConversion"/>
  </si>
  <si>
    <t>로고  이미지 변경 - (정보)</t>
    <phoneticPr fontId="1" type="noConversion"/>
  </si>
  <si>
    <t>이력서 등록 - (정보)</t>
    <phoneticPr fontId="1" type="noConversion"/>
  </si>
  <si>
    <t>/member/profile/:memberId</t>
    <phoneticPr fontId="11" type="noConversion"/>
  </si>
  <si>
    <t>{ DocumentRepo }:data/datastore/documentRepo
{ TblDocument }:data/entity/TblDocument</t>
    <phoneticPr fontId="11" type="noConversion"/>
  </si>
  <si>
    <t>auth_token</t>
    <phoneticPr fontId="11" type="noConversion"/>
  </si>
  <si>
    <t>/apply/list/:memberId</t>
    <phoneticPr fontId="11" type="noConversion"/>
  </si>
  <si>
    <t>/apply/docsubmit/:memberId</t>
    <phoneticPr fontId="11" type="noConversion"/>
  </si>
  <si>
    <t>지원 이력서 제출</t>
    <phoneticPr fontId="1" type="noConversion"/>
  </si>
  <si>
    <t>id
update_at
create_at
interview_url
member_id
recruit_id
apply_state
write_state</t>
    <phoneticPr fontId="11" type="noConversion"/>
  </si>
  <si>
    <t>{ WriteState }:data/entity/TblApply</t>
    <phoneticPr fontId="11" type="noConversion"/>
  </si>
  <si>
    <t>Document For Apply</t>
    <phoneticPr fontId="1" type="noConversion"/>
  </si>
  <si>
    <t>{ UpdateResult, In }:../node_modules/typeorm</t>
    <phoneticPr fontId="11" type="noConversion"/>
  </si>
  <si>
    <t>success:boolean;</t>
    <phoneticPr fontId="11" type="noConversion"/>
  </si>
  <si>
    <t>questionIds : number[];
newQuestionFolderId: number;</t>
    <phoneticPr fontId="1" type="noConversion"/>
  </si>
  <si>
    <t>questionIds : number[];</t>
    <phoneticPr fontId="1" type="noConversion"/>
  </si>
  <si>
    <t>id
create_at
title
member_id</t>
    <phoneticPr fontId="11" type="noConversion"/>
  </si>
  <si>
    <t>/interview/add/:memberId</t>
    <phoneticPr fontId="11" type="noConversion"/>
  </si>
  <si>
    <t>{ TblQuestion }:data/entity/TblQuestion</t>
    <phoneticPr fontId="11" type="noConversion"/>
  </si>
  <si>
    <t>pk : recruitId
fk : companyId
ref : memberId</t>
    <phoneticPr fontId="11" type="noConversion"/>
  </si>
  <si>
    <t>/company/recruit/add/:companyId</t>
    <phoneticPr fontId="11" type="noConversion"/>
  </si>
  <si>
    <t>/interviewquestion/:memberId/:recruitId/:questionId</t>
    <phoneticPr fontId="1" type="noConversion"/>
  </si>
  <si>
    <t>/company/interviewquestion/:companyId/:recruitId/:questionId</t>
    <phoneticPr fontId="1" type="noConversion"/>
  </si>
  <si>
    <t>email: string;
isregister: boolean</t>
    <phoneticPr fontId="11" type="noConversion"/>
  </si>
  <si>
    <t>name: string;
email: string;
password: string;</t>
    <phoneticPr fontId="1" type="noConversion"/>
  </si>
  <si>
    <t>success: boolean</t>
    <phoneticPr fontId="11" type="noConversion"/>
  </si>
  <si>
    <t>success: boolean;
id: number;</t>
    <phoneticPr fontId="11" type="noConversion"/>
  </si>
  <si>
    <t>fileBaseUrl: string;
fileName: string;
fileExt: string;
success: boolean;</t>
    <phoneticPr fontId="11" type="noConversion"/>
  </si>
  <si>
    <t>name: string;
logoimgUrl: string;
email: string;
numberEmployees: number;
industry: string;
majorField: string;
contry: string;
state: string;
city: string;
address: string;
annualSales: string;
homepageUrl: string;
representative: string;
representativeContact: string;
establishment: Date;
about: string;</t>
    <phoneticPr fontId="11" type="noConversion"/>
  </si>
  <si>
    <t>id: number;
state: RecruitState;
title: string;
receptionPeriod: string;
periodBegin: Date;
periodEnd: Date;
locationCity: string;
jobType: JobType;
salary: string;
atHome: boolean;
task: string;
processContents: string;
inquiryName: string;
inquiryContect: string;
inquiryEmail: string;
configDoc: boolean;
configInterview: boolean;</t>
    <phoneticPr fontId="11" type="noConversion"/>
  </si>
  <si>
    <t>/interview/:memberId/:interviewId</t>
    <phoneticPr fontId="11" type="noConversion"/>
  </si>
  <si>
    <t>applyId:number;
questions:number[]</t>
    <phoneticPr fontId="1" type="noConversion"/>
  </si>
  <si>
    <t>인터뷰 등록 - (파일)</t>
    <phoneticPr fontId="1" type="noConversion"/>
  </si>
  <si>
    <t>Interview</t>
    <phoneticPr fontId="11" type="noConversion"/>
  </si>
  <si>
    <t>/upload/interview/:memberId/:applyId/:seq</t>
    <phoneticPr fontId="11" type="noConversion"/>
  </si>
  <si>
    <t>"interviewFile":string</t>
    <phoneticPr fontId="11" type="noConversion"/>
  </si>
  <si>
    <t>인터뷰 추가</t>
    <phoneticPr fontId="1" type="noConversion"/>
  </si>
  <si>
    <t>applyId: number;
seq: number;</t>
    <phoneticPr fontId="1" type="noConversion"/>
  </si>
  <si>
    <t>applyId:number;
questions:number[];</t>
    <phoneticPr fontId="1" type="noConversion"/>
  </si>
  <si>
    <t>인터뷰 등록 (정보)</t>
    <phoneticPr fontId="1" type="noConversion"/>
  </si>
  <si>
    <t>{ ApplyRepo }:data/datastore/applyRepo
moment:moment:none
{ Const }:commons/Utils/Const</t>
    <phoneticPr fontId="11" type="noConversion"/>
  </si>
  <si>
    <t>{ InterviewRepo }:data/datastore/interviewRepo
{ TblInterview }:data/entity/TblInterview</t>
    <phoneticPr fontId="11" type="noConversion"/>
  </si>
  <si>
    <t>/interview/register/:memberId</t>
    <phoneticPr fontId="11" type="noConversion"/>
  </si>
  <si>
    <t xml:space="preserve">인터뷰 목록 --&gt; 지원 모듈로 이동
</t>
    <phoneticPr fontId="1" type="noConversion"/>
  </si>
  <si>
    <t>applyId: number;</t>
    <phoneticPr fontId="1" type="noConversion"/>
  </si>
  <si>
    <t>{ WriteState, TblApply }:data/entity/TblApply</t>
    <phoneticPr fontId="11" type="noConversion"/>
  </si>
  <si>
    <t>import {
    BaseEntity,
    Column,
    CreateDateColumn,
    Entity,
    PrimaryGeneratedColumn,
} from 'typeorm';
@Entity()
export class TblMail extends BaseEntity {
    @PrimaryGeneratedColumn()
    id!: number;
    @CreateDateColumn()
    create_at: Date;
    // 메일 구분 : 0/가입, 1/비밀번호재설정
    @Column({ default: 0 })
    mail_type: number;
}</t>
    <phoneticPr fontId="11" type="noConversion"/>
  </si>
  <si>
    <t>S700</t>
  </si>
  <si>
    <t>search?: string;
state?: RecruitState;
locationCity?: string;
distanceRange?: DistanceRange;
jobType?: JobType;
atHome?: AtHome;
salaryRange?: SalaryRange;</t>
    <phoneticPr fontId="11" type="noConversion"/>
  </si>
  <si>
    <t>recruitId: number</t>
    <phoneticPr fontId="1" type="noConversion"/>
  </si>
  <si>
    <t>title: string;
receptionPeriod?: string;
periodBegin: Date;
periodEnd: Date;
locationCity: string;
locationStete: string;
locationCountry: string;
jobType: JobType;
salary: SalaryRange;
atHome: boolean;
task: string;
processContents: string;
inquiryName: string;
inquiryContect: string;
inquiryEmail: string;
configDoc: boolean;
configInterview: boolean;
questions?: number[];</t>
    <phoneticPr fontId="11" type="noConversion"/>
  </si>
  <si>
    <t>success: boolean;
id: number;
createAt: Date;</t>
    <phoneticPr fontId="11" type="noConversion"/>
  </si>
  <si>
    <t>recruitId: number
title: string;
periodBegin: Date;
periodEnd: Date;
locationCity: string;
locationStete: string;
locationCountry: string;
jobType: JobType;
salary: SalaryRange;
atHome: boolean;
task: string;
inquiryName: string;
inquiryContect: string;
inquiryEmail: string;</t>
    <phoneticPr fontId="1" type="noConversion"/>
  </si>
  <si>
    <t>companyId: number;
recruitId: number;
questionId: number;
questionContents: string;</t>
    <phoneticPr fontId="11" type="noConversion"/>
  </si>
  <si>
    <t>/company/apply/list/:recruitId</t>
    <phoneticPr fontId="11" type="noConversion"/>
  </si>
  <si>
    <t>companyId: number;</t>
    <phoneticPr fontId="11" type="noConversion"/>
  </si>
  <si>
    <t>recruitId: number;</t>
    <phoneticPr fontId="1" type="noConversion"/>
  </si>
  <si>
    <t>/*
export interface IGetApplysForCompanyRes {
    id: number;
    recruitId: number;
    memberId: number;
    interviewUrl: string;
    applyState: ApplyState;
    title: string;
    state: RecruitState;
    periodBegin: Date;
    periodEnd: Date;
    locationCity: string;
    locationStete: string;
    locationCountry: string;
    companyId: number;
    city: string;
    majorField: string;
    logoimgUrl: string;
    companyName: string;
}
*/</t>
    <phoneticPr fontId="11" type="noConversion"/>
  </si>
  <si>
    <t>id: number;
applyState: ApplyState;
writeState: WriteState;
memberId: number;
createAt: Date;
email: string;
name: string;
contact: string;
profileimgUrl: string;
documents: { id: number; documentPath: string }[];</t>
    <phoneticPr fontId="11" type="noConversion"/>
  </si>
  <si>
    <t>{ ApplyState, WriteState }:data/entity/TblApply
{ RecruitState }:data/entity/TblRecruit</t>
    <phoneticPr fontId="11" type="noConversion"/>
  </si>
  <si>
    <t>applyId: number;
interviewUrl?: string;
applyState?: ApplyState;</t>
    <phoneticPr fontId="1" type="noConversion"/>
  </si>
  <si>
    <t>id: number;
recruitId: number;
memberId: number;
interviewUrl: string;
applyState: ApplyState;
title: string;
state: RecruitState;
periodBegin: Date;
periodEnd: Date;
locationCity: string;
locationStete: string;
locationCountry: string;
companyId: number;
city: string;
majorField: string;
logoimgUrl: string;
companyName: string;
interviewQuestions: any[];</t>
    <phoneticPr fontId="11" type="noConversion"/>
  </si>
  <si>
    <t>newpassword: string;</t>
    <phoneticPr fontId="1" type="noConversion"/>
  </si>
  <si>
    <t>id: number;
name: string;
logoimgUrl?: string;
numberEmployees: number;
industry: string;
majorField: string;
homepageUrl: string;
representative: string;
representativeContact: string;
state: string;
contry: string;
city: string;
address: string;
annualSales: string;
establishment: Date;
about: string;</t>
    <phoneticPr fontId="11" type="noConversion"/>
  </si>
  <si>
    <t xml:space="preserve">        try {
            console.log('GetCompanyDetail~');
            // checkToken(companyId, access_token);
            return await GetCompanyDetail(companyId);
        } catch (error) { 
            throw new ServerError(error.message, error.status, error.code);
        }</t>
    <phoneticPr fontId="11" type="noConversion"/>
  </si>
  <si>
    <t xml:space="preserve">        try {
            console.log('CheckCompanyEmail~');
            let data:ICheckCompanyEmailRes  = await CheckCompanyEmail(request);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</si>
  <si>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console.log('CreateCompany~');
            let data:ICreateCompanyRes  = await CreateCompany(request);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</si>
  <si>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console.log('GetTokenForCompany~');
            let data:IGetTokenForCompanyRes  = await GetTokenForCompany(request);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</si>
  <si>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console.log('RequestPasswordOfCompany~');
            checkToken(companyId, access_token);
            const datafromtoken: IToken = parseToken(access_token);
            let data:IRequestPasswordOfCompanyRes  = await RequestPasswordOfCompany(request, companyId, datafromtoken.email);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</si>
  <si>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console.log('UpdatePasswordOfCompanyForRequest~');
            checkToken(companyId, access_token);
            const datafromtoken: IToken = parseToken(access_token);
            let data:IUpdatePasswordOfCompanyForRequestRes  = await UpdatePasswordOfCompanyForRequest(request, companyId, datafromtoken.email);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</si>
  <si>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console.log('SaveCompany~');
            checkToken(companyId, access_token);
            let data:ISaveCompanyRes  = await SaveCompany(request, companyId);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</si>
  <si>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console.log('UpdatePasswordConfirmForCompany~');
            checkToken(companyId, access_token);
            const datafromtoken: IToken = parseToken(access_token);
            let data:IUpdatePasswordConfirmForCompanyRes  = await UpdatePasswordConfirmForCompany(request, companyId, datafromtoken.email);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</si>
  <si>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console.log('SaveCompanyProfile~');
            checkToken(companyId, access_token);
            let data:ISaveCompanyLogoRes  = await SaveCompanyLogo(request, companyId);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</si>
  <si>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console.log('GetQuestionFolder~');
            checkToken(companyId, access_token);
            return await GetQuestionFolders(companyId);
        } catch (error) {
            throw new ServerError(error.message, error.status, error.code);
        }</t>
    <phoneticPr fontId="11" type="noConversion"/>
  </si>
  <si>
    <t xml:space="preserve">        try {
            console.log('DeleteQuestionFolder~');
            checkToken(companyId, access_token);
            let data:IDeleteQuestionFolderRes  = await DeleteQuestionFolder(request, companyId, request.questionFolderId);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</si>
  <si>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console.log('SaveQuestionFolder~');
            checkToken(companyId, access_token);
            let data:ISaveQuestionFolderRes  = await SaveQuestionFolder(request, companyId, request.questionFolderId, request.name);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</si>
  <si>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console.log('AddQuestionFolder~');
            checkToken(companyId, access_token);
            let data:IAddQuestionFolderRes  = await AddQuestionFolder(request, companyId);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</si>
  <si>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console.log('GetQuestions~');
            checkToken(companyId, access_token);
            return await GetQuestions(companyId);
        } catch (error) {
            throw new ServerError(error.message, error.status, error.code);
        }</t>
    <phoneticPr fontId="11" type="noConversion"/>
  </si>
  <si>
    <t>contents: string;
questionFolderId?: number ;</t>
    <phoneticPr fontId="11" type="noConversion"/>
  </si>
  <si>
    <t xml:space="preserve">    try {
        console.log('DeleteQuestion~');
        checkToken(companyId, access_token);
        let data: IDeleteQuestionRes = await DeleteQuestion(
            request,
            companyId,
            request.questionIds,
        );
        return Promise.resolve(data);
    } catch (err) {
        throw new ServerError(err.message, err.status, err.errorcode);
    }</t>
    <phoneticPr fontId="11" type="noConversion"/>
  </si>
  <si>
    <t xml:space="preserve">        try {
            console.log('MoveQuestion~');
            checkToken(companyId, access_token);
            let data: IMoveQuestionRes = await MoveQuestion(
                request,
                companyId,
                request.questionIds,
                request.newQuestionFolderId,
            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</si>
  <si>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console.log('SaveQuestion~');
            checkToken(companyId, access_token);
            let data: ISaveQuestionRes = await SaveQuestion(
                request,
                companyId,
                request.questionId,
                request.contents,
                request.questionFolderId,
            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</si>
  <si>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console.log('AddQuestion~');
            checkToken(companyId, access_token);
            let data: IAddQuestionRes = await AddQuestion(
                request,
                companyId,
                request.contents,
                request.questionFolderId,
            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</si>
  <si>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console.log('GetQuestion~');
            checkToken(companyId, access_token);
            return await GetQuestion(companyId, questionId);
        } catch (error) {
            throw new ServerError(error.message, error.status, error.code);
        }</t>
    <phoneticPr fontId="11" type="noConversion"/>
  </si>
  <si>
    <t>/recruit/list/:memberId</t>
    <phoneticPr fontId="11" type="noConversion"/>
  </si>
  <si>
    <t>id: number;
title: string;
state: RecruitState;
periodBegin: Date;
periodEnd: Date;
jobType: JobType;
atHome: AtHome;
locationCity: string;
locationState: string;
locationCountry: string;
salary: string;
inquiryName: string;
inquiryContect: string;
inquiryEmail: string;
task: string;
companyId: number;
createAt: Date;
favorite: string;</t>
    <phoneticPr fontId="11" type="noConversion"/>
  </si>
  <si>
    <t>offset: number;
limit: number;</t>
    <phoneticPr fontId="11" type="noConversion"/>
  </si>
  <si>
    <t xml:space="preserve">        try {
            console.log('GetRecruits~');
            if ( memberId !== 0 ) {
                checkToken(memberId, access_token);
            }
            let data: IGetRecruitsRes = await GetRecruits(request, memberId,request.offset,request.limit);
            return Promise.resolve(data);
        } catch (err) {
            throw new ServerError(err.message, err.status, err.errorcode);
        }</t>
    <phoneticPr fontId="11" type="noConversion"/>
  </si>
  <si>
    <t>/recruit/home/list/:memberId</t>
    <phoneticPr fontId="1" type="noConversion"/>
  </si>
  <si>
    <t xml:space="preserve">
_x000D_
        try {_x000D_
            console.log('GetUserDetail~');_x000D_
            checkToken(memberId, access_token);_x000D_
_x000D_
            return await GetUserDetail(memberId);_x000D_
_x000D_
        } catch (error) {_x000D_
            throw new ServerError(error.message, error.status, error.code);_x000D_
        }_x000D_
</t>
    <phoneticPr fontId="11" type="noConversion"/>
  </si>
  <si>
    <t xml:space="preserve">        try {
            console.log('CheckUserEmail~');
            let data: ICheckUserEmailRes = await CheckUserEmail(request);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</si>
  <si>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console.log('CreateUser~');
            let data: ICreateUserRes = await CreateUser(request);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</si>
  <si>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console.log('GetToken~');
            let data: IGetTokenRes = await GetToken(request);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</si>
  <si>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console.log('Logout~');
            checkToken(memberId, access_token);
            return await Logout(memberId,access_token);
        } catch (error) {
            throw new ServerError(error.message, error.status, error.code);
        }</t>
    <phoneticPr fontId="11" type="noConversion"/>
  </si>
  <si>
    <t xml:space="preserve">
_x000D_
_x000D_
        try {
            console.log('RequestPassword~');
            // checkToken(memberId, access_token);
            // const datafromtoken: IToken = parseToken(access_token);
            let data: IRequestPasswordRes = await RequestPassword(request, request.email);
            return Promise.resolve(data);
        } catch (err) {
            throw new ServerError(err.message, err.status, err.errorcode);
        }
_x000D_
_x000D_
_x000D_</t>
    <phoneticPr fontId="11" type="noConversion"/>
  </si>
  <si>
    <t xml:space="preserve">        try {
            console.log('UpdatePasswordForRequest~');
            checkToken(memberId, access_token);
            const datafromtoken: IToken = parseToken(access_token);
            let data: IUpdatePasswordForRequestRes = await UpdatePasswordForRequest(request, memberId, datafromtoken.email);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</si>
  <si>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console.log('SaveUser~');
            checkToken(memberId, access_token);
            let data: ISaveUserRes = await SaveUser(request, memberId);
            return Promise.resolve(data);
        } catch (err) {
            throw new ServerError(err.message, err.status, err.errorcode);
        }</t>
    <phoneticPr fontId="11" type="noConversion"/>
  </si>
  <si>
    <t xml:space="preserve">
        try {
            console.log('UpdatePasswordConfirm~');
            // checkToken(memberId, access_token);
            // const datafromtoken: IToken = parseToken(access_token);
            let data: IUpdatePasswordConfirmRes = await UpdatePasswordConfirm(request, memberId);
            return Promise.resolve(data);
        } catch (err) {
            throw new ServerError(err.message, err.status, err.errorcode);
        }
</t>
    <phoneticPr fontId="11" type="noConversion"/>
  </si>
  <si>
    <t xml:space="preserve">        try {
            console.log('SaveUserProfile~');
            checkToken(memberId, access_token);
            let data: ISaveUserProfileRes = await SaveUserProfile(request, memberId,request.fileExt);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</si>
  <si>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console.log('GetApplysForCompany~');
            const datafromtoken: IToken = parseToken(access_token);
            return await GetApplysForCompany(recruitId, datafromtoken.userId);
        } catch (error) {
            throw new ServerError(error.message, error.status, error.code);
        }</t>
    <phoneticPr fontId="11" type="noConversion"/>
  </si>
  <si>
    <t>count: number;
list: { id: number; title: string; state: RecruitState; periodBegin: Date; periodEnd: Date; locationCity: string; companyId: number; city: string; majorField: string; logoimgUrl: string; companyName: string; createAt: Date; favorite: string; }[];</t>
    <phoneticPr fontId="11" type="noConversion"/>
  </si>
  <si>
    <t xml:space="preserve">        try {
            console.log('GetRecruitsForHome~');
            if ( memberId !== 0 ) {
                checkToken(memberId, access_token);
            }
            let data: IGetRecruitsForHomeRes = await GetRecruitsForHome(request, memberId,request.offset,request.limit);
            return data;
        } catch (error) {
            throw new ServerError(error.message, error.status, error.code);
        }</t>
    <phoneticPr fontId="11" type="noConversion"/>
  </si>
  <si>
    <t>offset?: number;
limit?: number;</t>
    <phoneticPr fontId="11" type="noConversion"/>
  </si>
  <si>
    <t>search: string;
city: string;
locationCity?: string;
distanceRange: DistanceRange;
jobType: JobType;
atHome: AtHome;
salaryRange: SalaryRange;
offset?: number;
limit?: number;</t>
    <phoneticPr fontId="11" type="noConversion"/>
  </si>
  <si>
    <t>count: number;
list: { id: number; title: string; state: RecruitState; periodBegin: Date; periodEnd: Date; atHome: AtHome; locationCity: string; address: string; salary: string; companyId: number; city: string; majorField: string; logoimgUrl: string; companyName: string; favorite: string; }[];</t>
    <phoneticPr fontId="11" type="noConversion"/>
  </si>
  <si>
    <t>id: number;
recruitId: number;
memberId: number;
interviewUrl: string;
applyState: ApplyState;
title: string;
state: RecruitState;
periodBegin: Date;
periodEnd: Date;
locationCity: string;
locationStete: string;
locationCountry: string;
companyId: number;
city: string;
majorField: string;
logoimgUrl: string;
companyName: string;
favorite: string;</t>
    <phoneticPr fontId="11" type="noConversion"/>
  </si>
  <si>
    <t>id
create_at
member_id
noti_message
noti_saved</t>
    <phoneticPr fontId="11" type="noConversion"/>
  </si>
  <si>
    <t>noti_message
noti_saved</t>
    <phoneticPr fontId="11" type="noConversion"/>
  </si>
  <si>
    <t>notiMessage: boolean;
notiSaved: boolean;</t>
    <phoneticPr fontId="11" type="noConversion"/>
  </si>
  <si>
    <t>관심 공고 삭제</t>
    <phoneticPr fontId="1" type="noConversion"/>
  </si>
  <si>
    <t>/recruit/favorite/delete/:memberId</t>
    <phoneticPr fontId="11" type="noConversion"/>
  </si>
  <si>
    <t>success: boolean;</t>
    <phoneticPr fontId="11" type="noConversion"/>
  </si>
  <si>
    <t>/recruit/favorite/list/:memberId</t>
    <phoneticPr fontId="11" type="noConversion"/>
  </si>
  <si>
    <t>자동저장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</si>
</sst>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ajor"/>
    </font>
    <font>
      <u/>
      <sz val="11"/>
      <color theme="10"/>
      <name val="맑은 고딕"/>
      <family val="2"/>
      <charset val="129"/>
      <scheme val="minor"/>
    </font>
    <font>
      <b/>
      <u/>
      <sz val="9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ajor"/>
    </font>
    <font>
      <sz val="9"/>
      <color rgb="FFFF0000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9"/>
      <color rgb="FFFF0000"/>
      <name val="맑은 고딕"/>
      <family val="3"/>
      <charset val="129"/>
      <scheme val="major"/>
    </font>
    <font>
      <u/>
      <sz val="9"/>
      <color theme="1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8"/>
      <color rgb="FFD4D4D4"/>
      <name val="Consolas"/>
      <family val="3"/>
    </font>
    <font>
      <sz val="9"/>
      <name val="맑은 고딕"/>
      <family val="3"/>
      <charset val="129"/>
      <scheme val="major"/>
    </font>
    <font>
      <sz val="11"/>
      <color rgb="FF000000"/>
      <name val="맑은 고딕"/>
      <family val="2"/>
      <charset val="129"/>
    </font>
    <font>
      <sz val="13"/>
      <color rgb="FF000000"/>
      <name val="맑은 고딕"/>
      <family val="2"/>
      <charset val="129"/>
    </font>
    <font>
      <sz val="13"/>
      <color rgb="FF000000"/>
      <name val="Lucida Grande"/>
      <family val="2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0" fillId="0" borderId="0">
      <alignment vertical="center"/>
    </xf>
  </cellStyleXfs>
  <cellXfs count="4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>
      <alignment vertical="center"/>
    </xf>
    <xf numFmtId="0" fontId="6" fillId="0" borderId="1" xfId="0" quotePrefix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6" fillId="0" borderId="1" xfId="0" applyFont="1" applyBorder="1">
      <alignment vertical="center"/>
    </xf>
    <xf numFmtId="0" fontId="8" fillId="0" borderId="1" xfId="0" applyFont="1" applyBorder="1">
      <alignment vertical="center"/>
    </xf>
    <xf numFmtId="0" fontId="7" fillId="3" borderId="1" xfId="0" applyFont="1" applyFill="1" applyBorder="1">
      <alignment vertical="center"/>
    </xf>
    <xf numFmtId="0" fontId="7" fillId="3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0" fillId="4" borderId="0" xfId="0" applyFill="1">
      <alignment vertical="center"/>
    </xf>
    <xf numFmtId="0" fontId="5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vertical="center" wrapText="1"/>
    </xf>
    <xf numFmtId="0" fontId="2" fillId="0" borderId="2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left" vertical="center"/>
    </xf>
    <xf numFmtId="0" fontId="2" fillId="0" borderId="4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0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2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vertical="top" wrapText="1"/>
    </xf>
    <xf numFmtId="0" fontId="2" fillId="0" borderId="4" xfId="0" applyFont="1" applyBorder="1" applyAlignment="1">
      <alignment vertical="top" wrapText="1"/>
    </xf>
    <xf numFmtId="0" fontId="7" fillId="0" borderId="2" xfId="0" applyFont="1" applyBorder="1" applyAlignment="1">
      <alignment vertical="center" wrapText="1"/>
    </xf>
    <xf numFmtId="0" fontId="3" fillId="0" borderId="1" xfId="1" applyBorder="1" applyAlignment="1">
      <alignment horizontal="left" vertical="top"/>
    </xf>
    <xf numFmtId="0" fontId="2" fillId="0" borderId="8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5" xfId="0" applyFont="1" applyBorder="1" applyAlignment="1">
      <alignment vertical="top" wrapText="1"/>
    </xf>
    <xf numFmtId="0" fontId="2" fillId="5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top" wrapText="1"/>
    </xf>
    <xf numFmtId="0" fontId="4" fillId="5" borderId="1" xfId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left" vertical="center"/>
    </xf>
    <xf numFmtId="0" fontId="6" fillId="0" borderId="4" xfId="0" applyFont="1" applyBorder="1" applyAlignment="1">
      <alignment horizontal="center" vertical="center"/>
    </xf>
    <xf numFmtId="0" fontId="6" fillId="0" borderId="4" xfId="0" applyFont="1" applyBorder="1">
      <alignment vertical="center"/>
    </xf>
    <xf numFmtId="0" fontId="7" fillId="0" borderId="4" xfId="0" applyFont="1" applyBorder="1" applyAlignment="1">
      <alignment horizontal="left" vertical="center"/>
    </xf>
    <xf numFmtId="0" fontId="6" fillId="0" borderId="14" xfId="0" applyFont="1" applyBorder="1" applyAlignment="1">
      <alignment horizontal="center" vertical="center"/>
    </xf>
    <xf numFmtId="0" fontId="7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7" fillId="0" borderId="5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left" vertical="top"/>
    </xf>
    <xf numFmtId="0" fontId="9" fillId="0" borderId="13" xfId="0" applyFont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left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left" vertical="center"/>
    </xf>
    <xf numFmtId="0" fontId="2" fillId="5" borderId="4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left" vertical="center"/>
    </xf>
    <xf numFmtId="0" fontId="6" fillId="5" borderId="14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left" vertical="top"/>
    </xf>
    <xf numFmtId="0" fontId="9" fillId="5" borderId="14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 wrapText="1"/>
    </xf>
    <xf numFmtId="0" fontId="7" fillId="5" borderId="14" xfId="0" applyFont="1" applyFill="1" applyBorder="1" applyAlignment="1">
      <alignment horizontal="left" vertical="center"/>
    </xf>
    <xf numFmtId="0" fontId="3" fillId="0" borderId="14" xfId="1" applyBorder="1" applyAlignment="1">
      <alignment horizontal="left" vertical="top"/>
    </xf>
    <xf numFmtId="0" fontId="2" fillId="0" borderId="13" xfId="0" applyFont="1" applyBorder="1" applyAlignment="1">
      <alignment horizontal="center" vertical="top" wrapText="1"/>
    </xf>
    <xf numFmtId="0" fontId="2" fillId="0" borderId="13" xfId="0" applyFont="1" applyBorder="1" applyAlignment="1">
      <alignment horizontal="left" vertical="center"/>
    </xf>
    <xf numFmtId="0" fontId="6" fillId="0" borderId="3" xfId="0" applyFont="1" applyBorder="1">
      <alignment vertical="center"/>
    </xf>
    <xf numFmtId="0" fontId="6" fillId="0" borderId="14" xfId="0" applyFont="1" applyBorder="1">
      <alignment vertical="center"/>
    </xf>
    <xf numFmtId="0" fontId="2" fillId="3" borderId="1" xfId="0" applyFont="1" applyFill="1" applyBorder="1">
      <alignment vertical="center"/>
    </xf>
    <xf numFmtId="0" fontId="2" fillId="3" borderId="3" xfId="0" applyFont="1" applyFill="1" applyBorder="1">
      <alignment vertical="center"/>
    </xf>
    <xf numFmtId="0" fontId="6" fillId="5" borderId="14" xfId="0" applyFont="1" applyFill="1" applyBorder="1">
      <alignment vertical="center"/>
    </xf>
    <xf numFmtId="0" fontId="2" fillId="5" borderId="4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12" fillId="0" borderId="1" xfId="0" applyFont="1" applyBorder="1" applyAlignment="1">
      <alignment horizontal="center" vertical="center"/>
    </xf>
    <xf numFmtId="0" fontId="3" fillId="0" borderId="4" xfId="1" applyBorder="1" applyAlignment="1">
      <alignment horizontal="left" vertical="top"/>
    </xf>
    <xf numFmtId="0" fontId="3" fillId="0" borderId="5" xfId="1" applyBorder="1" applyAlignment="1">
      <alignment horizontal="left" vertical="top"/>
    </xf>
    <xf numFmtId="0" fontId="3" fillId="0" borderId="3" xfId="1" applyBorder="1" applyAlignment="1">
      <alignment horizontal="left" vertical="top"/>
    </xf>
    <xf numFmtId="0" fontId="2" fillId="0" borderId="11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3" xfId="0" applyFont="1" applyBorder="1" applyAlignment="1">
      <alignment horizontal="center" vertical="center"/>
    </xf>
    <xf numFmtId="0" fontId="12" fillId="2" borderId="1" xfId="0" applyFont="1" applyFill="1" applyBorder="1">
      <alignment vertical="center"/>
    </xf>
    <xf numFmtId="0" fontId="2" fillId="0" borderId="1" xfId="0" applyFont="1" applyBorder="1" applyAlignment="1">
      <alignment vertical="top" wrapText="1"/>
    </xf>
    <xf numFmtId="0" fontId="2" fillId="0" borderId="1" xfId="0" applyFont="1" applyBorder="1" applyAlignment="1">
      <alignment vertical="top"/>
    </xf>
    <xf numFmtId="0" fontId="2" fillId="0" borderId="3" xfId="0" applyFont="1" applyBorder="1" applyAlignment="1">
      <alignment vertical="top"/>
    </xf>
    <xf numFmtId="0" fontId="2" fillId="0" borderId="1" xfId="0" applyFont="1" applyBorder="1">
      <alignment vertical="center"/>
    </xf>
    <xf numFmtId="0" fontId="2" fillId="0" borderId="14" xfId="0" applyFont="1" applyBorder="1" applyAlignment="1">
      <alignment vertical="top"/>
    </xf>
    <xf numFmtId="0" fontId="2" fillId="0" borderId="4" xfId="0" applyFont="1" applyBorder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3" xfId="0" applyFont="1" applyBorder="1" applyAlignment="1">
      <alignment vertical="top"/>
    </xf>
    <xf numFmtId="0" fontId="9" fillId="0" borderId="5" xfId="0" applyFont="1" applyBorder="1" applyAlignment="1">
      <alignment vertical="top"/>
    </xf>
    <xf numFmtId="0" fontId="9" fillId="0" borderId="4" xfId="0" applyFont="1" applyBorder="1" applyAlignment="1">
      <alignment vertical="top"/>
    </xf>
    <xf numFmtId="0" fontId="9" fillId="0" borderId="14" xfId="0" applyFont="1" applyBorder="1" applyAlignment="1">
      <alignment vertical="top"/>
    </xf>
    <xf numFmtId="0" fontId="9" fillId="0" borderId="5" xfId="0" applyFont="1" applyBorder="1" applyAlignment="1">
      <alignment vertical="top" wrapText="1"/>
    </xf>
    <xf numFmtId="0" fontId="9" fillId="0" borderId="4" xfId="0" applyFont="1" applyBorder="1" applyAlignment="1">
      <alignment vertical="top" wrapText="1"/>
    </xf>
    <xf numFmtId="0" fontId="9" fillId="0" borderId="4" xfId="0" applyFont="1" applyBorder="1">
      <alignment vertical="center"/>
    </xf>
    <xf numFmtId="0" fontId="9" fillId="0" borderId="1" xfId="0" applyFont="1" applyBorder="1">
      <alignment vertical="center"/>
    </xf>
    <xf numFmtId="0" fontId="9" fillId="5" borderId="3" xfId="0" applyFont="1" applyFill="1" applyBorder="1" applyAlignment="1">
      <alignment vertical="top"/>
    </xf>
    <xf numFmtId="0" fontId="9" fillId="5" borderId="14" xfId="0" applyFont="1" applyFill="1" applyBorder="1" applyAlignment="1">
      <alignment vertical="top"/>
    </xf>
    <xf numFmtId="0" fontId="9" fillId="5" borderId="5" xfId="0" applyFont="1" applyFill="1" applyBorder="1" applyAlignment="1">
      <alignment vertical="top"/>
    </xf>
    <xf numFmtId="0" fontId="9" fillId="5" borderId="4" xfId="0" applyFont="1" applyFill="1" applyBorder="1" applyAlignment="1">
      <alignment vertical="top"/>
    </xf>
    <xf numFmtId="0" fontId="9" fillId="0" borderId="1" xfId="0" applyFont="1" applyBorder="1" applyAlignment="1">
      <alignment vertical="top" wrapText="1"/>
    </xf>
    <xf numFmtId="0" fontId="9" fillId="0" borderId="1" xfId="0" applyFont="1" applyBorder="1" applyAlignment="1">
      <alignment horizontal="left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9" fillId="5" borderId="3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left" vertical="top"/>
    </xf>
    <xf numFmtId="0" fontId="2" fillId="0" borderId="5" xfId="0" applyFont="1" applyBorder="1" applyAlignment="1">
      <alignment horizontal="left" vertical="top"/>
    </xf>
    <xf numFmtId="0" fontId="2" fillId="5" borderId="3" xfId="0" applyFont="1" applyFill="1" applyBorder="1" applyAlignment="1">
      <alignment horizontal="left" vertical="top"/>
    </xf>
    <xf numFmtId="0" fontId="2" fillId="0" borderId="5" xfId="0" applyFont="1" applyBorder="1" applyAlignment="1">
      <alignment horizontal="center" vertical="top" wrapText="1"/>
    </xf>
    <xf numFmtId="0" fontId="2" fillId="0" borderId="4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top" wrapText="1"/>
    </xf>
    <xf numFmtId="0" fontId="9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top"/>
    </xf>
    <xf numFmtId="0" fontId="2" fillId="0" borderId="3" xfId="0" applyFont="1" applyBorder="1" applyAlignment="1">
      <alignment horizontal="left" vertical="top" wrapText="1"/>
    </xf>
    <xf numFmtId="0" fontId="2" fillId="0" borderId="5" xfId="0" applyFont="1" applyBorder="1" applyAlignment="1">
      <alignment horizontal="left" vertical="top" wrapText="1"/>
    </xf>
    <xf numFmtId="0" fontId="2" fillId="5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 wrapText="1"/>
    </xf>
    <xf numFmtId="0" fontId="2" fillId="0" borderId="14" xfId="0" applyFont="1" applyBorder="1" applyAlignment="1">
      <alignment horizontal="left" vertical="center" wrapText="1"/>
    </xf>
    <xf numFmtId="0" fontId="2" fillId="3" borderId="1" xfId="0" applyFont="1" applyFill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2" fillId="5" borderId="3" xfId="0" applyFont="1" applyFill="1" applyBorder="1" applyAlignment="1">
      <alignment horizontal="left" vertical="center" wrapText="1"/>
    </xf>
    <xf numFmtId="0" fontId="2" fillId="3" borderId="3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left" vertical="center" wrapText="1"/>
    </xf>
    <xf numFmtId="0" fontId="2" fillId="5" borderId="4" xfId="0" applyFont="1" applyFill="1" applyBorder="1" applyAlignment="1">
      <alignment horizontal="left" vertical="center" wrapText="1"/>
    </xf>
    <xf numFmtId="0" fontId="2" fillId="5" borderId="1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6" fillId="4" borderId="0" xfId="0" applyFont="1" applyFill="1">
      <alignment vertical="center"/>
    </xf>
    <xf numFmtId="0" fontId="6" fillId="4" borderId="0" xfId="0" applyFont="1" applyFill="1" applyAlignment="1">
      <alignment horizontal="left" vertical="center"/>
    </xf>
    <xf numFmtId="0" fontId="6" fillId="5" borderId="0" xfId="0" applyFont="1" applyFill="1" applyAlignment="1">
      <alignment horizontal="left" vertical="center"/>
    </xf>
    <xf numFmtId="0" fontId="6" fillId="0" borderId="0" xfId="0" applyFont="1" applyAlignment="1">
      <alignment horizontal="center" wrapText="1"/>
    </xf>
    <xf numFmtId="0" fontId="6" fillId="0" borderId="0" xfId="2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>
      <alignment vertical="center"/>
    </xf>
    <xf numFmtId="0" fontId="5" fillId="2" borderId="1" xfId="0" applyFont="1" applyFill="1" applyBorder="1" applyAlignment="1">
      <alignment horizontal="center" vertical="top" wrapText="1"/>
    </xf>
    <xf numFmtId="0" fontId="12" fillId="2" borderId="2" xfId="0" applyFont="1" applyFill="1" applyBorder="1" applyAlignment="1">
      <alignment horizontal="left" vertical="center"/>
    </xf>
    <xf numFmtId="0" fontId="13" fillId="0" borderId="1" xfId="1" applyFont="1" applyBorder="1" applyAlignment="1">
      <alignment horizontal="left" vertical="top"/>
    </xf>
    <xf numFmtId="0" fontId="6" fillId="0" borderId="2" xfId="2" applyFont="1" applyBorder="1">
      <alignment vertical="center"/>
    </xf>
    <xf numFmtId="0" fontId="6" fillId="0" borderId="1" xfId="2" applyFont="1" applyBorder="1">
      <alignment vertical="center"/>
    </xf>
    <xf numFmtId="0" fontId="6" fillId="0" borderId="14" xfId="2" applyFont="1" applyBorder="1">
      <alignment vertical="center"/>
    </xf>
    <xf numFmtId="0" fontId="13" fillId="0" borderId="1" xfId="1" applyFont="1" applyBorder="1" applyAlignment="1">
      <alignment horizontal="center" vertical="top"/>
    </xf>
    <xf numFmtId="0" fontId="6" fillId="0" borderId="3" xfId="2" applyFont="1" applyBorder="1">
      <alignment vertical="center"/>
    </xf>
    <xf numFmtId="0" fontId="6" fillId="0" borderId="12" xfId="0" applyFont="1" applyBorder="1">
      <alignment vertical="center"/>
    </xf>
    <xf numFmtId="0" fontId="5" fillId="2" borderId="14" xfId="0" applyFont="1" applyFill="1" applyBorder="1" applyAlignment="1">
      <alignment horizontal="center" vertical="center"/>
    </xf>
    <xf numFmtId="0" fontId="6" fillId="0" borderId="13" xfId="2" applyFont="1" applyBorder="1">
      <alignment vertical="center"/>
    </xf>
    <xf numFmtId="0" fontId="13" fillId="0" borderId="14" xfId="1" applyFont="1" applyBorder="1" applyAlignment="1">
      <alignment horizontal="center" vertical="top"/>
    </xf>
    <xf numFmtId="0" fontId="6" fillId="0" borderId="11" xfId="2" applyFont="1" applyBorder="1">
      <alignment vertical="center"/>
    </xf>
    <xf numFmtId="0" fontId="6" fillId="0" borderId="4" xfId="2" applyFont="1" applyBorder="1">
      <alignment vertical="center"/>
    </xf>
    <xf numFmtId="0" fontId="13" fillId="0" borderId="4" xfId="1" applyFont="1" applyBorder="1" applyAlignment="1">
      <alignment horizontal="center" vertical="top"/>
    </xf>
    <xf numFmtId="0" fontId="6" fillId="0" borderId="8" xfId="2" applyFont="1" applyBorder="1">
      <alignment vertical="center"/>
    </xf>
    <xf numFmtId="0" fontId="13" fillId="0" borderId="3" xfId="1" applyFont="1" applyBorder="1" applyAlignment="1">
      <alignment horizontal="center" vertical="top"/>
    </xf>
    <xf numFmtId="0" fontId="2" fillId="0" borderId="5" xfId="0" applyFont="1" applyBorder="1" applyAlignment="1">
      <alignment vertical="center" wrapText="1"/>
    </xf>
    <xf numFmtId="0" fontId="6" fillId="0" borderId="2" xfId="0" applyFont="1" applyBorder="1">
      <alignment vertical="center"/>
    </xf>
    <xf numFmtId="0" fontId="6" fillId="0" borderId="8" xfId="0" applyFont="1" applyBorder="1">
      <alignment vertical="center"/>
    </xf>
    <xf numFmtId="0" fontId="6" fillId="0" borderId="15" xfId="0" applyFont="1" applyBorder="1">
      <alignment vertical="center"/>
    </xf>
    <xf numFmtId="0" fontId="6" fillId="0" borderId="13" xfId="0" applyFont="1" applyBorder="1">
      <alignment vertical="center"/>
    </xf>
    <xf numFmtId="0" fontId="6" fillId="0" borderId="18" xfId="2" applyFont="1" applyBorder="1">
      <alignment vertical="center"/>
    </xf>
    <xf numFmtId="0" fontId="6" fillId="0" borderId="16" xfId="2" applyFont="1" applyBorder="1">
      <alignment vertical="center"/>
    </xf>
    <xf numFmtId="0" fontId="6" fillId="3" borderId="1" xfId="0" applyFont="1" applyFill="1" applyBorder="1">
      <alignment vertical="center"/>
    </xf>
    <xf numFmtId="0" fontId="6" fillId="3" borderId="0" xfId="0" applyFont="1" applyFill="1">
      <alignment vertical="center"/>
    </xf>
    <xf numFmtId="0" fontId="6" fillId="0" borderId="1" xfId="0" applyFont="1" applyBorder="1" applyAlignment="1">
      <alignment horizontal="left" vertical="top" wrapText="1"/>
    </xf>
    <xf numFmtId="0" fontId="6" fillId="4" borderId="3" xfId="2" applyFont="1" applyFill="1" applyBorder="1">
      <alignment vertical="center"/>
    </xf>
    <xf numFmtId="0" fontId="9" fillId="6" borderId="5" xfId="0" applyFont="1" applyFill="1" applyBorder="1" applyAlignment="1">
      <alignment horizontal="center" vertical="center"/>
    </xf>
    <xf numFmtId="0" fontId="13" fillId="0" borderId="5" xfId="1" applyFont="1" applyBorder="1" applyAlignment="1">
      <alignment horizontal="center" vertical="top"/>
    </xf>
    <xf numFmtId="0" fontId="9" fillId="6" borderId="14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6" fillId="0" borderId="17" xfId="2" applyFont="1" applyBorder="1">
      <alignment vertical="center"/>
    </xf>
    <xf numFmtId="0" fontId="9" fillId="6" borderId="1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left" vertical="center"/>
    </xf>
    <xf numFmtId="0" fontId="6" fillId="5" borderId="1" xfId="0" applyFont="1" applyFill="1" applyBorder="1">
      <alignment vertical="center"/>
    </xf>
    <xf numFmtId="0" fontId="6" fillId="5" borderId="0" xfId="0" applyFont="1" applyFill="1">
      <alignment vertical="center"/>
    </xf>
    <xf numFmtId="0" fontId="2" fillId="5" borderId="14" xfId="0" applyFont="1" applyFill="1" applyBorder="1" applyAlignment="1">
      <alignment horizontal="left" vertical="center"/>
    </xf>
    <xf numFmtId="0" fontId="6" fillId="5" borderId="12" xfId="0" applyFont="1" applyFill="1" applyBorder="1">
      <alignment vertical="center"/>
    </xf>
    <xf numFmtId="0" fontId="6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vertical="top"/>
    </xf>
    <xf numFmtId="0" fontId="3" fillId="5" borderId="3" xfId="1" applyFill="1" applyBorder="1" applyAlignment="1">
      <alignment horizontal="left" vertical="top"/>
    </xf>
    <xf numFmtId="0" fontId="9" fillId="0" borderId="1" xfId="0" applyFont="1" applyBorder="1" applyAlignment="1">
      <alignment horizontal="left" vertical="center" wrapText="1"/>
    </xf>
    <xf numFmtId="0" fontId="2" fillId="5" borderId="3" xfId="0" applyFont="1" applyFill="1" applyBorder="1" applyAlignment="1">
      <alignment horizontal="left" vertical="top" wrapText="1"/>
    </xf>
    <xf numFmtId="0" fontId="9" fillId="0" borderId="1" xfId="0" applyFont="1" applyBorder="1" applyAlignment="1">
      <alignment horizontal="left" vertical="top" wrapText="1"/>
    </xf>
    <xf numFmtId="0" fontId="6" fillId="5" borderId="1" xfId="0" applyFont="1" applyFill="1" applyBorder="1" applyAlignment="1">
      <alignment vertical="center" wrapText="1"/>
    </xf>
    <xf numFmtId="0" fontId="9" fillId="5" borderId="1" xfId="0" applyFont="1" applyFill="1" applyBorder="1">
      <alignment vertical="center"/>
    </xf>
    <xf numFmtId="0" fontId="6" fillId="0" borderId="0" xfId="0" applyFont="1" applyAlignment="1">
      <alignment horizontal="left" vertical="center" wrapText="1"/>
    </xf>
    <xf numFmtId="0" fontId="6" fillId="0" borderId="1" xfId="0" applyFont="1" applyBorder="1" applyAlignment="1">
      <alignment vertical="center" wrapText="1"/>
    </xf>
    <xf numFmtId="0" fontId="3" fillId="4" borderId="1" xfId="1" applyFill="1" applyBorder="1" applyAlignment="1">
      <alignment horizontal="left" vertical="top"/>
    </xf>
    <xf numFmtId="0" fontId="2" fillId="0" borderId="1" xfId="0" applyFont="1" applyBorder="1" applyAlignment="1">
      <alignment horizontal="center" vertical="top" wrapText="1"/>
    </xf>
    <xf numFmtId="0" fontId="2" fillId="0" borderId="1" xfId="0" quotePrefix="1" applyFont="1" applyBorder="1" applyAlignment="1">
      <alignment horizontal="left" vertical="center" wrapText="1"/>
    </xf>
    <xf numFmtId="0" fontId="15" fillId="0" borderId="0" xfId="0" applyFont="1">
      <alignment vertical="center"/>
    </xf>
    <xf numFmtId="0" fontId="6" fillId="0" borderId="4" xfId="0" applyFont="1" applyBorder="1" applyAlignment="1">
      <alignment horizontal="left" vertical="top"/>
    </xf>
    <xf numFmtId="0" fontId="3" fillId="4" borderId="4" xfId="1" applyFill="1" applyBorder="1" applyAlignment="1">
      <alignment horizontal="left" vertical="top"/>
    </xf>
    <xf numFmtId="0" fontId="6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left" vertical="top"/>
    </xf>
    <xf numFmtId="0" fontId="2" fillId="4" borderId="8" xfId="0" applyFont="1" applyFill="1" applyBorder="1" applyAlignment="1">
      <alignment horizontal="center" vertical="top" wrapText="1"/>
    </xf>
    <xf numFmtId="0" fontId="2" fillId="4" borderId="1" xfId="0" applyFont="1" applyFill="1" applyBorder="1" applyAlignment="1">
      <alignment horizontal="left" vertical="center"/>
    </xf>
    <xf numFmtId="0" fontId="2" fillId="4" borderId="2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vertical="top" wrapText="1"/>
    </xf>
    <xf numFmtId="0" fontId="9" fillId="4" borderId="1" xfId="0" applyFont="1" applyFill="1" applyBorder="1" applyAlignment="1">
      <alignment horizontal="center" vertical="center"/>
    </xf>
    <xf numFmtId="0" fontId="9" fillId="4" borderId="1" xfId="0" applyFont="1" applyFill="1" applyBorder="1">
      <alignment vertical="center"/>
    </xf>
    <xf numFmtId="0" fontId="2" fillId="4" borderId="3" xfId="0" applyFont="1" applyFill="1" applyBorder="1" applyAlignment="1">
      <alignment vertical="top" wrapText="1"/>
    </xf>
    <xf numFmtId="0" fontId="2" fillId="4" borderId="1" xfId="0" applyFont="1" applyFill="1" applyBorder="1" applyAlignment="1">
      <alignment horizontal="left" vertical="center" wrapText="1"/>
    </xf>
    <xf numFmtId="0" fontId="6" fillId="4" borderId="1" xfId="0" applyFont="1" applyFill="1" applyBorder="1">
      <alignment vertical="center"/>
    </xf>
    <xf numFmtId="0" fontId="13" fillId="4" borderId="1" xfId="1" applyFont="1" applyFill="1" applyBorder="1" applyAlignment="1">
      <alignment horizontal="left" vertical="top"/>
    </xf>
    <xf numFmtId="0" fontId="6" fillId="4" borderId="2" xfId="0" applyFont="1" applyFill="1" applyBorder="1">
      <alignment vertical="center"/>
    </xf>
    <xf numFmtId="0" fontId="7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left" vertical="center"/>
    </xf>
    <xf numFmtId="0" fontId="13" fillId="4" borderId="1" xfId="1" applyFont="1" applyFill="1" applyBorder="1" applyAlignment="1">
      <alignment horizontal="center" vertical="top"/>
    </xf>
    <xf numFmtId="0" fontId="2" fillId="0" borderId="6" xfId="0" applyFont="1" applyBorder="1" applyAlignment="1">
      <alignment vertical="top" wrapText="1"/>
    </xf>
    <xf numFmtId="0" fontId="2" fillId="0" borderId="10" xfId="0" applyFont="1" applyBorder="1" applyAlignment="1">
      <alignment vertical="top" wrapText="1"/>
    </xf>
    <xf numFmtId="0" fontId="16" fillId="4" borderId="1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left" vertical="center"/>
    </xf>
    <xf numFmtId="0" fontId="2" fillId="4" borderId="4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vertical="top"/>
    </xf>
    <xf numFmtId="0" fontId="9" fillId="4" borderId="2" xfId="0" applyFont="1" applyFill="1" applyBorder="1" applyAlignment="1">
      <alignment horizontal="center" vertical="center"/>
    </xf>
    <xf numFmtId="0" fontId="6" fillId="4" borderId="14" xfId="2" applyFont="1" applyFill="1" applyBorder="1">
      <alignment vertical="center"/>
    </xf>
    <xf numFmtId="0" fontId="2" fillId="4" borderId="4" xfId="0" applyFont="1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vertical="top" wrapText="1"/>
    </xf>
    <xf numFmtId="0" fontId="2" fillId="4" borderId="1" xfId="0" applyFont="1" applyFill="1" applyBorder="1" applyAlignment="1">
      <alignment horizontal="center" vertical="top" wrapText="1"/>
    </xf>
    <xf numFmtId="0" fontId="6" fillId="4" borderId="19" xfId="0" applyFont="1" applyFill="1" applyBorder="1">
      <alignment vertical="center"/>
    </xf>
    <xf numFmtId="0" fontId="6" fillId="4" borderId="4" xfId="0" applyFont="1" applyFill="1" applyBorder="1" applyAlignment="1">
      <alignment horizontal="left" vertical="top"/>
    </xf>
    <xf numFmtId="0" fontId="6" fillId="4" borderId="0" xfId="0" applyFont="1" applyFill="1" applyAlignment="1">
      <alignment vertical="center" wrapText="1"/>
    </xf>
    <xf numFmtId="0" fontId="9" fillId="0" borderId="3" xfId="0" applyFont="1" applyBorder="1">
      <alignment vertical="center"/>
    </xf>
    <xf numFmtId="0" fontId="9" fillId="0" borderId="3" xfId="0" applyFont="1" applyBorder="1" applyAlignment="1">
      <alignment horizontal="left" vertical="center"/>
    </xf>
    <xf numFmtId="0" fontId="7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4" xfId="0" applyFont="1" applyBorder="1" applyAlignment="1">
      <alignment horizontal="left" vertical="center"/>
    </xf>
    <xf numFmtId="0" fontId="6" fillId="0" borderId="0" xfId="0" applyFont="1" applyAlignment="1">
      <alignment vertical="center" wrapText="1"/>
    </xf>
    <xf numFmtId="0" fontId="9" fillId="0" borderId="14" xfId="0" applyFont="1" applyBorder="1" applyAlignment="1">
      <alignment vertical="top" wrapText="1"/>
    </xf>
    <xf numFmtId="0" fontId="2" fillId="0" borderId="17" xfId="0" applyFont="1" applyBorder="1" applyAlignment="1">
      <alignment vertical="top" wrapText="1"/>
    </xf>
    <xf numFmtId="0" fontId="7" fillId="0" borderId="3" xfId="0" applyFont="1" applyBorder="1" applyAlignment="1">
      <alignment horizontal="center" vertical="center"/>
    </xf>
    <xf numFmtId="0" fontId="9" fillId="0" borderId="5" xfId="0" applyFont="1" applyBorder="1">
      <alignment vertical="center"/>
    </xf>
    <xf numFmtId="0" fontId="6" fillId="0" borderId="5" xfId="0" applyFont="1" applyBorder="1">
      <alignment vertical="center"/>
    </xf>
    <xf numFmtId="0" fontId="9" fillId="0" borderId="5" xfId="0" applyFont="1" applyBorder="1" applyAlignment="1">
      <alignment horizontal="left" vertical="center"/>
    </xf>
    <xf numFmtId="0" fontId="6" fillId="8" borderId="4" xfId="0" applyFont="1" applyFill="1" applyBorder="1">
      <alignment vertical="center"/>
    </xf>
    <xf numFmtId="0" fontId="6" fillId="8" borderId="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top" wrapText="1"/>
    </xf>
    <xf numFmtId="0" fontId="6" fillId="8" borderId="4" xfId="0" applyFont="1" applyFill="1" applyBorder="1" applyAlignment="1">
      <alignment horizontal="left" vertical="center"/>
    </xf>
    <xf numFmtId="0" fontId="2" fillId="8" borderId="4" xfId="0" applyFont="1" applyFill="1" applyBorder="1" applyAlignment="1">
      <alignment horizontal="left" vertical="center"/>
    </xf>
    <xf numFmtId="0" fontId="2" fillId="8" borderId="4" xfId="0" applyFont="1" applyFill="1" applyBorder="1" applyAlignment="1">
      <alignment horizontal="left" vertical="top"/>
    </xf>
    <xf numFmtId="0" fontId="9" fillId="8" borderId="4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9" fillId="8" borderId="4" xfId="0" applyFont="1" applyFill="1" applyBorder="1">
      <alignment vertical="center"/>
    </xf>
    <xf numFmtId="0" fontId="2" fillId="8" borderId="4" xfId="0" applyFont="1" applyFill="1" applyBorder="1" applyAlignment="1">
      <alignment vertical="top" wrapText="1"/>
    </xf>
    <xf numFmtId="0" fontId="2" fillId="8" borderId="4" xfId="0" applyFont="1" applyFill="1" applyBorder="1" applyAlignment="1">
      <alignment horizontal="left" vertical="center" wrapText="1"/>
    </xf>
    <xf numFmtId="0" fontId="6" fillId="8" borderId="4" xfId="2" applyFont="1" applyFill="1" applyBorder="1">
      <alignment vertical="center"/>
    </xf>
    <xf numFmtId="0" fontId="3" fillId="8" borderId="4" xfId="1" applyFill="1" applyBorder="1" applyAlignment="1">
      <alignment horizontal="left" vertical="top"/>
    </xf>
    <xf numFmtId="0" fontId="7" fillId="8" borderId="4" xfId="0" applyFont="1" applyFill="1" applyBorder="1" applyAlignment="1">
      <alignment horizontal="center" vertical="center"/>
    </xf>
    <xf numFmtId="0" fontId="9" fillId="8" borderId="4" xfId="0" applyFont="1" applyFill="1" applyBorder="1" applyAlignment="1">
      <alignment horizontal="left" vertical="center"/>
    </xf>
    <xf numFmtId="0" fontId="2" fillId="8" borderId="4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left" vertical="center"/>
    </xf>
    <xf numFmtId="0" fontId="13" fillId="8" borderId="4" xfId="1" applyFont="1" applyFill="1" applyBorder="1" applyAlignment="1">
      <alignment horizontal="center" vertical="top"/>
    </xf>
    <xf numFmtId="0" fontId="6" fillId="8" borderId="0" xfId="0" applyFont="1" applyFill="1">
      <alignment vertical="center"/>
    </xf>
    <xf numFmtId="0" fontId="6" fillId="8" borderId="3" xfId="0" applyFont="1" applyFill="1" applyBorder="1">
      <alignment vertical="center"/>
    </xf>
    <xf numFmtId="0" fontId="6" fillId="8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left" vertical="center" wrapText="1"/>
    </xf>
    <xf numFmtId="0" fontId="2" fillId="8" borderId="3" xfId="0" applyFont="1" applyFill="1" applyBorder="1" applyAlignment="1">
      <alignment horizontal="center" vertical="top" wrapText="1"/>
    </xf>
    <xf numFmtId="0" fontId="2" fillId="8" borderId="3" xfId="0" applyFont="1" applyFill="1" applyBorder="1" applyAlignment="1">
      <alignment horizontal="left" vertical="center"/>
    </xf>
    <xf numFmtId="0" fontId="2" fillId="8" borderId="3" xfId="0" applyFont="1" applyFill="1" applyBorder="1" applyAlignment="1">
      <alignment horizontal="left" vertical="top"/>
    </xf>
    <xf numFmtId="0" fontId="9" fillId="8" borderId="3" xfId="0" applyFont="1" applyFill="1" applyBorder="1" applyAlignment="1">
      <alignment horizontal="center" vertical="center"/>
    </xf>
    <xf numFmtId="0" fontId="9" fillId="8" borderId="3" xfId="0" applyFont="1" applyFill="1" applyBorder="1">
      <alignment vertical="center"/>
    </xf>
    <xf numFmtId="0" fontId="2" fillId="8" borderId="3" xfId="0" applyFont="1" applyFill="1" applyBorder="1" applyAlignment="1">
      <alignment vertical="top" wrapText="1"/>
    </xf>
    <xf numFmtId="0" fontId="6" fillId="8" borderId="3" xfId="2" applyFont="1" applyFill="1" applyBorder="1">
      <alignment vertical="center"/>
    </xf>
    <xf numFmtId="0" fontId="3" fillId="8" borderId="3" xfId="1" applyFill="1" applyBorder="1" applyAlignment="1">
      <alignment horizontal="left" vertical="top"/>
    </xf>
    <xf numFmtId="0" fontId="7" fillId="8" borderId="3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horizontal="left" vertical="center"/>
    </xf>
    <xf numFmtId="0" fontId="2" fillId="8" borderId="3" xfId="0" applyFont="1" applyFill="1" applyBorder="1" applyAlignment="1">
      <alignment horizontal="center" vertical="center" wrapText="1"/>
    </xf>
    <xf numFmtId="0" fontId="7" fillId="8" borderId="3" xfId="0" applyFont="1" applyFill="1" applyBorder="1" applyAlignment="1">
      <alignment horizontal="left" vertical="center"/>
    </xf>
    <xf numFmtId="0" fontId="13" fillId="8" borderId="3" xfId="1" applyFont="1" applyFill="1" applyBorder="1" applyAlignment="1">
      <alignment horizontal="center" vertical="top"/>
    </xf>
    <xf numFmtId="0" fontId="6" fillId="8" borderId="14" xfId="0" applyFont="1" applyFill="1" applyBorder="1">
      <alignment vertical="center"/>
    </xf>
    <xf numFmtId="0" fontId="6" fillId="8" borderId="14" xfId="0" applyFont="1" applyFill="1" applyBorder="1" applyAlignment="1">
      <alignment horizontal="center" vertical="center"/>
    </xf>
    <xf numFmtId="0" fontId="2" fillId="8" borderId="14" xfId="0" applyFont="1" applyFill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0" fontId="2" fillId="8" borderId="14" xfId="0" applyFont="1" applyFill="1" applyBorder="1" applyAlignment="1">
      <alignment horizontal="left" vertical="center" wrapText="1"/>
    </xf>
    <xf numFmtId="0" fontId="2" fillId="8" borderId="14" xfId="0" applyFont="1" applyFill="1" applyBorder="1" applyAlignment="1">
      <alignment horizontal="center" vertical="top" wrapText="1"/>
    </xf>
    <xf numFmtId="0" fontId="2" fillId="8" borderId="14" xfId="0" applyFont="1" applyFill="1" applyBorder="1" applyAlignment="1">
      <alignment horizontal="left" vertical="center"/>
    </xf>
    <xf numFmtId="0" fontId="2" fillId="8" borderId="14" xfId="0" applyFont="1" applyFill="1" applyBorder="1" applyAlignment="1">
      <alignment horizontal="left" vertical="top" wrapText="1"/>
    </xf>
    <xf numFmtId="0" fontId="9" fillId="8" borderId="14" xfId="0" applyFont="1" applyFill="1" applyBorder="1" applyAlignment="1">
      <alignment horizontal="center" vertical="center"/>
    </xf>
    <xf numFmtId="0" fontId="9" fillId="8" borderId="14" xfId="0" applyFont="1" applyFill="1" applyBorder="1">
      <alignment vertical="center"/>
    </xf>
    <xf numFmtId="0" fontId="9" fillId="8" borderId="14" xfId="0" applyFont="1" applyFill="1" applyBorder="1" applyAlignment="1">
      <alignment vertical="top" wrapText="1"/>
    </xf>
    <xf numFmtId="0" fontId="6" fillId="8" borderId="14" xfId="2" applyFont="1" applyFill="1" applyBorder="1">
      <alignment vertical="center"/>
    </xf>
    <xf numFmtId="0" fontId="3" fillId="8" borderId="14" xfId="1" applyFill="1" applyBorder="1" applyAlignment="1">
      <alignment horizontal="left" vertical="top"/>
    </xf>
    <xf numFmtId="0" fontId="7" fillId="8" borderId="14" xfId="0" applyFont="1" applyFill="1" applyBorder="1" applyAlignment="1">
      <alignment horizontal="center" vertical="center"/>
    </xf>
    <xf numFmtId="0" fontId="9" fillId="8" borderId="14" xfId="0" applyFont="1" applyFill="1" applyBorder="1" applyAlignment="1">
      <alignment horizontal="left" vertical="center"/>
    </xf>
    <xf numFmtId="0" fontId="2" fillId="8" borderId="14" xfId="0" applyFont="1" applyFill="1" applyBorder="1" applyAlignment="1">
      <alignment horizontal="center" vertical="center" wrapText="1"/>
    </xf>
    <xf numFmtId="0" fontId="7" fillId="8" borderId="14" xfId="0" applyFont="1" applyFill="1" applyBorder="1" applyAlignment="1">
      <alignment horizontal="left" vertical="center"/>
    </xf>
    <xf numFmtId="0" fontId="13" fillId="8" borderId="14" xfId="1" applyFont="1" applyFill="1" applyBorder="1" applyAlignment="1">
      <alignment horizontal="center" vertical="top"/>
    </xf>
    <xf numFmtId="0" fontId="6" fillId="8" borderId="12" xfId="0" applyFont="1" applyFill="1" applyBorder="1">
      <alignment vertical="center"/>
    </xf>
    <xf numFmtId="0" fontId="5" fillId="2" borderId="16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left" vertical="top" wrapText="1"/>
    </xf>
    <xf numFmtId="0" fontId="6" fillId="0" borderId="5" xfId="0" applyFont="1" applyBorder="1" applyAlignment="1">
      <alignment horizontal="left" vertical="top"/>
    </xf>
    <xf numFmtId="0" fontId="6" fillId="0" borderId="4" xfId="0" applyFont="1" applyBorder="1" applyAlignment="1">
      <alignment horizontal="left" vertical="top"/>
    </xf>
    <xf numFmtId="0" fontId="6" fillId="0" borderId="3" xfId="0" applyFont="1" applyBorder="1" applyAlignment="1">
      <alignment horizontal="left" vertical="top" wrapText="1"/>
    </xf>
    <xf numFmtId="0" fontId="6" fillId="0" borderId="5" xfId="0" applyFont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left" vertical="top" wrapText="1"/>
    </xf>
    <xf numFmtId="0" fontId="2" fillId="0" borderId="14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0" borderId="5" xfId="0" applyFont="1" applyBorder="1" applyAlignment="1">
      <alignment horizontal="left" vertical="top"/>
    </xf>
    <xf numFmtId="0" fontId="2" fillId="5" borderId="5" xfId="0" applyFont="1" applyFill="1" applyBorder="1" applyAlignment="1">
      <alignment horizontal="left" vertical="top"/>
    </xf>
    <xf numFmtId="0" fontId="2" fillId="5" borderId="4" xfId="0" applyFont="1" applyFill="1" applyBorder="1" applyAlignment="1">
      <alignment horizontal="left" vertical="top"/>
    </xf>
    <xf numFmtId="0" fontId="2" fillId="5" borderId="3" xfId="0" applyFont="1" applyFill="1" applyBorder="1" applyAlignment="1">
      <alignment horizontal="left" vertical="center"/>
    </xf>
    <xf numFmtId="0" fontId="2" fillId="5" borderId="4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top"/>
    </xf>
    <xf numFmtId="0" fontId="2" fillId="0" borderId="5" xfId="0" applyFont="1" applyBorder="1" applyAlignment="1">
      <alignment horizontal="left" vertical="center"/>
    </xf>
    <xf numFmtId="0" fontId="9" fillId="0" borderId="3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2" fillId="0" borderId="16" xfId="0" applyFont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2" fillId="0" borderId="16" xfId="0" applyFont="1" applyBorder="1" applyAlignment="1">
      <alignment horizontal="left" vertical="top" wrapText="1"/>
    </xf>
    <xf numFmtId="0" fontId="2" fillId="0" borderId="4" xfId="0" applyFont="1" applyBorder="1" applyAlignment="1">
      <alignment horizontal="left" vertical="top" wrapText="1"/>
    </xf>
    <xf numFmtId="0" fontId="2" fillId="0" borderId="16" xfId="0" applyFont="1" applyBorder="1" applyAlignment="1">
      <alignment horizontal="left" vertical="center" wrapText="1"/>
    </xf>
    <xf numFmtId="0" fontId="2" fillId="0" borderId="4" xfId="0" applyFont="1" applyBorder="1" applyAlignment="1">
      <alignment horizontal="left" vertical="center" wrapText="1"/>
    </xf>
    <xf numFmtId="0" fontId="2" fillId="0" borderId="4" xfId="0" applyFont="1" applyBorder="1">
      <alignment vertical="center"/>
    </xf>
    <xf numFmtId="0" fontId="2" fillId="0" borderId="1" xfId="0" applyFont="1" applyBorder="1">
      <alignment vertical="center"/>
    </xf>
    <xf numFmtId="0" fontId="6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top"/>
    </xf>
    <xf numFmtId="0" fontId="2" fillId="0" borderId="14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6" fillId="0" borderId="16" xfId="2" applyFont="1" applyBorder="1" applyAlignment="1">
      <alignment horizontal="center" vertical="center"/>
    </xf>
    <xf numFmtId="0" fontId="6" fillId="0" borderId="17" xfId="2" applyFont="1" applyBorder="1" applyAlignment="1">
      <alignment horizontal="center" vertical="center"/>
    </xf>
    <xf numFmtId="0" fontId="9" fillId="5" borderId="1" xfId="0" applyFont="1" applyFill="1" applyBorder="1">
      <alignment vertical="center"/>
    </xf>
    <xf numFmtId="0" fontId="9" fillId="5" borderId="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0" fontId="2" fillId="0" borderId="16" xfId="0" applyFont="1" applyBorder="1" applyAlignment="1">
      <alignment horizontal="center" vertical="top"/>
    </xf>
    <xf numFmtId="0" fontId="2" fillId="0" borderId="4" xfId="0" applyFont="1" applyBorder="1" applyAlignment="1">
      <alignment horizontal="center" vertical="top"/>
    </xf>
    <xf numFmtId="0" fontId="2" fillId="0" borderId="3" xfId="0" applyFont="1" applyBorder="1" applyAlignment="1">
      <alignment horizontal="left" vertical="top" wrapText="1"/>
    </xf>
    <xf numFmtId="0" fontId="2" fillId="0" borderId="16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top" wrapText="1"/>
    </xf>
    <xf numFmtId="0" fontId="2" fillId="0" borderId="14" xfId="0" applyFont="1" applyBorder="1" applyAlignment="1">
      <alignment horizontal="center" vertical="top" wrapText="1"/>
    </xf>
    <xf numFmtId="0" fontId="2" fillId="5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left" vertical="top"/>
    </xf>
    <xf numFmtId="0" fontId="2" fillId="5" borderId="5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8" borderId="1" xfId="0" applyFont="1" applyFill="1" applyBorder="1" applyAlignment="1">
      <alignment horizontal="left" vertical="top" wrapText="1"/>
    </xf>
    <xf numFmtId="0" fontId="2" fillId="5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top" wrapText="1"/>
    </xf>
    <xf numFmtId="0" fontId="2" fillId="0" borderId="17" xfId="0" applyFont="1" applyBorder="1" applyAlignment="1">
      <alignment horizontal="center" vertical="top"/>
    </xf>
  </cellXfs>
  <cellStyles count="3">
    <cellStyle name="표준" xfId="0" builtinId="0"/>
    <cellStyle name="표준 2" xfId="2" xr:uid="{00000000-0005-0000-0000-000001000000}"/>
    <cellStyle name="하이퍼링크" xfId="1" builtinId="8"/>
  </cellStyles>
  <dxfs count="0"/>
  <tableStyles count="0" defaultTableStyle="TableStyleMedium2" defaultPivotStyle="PivotStyleLight16"/>
  <colors>
    <mruColors>
      <color rgb="FFFFFF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CheckBox" checked="Checked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checked="Checked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checked="Checked" lockText="1" noThreeD="1"/>
</file>

<file path=xl/ctrlProps/ctrlProp76.xml><?xml version="1.0" encoding="utf-8"?>
<formControlPr xmlns="http://schemas.microsoft.com/office/spreadsheetml/2009/9/main" objectType="CheckBox" checked="Checked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CheckBox" checked="Checked" lockText="1" noThreeD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CheckBox" checked="Checked" lockText="1" noThreeD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CheckBox" checked="Checked" lockText="1" noThreeD="1"/>
</file>

<file path=xl/ctrlProps/ctrlProp517.xml><?xml version="1.0" encoding="utf-8"?>
<formControlPr xmlns="http://schemas.microsoft.com/office/spreadsheetml/2009/9/main" objectType="CheckBox" lockText="1" noThreeD="1"/>
</file>

<file path=xl/ctrlProps/ctrlProp518.xml><?xml version="1.0" encoding="utf-8"?>
<formControlPr xmlns="http://schemas.microsoft.com/office/spreadsheetml/2009/9/main" objectType="CheckBox" lockText="1" noThreeD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558800</xdr:colOff>
          <xdr:row>0</xdr:row>
          <xdr:rowOff>304800</xdr:rowOff>
        </xdr:from>
        <xdr:to>
          <xdr:col>27</xdr:col>
          <xdr:colOff>647700</xdr:colOff>
          <xdr:row>0</xdr:row>
          <xdr:rowOff>520700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모두생성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850900</xdr:colOff>
          <xdr:row>0</xdr:row>
          <xdr:rowOff>304800</xdr:rowOff>
        </xdr:from>
        <xdr:to>
          <xdr:col>26</xdr:col>
          <xdr:colOff>520700</xdr:colOff>
          <xdr:row>0</xdr:row>
          <xdr:rowOff>520700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controller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1803400</xdr:colOff>
          <xdr:row>0</xdr:row>
          <xdr:rowOff>304800</xdr:rowOff>
        </xdr:from>
        <xdr:to>
          <xdr:col>25</xdr:col>
          <xdr:colOff>825500</xdr:colOff>
          <xdr:row>0</xdr:row>
          <xdr:rowOff>520700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module.interface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850900</xdr:colOff>
          <xdr:row>0</xdr:row>
          <xdr:rowOff>304800</xdr:rowOff>
        </xdr:from>
        <xdr:to>
          <xdr:col>24</xdr:col>
          <xdr:colOff>1778000</xdr:colOff>
          <xdr:row>0</xdr:row>
          <xdr:rowOff>520700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module.index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393700</xdr:colOff>
          <xdr:row>0</xdr:row>
          <xdr:rowOff>304800</xdr:rowOff>
        </xdr:from>
        <xdr:to>
          <xdr:col>29</xdr:col>
          <xdr:colOff>952500</xdr:colOff>
          <xdr:row>0</xdr:row>
          <xdr:rowOff>520700</xdr:rowOff>
        </xdr:to>
        <xdr:sp macro="" textlink="">
          <xdr:nvSpPr>
            <xdr:cNvPr id="6297" name="Button 153" hidden="1">
              <a:extLst>
                <a:ext uri="{63B3BB69-23CF-44E3-9099-C40C66FF867C}">
                  <a14:compatExt spid="_x0000_s6297"/>
                </a:ext>
                <a:ext uri="{FF2B5EF4-FFF2-40B4-BE49-F238E27FC236}">
                  <a16:creationId xmlns:a16="http://schemas.microsoft.com/office/drawing/2014/main" id="{00000000-0008-0000-0000-00009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make import.test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24</xdr:col>
      <xdr:colOff>38100</xdr:colOff>
      <xdr:row>0</xdr:row>
      <xdr:rowOff>228600</xdr:rowOff>
    </xdr:from>
    <xdr:to>
      <xdr:col>24</xdr:col>
      <xdr:colOff>812800</xdr:colOff>
      <xdr:row>0</xdr:row>
      <xdr:rowOff>533400</xdr:rowOff>
    </xdr:to>
    <xdr:sp macro="" textlink="">
      <xdr:nvSpPr>
        <xdr:cNvPr id="6772" name="ComboBox1" hidden="1">
          <a:extLst>
            <a:ext uri="{63B3BB69-23CF-44E3-9099-C40C66FF867C}">
              <a14:compatExt xmlns:a14="http://schemas.microsoft.com/office/drawing/2010/main" spid="_x0000_s6772"/>
            </a:ext>
            <a:ext uri="{FF2B5EF4-FFF2-40B4-BE49-F238E27FC236}">
              <a16:creationId xmlns:a16="http://schemas.microsoft.com/office/drawing/2014/main" id="{00000000-0008-0000-0000-0000741A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2</xdr:row>
          <xdr:rowOff>78740</xdr:rowOff>
        </xdr:from>
        <xdr:to>
          <xdr:col>36</xdr:col>
          <xdr:colOff>0</xdr:colOff>
          <xdr:row>2</xdr:row>
          <xdr:rowOff>246380</xdr:rowOff>
        </xdr:to>
        <xdr:grpSp>
          <xdr:nvGrpSpPr>
            <xdr:cNvPr id="5" name="그룹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20741640" y="1060873"/>
              <a:ext cx="1745827" cy="167640"/>
              <a:chOff x="14505941" y="980440"/>
              <a:chExt cx="2461228" cy="167640"/>
            </a:xfrm>
          </xdr:grpSpPr>
          <xdr:sp macro="" textlink="">
            <xdr:nvSpPr>
              <xdr:cNvPr id="6773" name="Button 629" hidden="1">
                <a:extLst>
                  <a:ext uri="{63B3BB69-23CF-44E3-9099-C40C66FF867C}">
                    <a14:compatExt spid="_x0000_s6773"/>
                  </a:ext>
                  <a:ext uri="{FF2B5EF4-FFF2-40B4-BE49-F238E27FC236}">
                    <a16:creationId xmlns:a16="http://schemas.microsoft.com/office/drawing/2014/main" id="{00000000-0008-0000-0000-0000751A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m.interf</a:t>
                </a:r>
              </a:p>
            </xdr:txBody>
          </xdr:sp>
          <xdr:sp macro="" textlink="">
            <xdr:nvSpPr>
              <xdr:cNvPr id="6774" name="Button 630" hidden="1">
                <a:extLst>
                  <a:ext uri="{63B3BB69-23CF-44E3-9099-C40C66FF867C}">
                    <a14:compatExt spid="_x0000_s6774"/>
                  </a:ext>
                  <a:ext uri="{FF2B5EF4-FFF2-40B4-BE49-F238E27FC236}">
                    <a16:creationId xmlns:a16="http://schemas.microsoft.com/office/drawing/2014/main" id="{00000000-0008-0000-0000-0000761A0000}"/>
                  </a:ext>
                </a:extLst>
              </xdr:cNvPr>
              <xdr:cNvSpPr/>
            </xdr:nvSpPr>
            <xdr:spPr bwMode="auto">
              <a:xfrm>
                <a:off x="14505941" y="980440"/>
                <a:ext cx="59435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m.index</a:t>
                </a:r>
              </a:p>
            </xdr:txBody>
          </xdr:sp>
          <xdr:sp macro="" textlink="">
            <xdr:nvSpPr>
              <xdr:cNvPr id="6775" name="Button 631" hidden="1">
                <a:extLst>
                  <a:ext uri="{63B3BB69-23CF-44E3-9099-C40C66FF867C}">
                    <a14:compatExt spid="_x0000_s6775"/>
                  </a:ext>
                  <a:ext uri="{FF2B5EF4-FFF2-40B4-BE49-F238E27FC236}">
                    <a16:creationId xmlns:a16="http://schemas.microsoft.com/office/drawing/2014/main" id="{00000000-0008-0000-0000-0000771A0000}"/>
                  </a:ext>
                </a:extLst>
              </xdr:cNvPr>
              <xdr:cNvSpPr/>
            </xdr:nvSpPr>
            <xdr:spPr bwMode="auto">
              <a:xfrm>
                <a:off x="15740373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  <xdr:sp macro="" textlink="">
            <xdr:nvSpPr>
              <xdr:cNvPr id="6776" name="Button 632" hidden="1">
                <a:extLst>
                  <a:ext uri="{63B3BB69-23CF-44E3-9099-C40C66FF867C}">
                    <a14:compatExt spid="_x0000_s6776"/>
                  </a:ext>
                  <a:ext uri="{FF2B5EF4-FFF2-40B4-BE49-F238E27FC236}">
                    <a16:creationId xmlns:a16="http://schemas.microsoft.com/office/drawing/2014/main" id="{00000000-0008-0000-0000-0000781A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12700</xdr:colOff>
          <xdr:row>0</xdr:row>
          <xdr:rowOff>177800</xdr:rowOff>
        </xdr:from>
        <xdr:to>
          <xdr:col>38</xdr:col>
          <xdr:colOff>203200</xdr:colOff>
          <xdr:row>0</xdr:row>
          <xdr:rowOff>419100</xdr:rowOff>
        </xdr:to>
        <xdr:sp macro="" textlink="">
          <xdr:nvSpPr>
            <xdr:cNvPr id="12313" name="Button 1049" hidden="1">
              <a:extLst>
                <a:ext uri="{63B3BB69-23CF-44E3-9099-C40C66FF867C}">
                  <a14:compatExt spid="_x0000_s12313"/>
                </a:ext>
                <a:ext uri="{FF2B5EF4-FFF2-40B4-BE49-F238E27FC236}">
                  <a16:creationId xmlns:a16="http://schemas.microsoft.com/office/drawing/2014/main" id="{00000000-0008-0000-0000-00001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</xdr:row>
          <xdr:rowOff>67130</xdr:rowOff>
        </xdr:from>
        <xdr:to>
          <xdr:col>37</xdr:col>
          <xdr:colOff>4455</xdr:colOff>
          <xdr:row>2</xdr:row>
          <xdr:rowOff>234770</xdr:rowOff>
        </xdr:to>
        <xdr:grpSp>
          <xdr:nvGrpSpPr>
            <xdr:cNvPr id="6" name="그룹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22585441" y="10492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348" name="Button 1084" hidden="1">
                <a:extLst>
                  <a:ext uri="{63B3BB69-23CF-44E3-9099-C40C66FF867C}">
                    <a14:compatExt spid="_x0000_s12348"/>
                  </a:ext>
                  <a:ext uri="{FF2B5EF4-FFF2-40B4-BE49-F238E27FC236}">
                    <a16:creationId xmlns:a16="http://schemas.microsoft.com/office/drawing/2014/main" id="{00000000-0008-0000-0000-00003C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349" name="Button 1085" hidden="1">
                <a:extLst>
                  <a:ext uri="{63B3BB69-23CF-44E3-9099-C40C66FF867C}">
                    <a14:compatExt spid="_x0000_s12349"/>
                  </a:ext>
                  <a:ext uri="{FF2B5EF4-FFF2-40B4-BE49-F238E27FC236}">
                    <a16:creationId xmlns:a16="http://schemas.microsoft.com/office/drawing/2014/main" id="{00000000-0008-0000-0000-00003D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16</xdr:row>
          <xdr:rowOff>78740</xdr:rowOff>
        </xdr:from>
        <xdr:to>
          <xdr:col>36</xdr:col>
          <xdr:colOff>0</xdr:colOff>
          <xdr:row>16</xdr:row>
          <xdr:rowOff>246380</xdr:rowOff>
        </xdr:to>
        <xdr:grpSp>
          <xdr:nvGrpSpPr>
            <xdr:cNvPr id="1340" name="그룹 1339">
              <a:extLst>
                <a:ext uri="{FF2B5EF4-FFF2-40B4-BE49-F238E27FC236}">
                  <a16:creationId xmlns:a16="http://schemas.microsoft.com/office/drawing/2014/main" id="{00000000-0008-0000-0000-00003C050000}"/>
                </a:ext>
              </a:extLst>
            </xdr:cNvPr>
            <xdr:cNvGrpSpPr/>
          </xdr:nvGrpSpPr>
          <xdr:grpSpPr>
            <a:xfrm>
              <a:off x="20741640" y="5040207"/>
              <a:ext cx="1745827" cy="167640"/>
              <a:chOff x="14505941" y="980440"/>
              <a:chExt cx="2461228" cy="167640"/>
            </a:xfrm>
          </xdr:grpSpPr>
          <xdr:sp macro="" textlink="">
            <xdr:nvSpPr>
              <xdr:cNvPr id="12354" name="Button 1090" hidden="1">
                <a:extLst>
                  <a:ext uri="{63B3BB69-23CF-44E3-9099-C40C66FF867C}">
                    <a14:compatExt spid="_x0000_s12354"/>
                  </a:ext>
                  <a:ext uri="{FF2B5EF4-FFF2-40B4-BE49-F238E27FC236}">
                    <a16:creationId xmlns:a16="http://schemas.microsoft.com/office/drawing/2014/main" id="{00000000-0008-0000-0000-00004230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m.interf</a:t>
                </a:r>
              </a:p>
            </xdr:txBody>
          </xdr:sp>
          <xdr:sp macro="" textlink="">
            <xdr:nvSpPr>
              <xdr:cNvPr id="12355" name="Button 1091" hidden="1">
                <a:extLst>
                  <a:ext uri="{63B3BB69-23CF-44E3-9099-C40C66FF867C}">
                    <a14:compatExt spid="_x0000_s12355"/>
                  </a:ext>
                  <a:ext uri="{FF2B5EF4-FFF2-40B4-BE49-F238E27FC236}">
                    <a16:creationId xmlns:a16="http://schemas.microsoft.com/office/drawing/2014/main" id="{00000000-0008-0000-0000-000043300000}"/>
                  </a:ext>
                </a:extLst>
              </xdr:cNvPr>
              <xdr:cNvSpPr/>
            </xdr:nvSpPr>
            <xdr:spPr bwMode="auto">
              <a:xfrm>
                <a:off x="14505941" y="980440"/>
                <a:ext cx="59435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m.index</a:t>
                </a:r>
              </a:p>
            </xdr:txBody>
          </xdr:sp>
          <xdr:sp macro="" textlink="">
            <xdr:nvSpPr>
              <xdr:cNvPr id="12356" name="Button 1092" hidden="1">
                <a:extLst>
                  <a:ext uri="{63B3BB69-23CF-44E3-9099-C40C66FF867C}">
                    <a14:compatExt spid="_x0000_s12356"/>
                  </a:ext>
                  <a:ext uri="{FF2B5EF4-FFF2-40B4-BE49-F238E27FC236}">
                    <a16:creationId xmlns:a16="http://schemas.microsoft.com/office/drawing/2014/main" id="{00000000-0008-0000-0000-000044300000}"/>
                  </a:ext>
                </a:extLst>
              </xdr:cNvPr>
              <xdr:cNvSpPr/>
            </xdr:nvSpPr>
            <xdr:spPr bwMode="auto">
              <a:xfrm>
                <a:off x="15740373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  <xdr:sp macro="" textlink="">
            <xdr:nvSpPr>
              <xdr:cNvPr id="12357" name="Button 1093" hidden="1">
                <a:extLst>
                  <a:ext uri="{63B3BB69-23CF-44E3-9099-C40C66FF867C}">
                    <a14:compatExt spid="_x0000_s12357"/>
                  </a:ext>
                  <a:ext uri="{FF2B5EF4-FFF2-40B4-BE49-F238E27FC236}">
                    <a16:creationId xmlns:a16="http://schemas.microsoft.com/office/drawing/2014/main" id="{00000000-0008-0000-0000-00004530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20</xdr:row>
          <xdr:rowOff>78740</xdr:rowOff>
        </xdr:from>
        <xdr:to>
          <xdr:col>36</xdr:col>
          <xdr:colOff>0</xdr:colOff>
          <xdr:row>20</xdr:row>
          <xdr:rowOff>246380</xdr:rowOff>
        </xdr:to>
        <xdr:grpSp>
          <xdr:nvGrpSpPr>
            <xdr:cNvPr id="1345" name="그룹 1344">
              <a:extLst>
                <a:ext uri="{FF2B5EF4-FFF2-40B4-BE49-F238E27FC236}">
                  <a16:creationId xmlns:a16="http://schemas.microsoft.com/office/drawing/2014/main" id="{00000000-0008-0000-0000-000041050000}"/>
                </a:ext>
              </a:extLst>
            </xdr:cNvPr>
            <xdr:cNvGrpSpPr/>
          </xdr:nvGrpSpPr>
          <xdr:grpSpPr>
            <a:xfrm>
              <a:off x="20741640" y="6259407"/>
              <a:ext cx="1745827" cy="167640"/>
              <a:chOff x="14505941" y="980440"/>
              <a:chExt cx="2461228" cy="167640"/>
            </a:xfrm>
          </xdr:grpSpPr>
          <xdr:sp macro="" textlink="">
            <xdr:nvSpPr>
              <xdr:cNvPr id="12358" name="Button 1094" hidden="1">
                <a:extLst>
                  <a:ext uri="{63B3BB69-23CF-44E3-9099-C40C66FF867C}">
                    <a14:compatExt spid="_x0000_s12358"/>
                  </a:ext>
                  <a:ext uri="{FF2B5EF4-FFF2-40B4-BE49-F238E27FC236}">
                    <a16:creationId xmlns:a16="http://schemas.microsoft.com/office/drawing/2014/main" id="{00000000-0008-0000-0000-00004630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m.interf</a:t>
                </a:r>
              </a:p>
            </xdr:txBody>
          </xdr:sp>
          <xdr:sp macro="" textlink="">
            <xdr:nvSpPr>
              <xdr:cNvPr id="12359" name="Button 1095" hidden="1">
                <a:extLst>
                  <a:ext uri="{63B3BB69-23CF-44E3-9099-C40C66FF867C}">
                    <a14:compatExt spid="_x0000_s12359"/>
                  </a:ext>
                  <a:ext uri="{FF2B5EF4-FFF2-40B4-BE49-F238E27FC236}">
                    <a16:creationId xmlns:a16="http://schemas.microsoft.com/office/drawing/2014/main" id="{00000000-0008-0000-0000-000047300000}"/>
                  </a:ext>
                </a:extLst>
              </xdr:cNvPr>
              <xdr:cNvSpPr/>
            </xdr:nvSpPr>
            <xdr:spPr bwMode="auto">
              <a:xfrm>
                <a:off x="14505941" y="980440"/>
                <a:ext cx="59435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m.index</a:t>
                </a:r>
              </a:p>
            </xdr:txBody>
          </xdr:sp>
          <xdr:sp macro="" textlink="">
            <xdr:nvSpPr>
              <xdr:cNvPr id="12360" name="Button 1096" hidden="1">
                <a:extLst>
                  <a:ext uri="{63B3BB69-23CF-44E3-9099-C40C66FF867C}">
                    <a14:compatExt spid="_x0000_s12360"/>
                  </a:ext>
                  <a:ext uri="{FF2B5EF4-FFF2-40B4-BE49-F238E27FC236}">
                    <a16:creationId xmlns:a16="http://schemas.microsoft.com/office/drawing/2014/main" id="{00000000-0008-0000-0000-000048300000}"/>
                  </a:ext>
                </a:extLst>
              </xdr:cNvPr>
              <xdr:cNvSpPr/>
            </xdr:nvSpPr>
            <xdr:spPr bwMode="auto">
              <a:xfrm>
                <a:off x="15740373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  <xdr:sp macro="" textlink="">
            <xdr:nvSpPr>
              <xdr:cNvPr id="12361" name="Button 1097" hidden="1">
                <a:extLst>
                  <a:ext uri="{63B3BB69-23CF-44E3-9099-C40C66FF867C}">
                    <a14:compatExt spid="_x0000_s12361"/>
                  </a:ext>
                  <a:ext uri="{FF2B5EF4-FFF2-40B4-BE49-F238E27FC236}">
                    <a16:creationId xmlns:a16="http://schemas.microsoft.com/office/drawing/2014/main" id="{00000000-0008-0000-0000-00004930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47</xdr:row>
          <xdr:rowOff>78740</xdr:rowOff>
        </xdr:from>
        <xdr:to>
          <xdr:col>36</xdr:col>
          <xdr:colOff>0</xdr:colOff>
          <xdr:row>47</xdr:row>
          <xdr:rowOff>246380</xdr:rowOff>
        </xdr:to>
        <xdr:grpSp>
          <xdr:nvGrpSpPr>
            <xdr:cNvPr id="1355" name="그룹 1354">
              <a:extLst>
                <a:ext uri="{FF2B5EF4-FFF2-40B4-BE49-F238E27FC236}">
                  <a16:creationId xmlns:a16="http://schemas.microsoft.com/office/drawing/2014/main" id="{00000000-0008-0000-0000-00004B050000}"/>
                </a:ext>
              </a:extLst>
            </xdr:cNvPr>
            <xdr:cNvGrpSpPr/>
          </xdr:nvGrpSpPr>
          <xdr:grpSpPr>
            <a:xfrm>
              <a:off x="20741640" y="14014873"/>
              <a:ext cx="1745827" cy="167640"/>
              <a:chOff x="14505941" y="980440"/>
              <a:chExt cx="2461228" cy="167640"/>
            </a:xfrm>
          </xdr:grpSpPr>
          <xdr:sp macro="" textlink="">
            <xdr:nvSpPr>
              <xdr:cNvPr id="12366" name="Button 1102" hidden="1">
                <a:extLst>
                  <a:ext uri="{63B3BB69-23CF-44E3-9099-C40C66FF867C}">
                    <a14:compatExt spid="_x0000_s12366"/>
                  </a:ext>
                  <a:ext uri="{FF2B5EF4-FFF2-40B4-BE49-F238E27FC236}">
                    <a16:creationId xmlns:a16="http://schemas.microsoft.com/office/drawing/2014/main" id="{00000000-0008-0000-0000-00004E30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m.interf</a:t>
                </a:r>
              </a:p>
            </xdr:txBody>
          </xdr:sp>
          <xdr:sp macro="" textlink="">
            <xdr:nvSpPr>
              <xdr:cNvPr id="12367" name="Button 1103" hidden="1">
                <a:extLst>
                  <a:ext uri="{63B3BB69-23CF-44E3-9099-C40C66FF867C}">
                    <a14:compatExt spid="_x0000_s12367"/>
                  </a:ext>
                  <a:ext uri="{FF2B5EF4-FFF2-40B4-BE49-F238E27FC236}">
                    <a16:creationId xmlns:a16="http://schemas.microsoft.com/office/drawing/2014/main" id="{00000000-0008-0000-0000-00004F300000}"/>
                  </a:ext>
                </a:extLst>
              </xdr:cNvPr>
              <xdr:cNvSpPr/>
            </xdr:nvSpPr>
            <xdr:spPr bwMode="auto">
              <a:xfrm>
                <a:off x="14505941" y="980440"/>
                <a:ext cx="59435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m.index</a:t>
                </a:r>
              </a:p>
            </xdr:txBody>
          </xdr:sp>
          <xdr:sp macro="" textlink="">
            <xdr:nvSpPr>
              <xdr:cNvPr id="12368" name="Button 1104" hidden="1">
                <a:extLst>
                  <a:ext uri="{63B3BB69-23CF-44E3-9099-C40C66FF867C}">
                    <a14:compatExt spid="_x0000_s12368"/>
                  </a:ext>
                  <a:ext uri="{FF2B5EF4-FFF2-40B4-BE49-F238E27FC236}">
                    <a16:creationId xmlns:a16="http://schemas.microsoft.com/office/drawing/2014/main" id="{00000000-0008-0000-0000-000050300000}"/>
                  </a:ext>
                </a:extLst>
              </xdr:cNvPr>
              <xdr:cNvSpPr/>
            </xdr:nvSpPr>
            <xdr:spPr bwMode="auto">
              <a:xfrm>
                <a:off x="15740373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  <xdr:sp macro="" textlink="">
            <xdr:nvSpPr>
              <xdr:cNvPr id="12369" name="Button 1105" hidden="1">
                <a:extLst>
                  <a:ext uri="{63B3BB69-23CF-44E3-9099-C40C66FF867C}">
                    <a14:compatExt spid="_x0000_s12369"/>
                  </a:ext>
                  <a:ext uri="{FF2B5EF4-FFF2-40B4-BE49-F238E27FC236}">
                    <a16:creationId xmlns:a16="http://schemas.microsoft.com/office/drawing/2014/main" id="{00000000-0008-0000-0000-00005130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74</xdr:row>
          <xdr:rowOff>78740</xdr:rowOff>
        </xdr:from>
        <xdr:to>
          <xdr:col>36</xdr:col>
          <xdr:colOff>0</xdr:colOff>
          <xdr:row>74</xdr:row>
          <xdr:rowOff>246380</xdr:rowOff>
        </xdr:to>
        <xdr:grpSp>
          <xdr:nvGrpSpPr>
            <xdr:cNvPr id="1370" name="그룹 1369">
              <a:extLst>
                <a:ext uri="{FF2B5EF4-FFF2-40B4-BE49-F238E27FC236}">
                  <a16:creationId xmlns:a16="http://schemas.microsoft.com/office/drawing/2014/main" id="{00000000-0008-0000-0000-00005A050000}"/>
                </a:ext>
              </a:extLst>
            </xdr:cNvPr>
            <xdr:cNvGrpSpPr/>
          </xdr:nvGrpSpPr>
          <xdr:grpSpPr>
            <a:xfrm>
              <a:off x="20741640" y="23362073"/>
              <a:ext cx="1745827" cy="167640"/>
              <a:chOff x="14707586" y="0"/>
              <a:chExt cx="2259568" cy="19496314"/>
            </a:xfrm>
          </xdr:grpSpPr>
          <xdr:sp macro="" textlink="">
            <xdr:nvSpPr>
              <xdr:cNvPr id="12378" name="Button 1114" hidden="1">
                <a:extLst>
                  <a:ext uri="{63B3BB69-23CF-44E3-9099-C40C66FF867C}">
                    <a14:compatExt spid="_x0000_s12378"/>
                  </a:ext>
                  <a:ext uri="{FF2B5EF4-FFF2-40B4-BE49-F238E27FC236}">
                    <a16:creationId xmlns:a16="http://schemas.microsoft.com/office/drawing/2014/main" id="{00000000-0008-0000-0000-00005A300000}"/>
                  </a:ext>
                </a:extLst>
              </xdr:cNvPr>
              <xdr:cNvSpPr/>
            </xdr:nvSpPr>
            <xdr:spPr bwMode="auto">
              <a:xfrm>
                <a:off x="14797995" y="19496314"/>
                <a:ext cx="601978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m.interf</a:t>
                </a:r>
              </a:p>
            </xdr:txBody>
          </xdr:sp>
          <xdr:sp macro="" textlink="">
            <xdr:nvSpPr>
              <xdr:cNvPr id="12379" name="Button 1115" hidden="1">
                <a:extLst>
                  <a:ext uri="{63B3BB69-23CF-44E3-9099-C40C66FF867C}">
                    <a14:compatExt spid="_x0000_s12379"/>
                  </a:ext>
                  <a:ext uri="{FF2B5EF4-FFF2-40B4-BE49-F238E27FC236}">
                    <a16:creationId xmlns:a16="http://schemas.microsoft.com/office/drawing/2014/main" id="{00000000-0008-0000-0000-00005B300000}"/>
                  </a:ext>
                </a:extLst>
              </xdr:cNvPr>
              <xdr:cNvSpPr/>
            </xdr:nvSpPr>
            <xdr:spPr bwMode="auto">
              <a:xfrm>
                <a:off x="14707586" y="19496314"/>
                <a:ext cx="594356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m.index</a:t>
                </a:r>
              </a:p>
            </xdr:txBody>
          </xdr:sp>
          <xdr:sp macro="" textlink="">
            <xdr:nvSpPr>
              <xdr:cNvPr id="12380" name="Button 1116" hidden="1">
                <a:extLst>
                  <a:ext uri="{63B3BB69-23CF-44E3-9099-C40C66FF867C}">
                    <a14:compatExt spid="_x0000_s12380"/>
                  </a:ext>
                  <a:ext uri="{FF2B5EF4-FFF2-40B4-BE49-F238E27FC236}">
                    <a16:creationId xmlns:a16="http://schemas.microsoft.com/office/drawing/2014/main" id="{00000000-0008-0000-0000-00005C300000}"/>
                  </a:ext>
                </a:extLst>
              </xdr:cNvPr>
              <xdr:cNvSpPr/>
            </xdr:nvSpPr>
            <xdr:spPr bwMode="auto">
              <a:xfrm>
                <a:off x="14839913" y="19496314"/>
                <a:ext cx="72390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  <xdr:sp macro="" textlink="">
            <xdr:nvSpPr>
              <xdr:cNvPr id="12381" name="Button 1117" hidden="1">
                <a:extLst>
                  <a:ext uri="{63B3BB69-23CF-44E3-9099-C40C66FF867C}">
                    <a14:compatExt spid="_x0000_s12381"/>
                  </a:ext>
                  <a:ext uri="{FF2B5EF4-FFF2-40B4-BE49-F238E27FC236}">
                    <a16:creationId xmlns:a16="http://schemas.microsoft.com/office/drawing/2014/main" id="{00000000-0008-0000-0000-00005D300000}"/>
                  </a:ext>
                </a:extLst>
              </xdr:cNvPr>
              <xdr:cNvSpPr/>
            </xdr:nvSpPr>
            <xdr:spPr bwMode="auto">
              <a:xfrm>
                <a:off x="16494720" y="0"/>
                <a:ext cx="472434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83</xdr:row>
          <xdr:rowOff>78740</xdr:rowOff>
        </xdr:from>
        <xdr:to>
          <xdr:col>36</xdr:col>
          <xdr:colOff>0</xdr:colOff>
          <xdr:row>83</xdr:row>
          <xdr:rowOff>246380</xdr:rowOff>
        </xdr:to>
        <xdr:grpSp>
          <xdr:nvGrpSpPr>
            <xdr:cNvPr id="1375" name="그룹 1374">
              <a:extLst>
                <a:ext uri="{FF2B5EF4-FFF2-40B4-BE49-F238E27FC236}">
                  <a16:creationId xmlns:a16="http://schemas.microsoft.com/office/drawing/2014/main" id="{00000000-0008-0000-0000-00005F050000}"/>
                </a:ext>
              </a:extLst>
            </xdr:cNvPr>
            <xdr:cNvGrpSpPr/>
          </xdr:nvGrpSpPr>
          <xdr:grpSpPr>
            <a:xfrm>
              <a:off x="20741640" y="25919007"/>
              <a:ext cx="1745827" cy="167640"/>
              <a:chOff x="14505941" y="980440"/>
              <a:chExt cx="2461228" cy="167640"/>
            </a:xfrm>
          </xdr:grpSpPr>
          <xdr:sp macro="" textlink="">
            <xdr:nvSpPr>
              <xdr:cNvPr id="12382" name="Button 1118" hidden="1">
                <a:extLst>
                  <a:ext uri="{63B3BB69-23CF-44E3-9099-C40C66FF867C}">
                    <a14:compatExt spid="_x0000_s12382"/>
                  </a:ext>
                  <a:ext uri="{FF2B5EF4-FFF2-40B4-BE49-F238E27FC236}">
                    <a16:creationId xmlns:a16="http://schemas.microsoft.com/office/drawing/2014/main" id="{00000000-0008-0000-0000-00005E30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m.interf</a:t>
                </a:r>
              </a:p>
            </xdr:txBody>
          </xdr:sp>
          <xdr:sp macro="" textlink="">
            <xdr:nvSpPr>
              <xdr:cNvPr id="12383" name="Button 1119" hidden="1">
                <a:extLst>
                  <a:ext uri="{63B3BB69-23CF-44E3-9099-C40C66FF867C}">
                    <a14:compatExt spid="_x0000_s12383"/>
                  </a:ext>
                  <a:ext uri="{FF2B5EF4-FFF2-40B4-BE49-F238E27FC236}">
                    <a16:creationId xmlns:a16="http://schemas.microsoft.com/office/drawing/2014/main" id="{00000000-0008-0000-0000-00005F300000}"/>
                  </a:ext>
                </a:extLst>
              </xdr:cNvPr>
              <xdr:cNvSpPr/>
            </xdr:nvSpPr>
            <xdr:spPr bwMode="auto">
              <a:xfrm>
                <a:off x="14505941" y="980440"/>
                <a:ext cx="59435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m.index</a:t>
                </a:r>
              </a:p>
            </xdr:txBody>
          </xdr:sp>
          <xdr:sp macro="" textlink="">
            <xdr:nvSpPr>
              <xdr:cNvPr id="12384" name="Button 1120" hidden="1">
                <a:extLst>
                  <a:ext uri="{63B3BB69-23CF-44E3-9099-C40C66FF867C}">
                    <a14:compatExt spid="_x0000_s12384"/>
                  </a:ext>
                  <a:ext uri="{FF2B5EF4-FFF2-40B4-BE49-F238E27FC236}">
                    <a16:creationId xmlns:a16="http://schemas.microsoft.com/office/drawing/2014/main" id="{00000000-0008-0000-0000-000060300000}"/>
                  </a:ext>
                </a:extLst>
              </xdr:cNvPr>
              <xdr:cNvSpPr/>
            </xdr:nvSpPr>
            <xdr:spPr bwMode="auto">
              <a:xfrm>
                <a:off x="15740373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  <xdr:sp macro="" textlink="">
            <xdr:nvSpPr>
              <xdr:cNvPr id="12385" name="Button 1121" hidden="1">
                <a:extLst>
                  <a:ext uri="{63B3BB69-23CF-44E3-9099-C40C66FF867C}">
                    <a14:compatExt spid="_x0000_s12385"/>
                  </a:ext>
                  <a:ext uri="{FF2B5EF4-FFF2-40B4-BE49-F238E27FC236}">
                    <a16:creationId xmlns:a16="http://schemas.microsoft.com/office/drawing/2014/main" id="{00000000-0008-0000-0000-00006130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86</xdr:row>
          <xdr:rowOff>78740</xdr:rowOff>
        </xdr:from>
        <xdr:to>
          <xdr:col>36</xdr:col>
          <xdr:colOff>0</xdr:colOff>
          <xdr:row>86</xdr:row>
          <xdr:rowOff>246380</xdr:rowOff>
        </xdr:to>
        <xdr:grpSp>
          <xdr:nvGrpSpPr>
            <xdr:cNvPr id="1380" name="그룹 1379">
              <a:extLst>
                <a:ext uri="{FF2B5EF4-FFF2-40B4-BE49-F238E27FC236}">
                  <a16:creationId xmlns:a16="http://schemas.microsoft.com/office/drawing/2014/main" id="{00000000-0008-0000-0000-000064050000}"/>
                </a:ext>
              </a:extLst>
            </xdr:cNvPr>
            <xdr:cNvGrpSpPr/>
          </xdr:nvGrpSpPr>
          <xdr:grpSpPr>
            <a:xfrm>
              <a:off x="20741640" y="26833407"/>
              <a:ext cx="1745827" cy="167640"/>
              <a:chOff x="14505941" y="980440"/>
              <a:chExt cx="2461228" cy="167640"/>
            </a:xfrm>
          </xdr:grpSpPr>
          <xdr:sp macro="" textlink="">
            <xdr:nvSpPr>
              <xdr:cNvPr id="12386" name="Button 1122" hidden="1">
                <a:extLst>
                  <a:ext uri="{63B3BB69-23CF-44E3-9099-C40C66FF867C}">
                    <a14:compatExt spid="_x0000_s12386"/>
                  </a:ext>
                  <a:ext uri="{FF2B5EF4-FFF2-40B4-BE49-F238E27FC236}">
                    <a16:creationId xmlns:a16="http://schemas.microsoft.com/office/drawing/2014/main" id="{00000000-0008-0000-0000-00006230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m.interf</a:t>
                </a:r>
              </a:p>
            </xdr:txBody>
          </xdr:sp>
          <xdr:sp macro="" textlink="">
            <xdr:nvSpPr>
              <xdr:cNvPr id="12387" name="Button 1123" hidden="1">
                <a:extLst>
                  <a:ext uri="{63B3BB69-23CF-44E3-9099-C40C66FF867C}">
                    <a14:compatExt spid="_x0000_s12387"/>
                  </a:ext>
                  <a:ext uri="{FF2B5EF4-FFF2-40B4-BE49-F238E27FC236}">
                    <a16:creationId xmlns:a16="http://schemas.microsoft.com/office/drawing/2014/main" id="{00000000-0008-0000-0000-000063300000}"/>
                  </a:ext>
                </a:extLst>
              </xdr:cNvPr>
              <xdr:cNvSpPr/>
            </xdr:nvSpPr>
            <xdr:spPr bwMode="auto">
              <a:xfrm>
                <a:off x="14505941" y="980440"/>
                <a:ext cx="59435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m.index</a:t>
                </a:r>
              </a:p>
            </xdr:txBody>
          </xdr:sp>
          <xdr:sp macro="" textlink="">
            <xdr:nvSpPr>
              <xdr:cNvPr id="12388" name="Button 1124" hidden="1">
                <a:extLst>
                  <a:ext uri="{63B3BB69-23CF-44E3-9099-C40C66FF867C}">
                    <a14:compatExt spid="_x0000_s12388"/>
                  </a:ext>
                  <a:ext uri="{FF2B5EF4-FFF2-40B4-BE49-F238E27FC236}">
                    <a16:creationId xmlns:a16="http://schemas.microsoft.com/office/drawing/2014/main" id="{00000000-0008-0000-0000-000064300000}"/>
                  </a:ext>
                </a:extLst>
              </xdr:cNvPr>
              <xdr:cNvSpPr/>
            </xdr:nvSpPr>
            <xdr:spPr bwMode="auto">
              <a:xfrm>
                <a:off x="15740373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  <xdr:sp macro="" textlink="">
            <xdr:nvSpPr>
              <xdr:cNvPr id="12389" name="Button 1125" hidden="1">
                <a:extLst>
                  <a:ext uri="{63B3BB69-23CF-44E3-9099-C40C66FF867C}">
                    <a14:compatExt spid="_x0000_s12389"/>
                  </a:ext>
                  <a:ext uri="{FF2B5EF4-FFF2-40B4-BE49-F238E27FC236}">
                    <a16:creationId xmlns:a16="http://schemas.microsoft.com/office/drawing/2014/main" id="{00000000-0008-0000-0000-00006530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94</xdr:row>
          <xdr:rowOff>78740</xdr:rowOff>
        </xdr:from>
        <xdr:to>
          <xdr:col>36</xdr:col>
          <xdr:colOff>0</xdr:colOff>
          <xdr:row>94</xdr:row>
          <xdr:rowOff>246380</xdr:rowOff>
        </xdr:to>
        <xdr:grpSp>
          <xdr:nvGrpSpPr>
            <xdr:cNvPr id="1385" name="그룹 1384">
              <a:extLst>
                <a:ext uri="{FF2B5EF4-FFF2-40B4-BE49-F238E27FC236}">
                  <a16:creationId xmlns:a16="http://schemas.microsoft.com/office/drawing/2014/main" id="{00000000-0008-0000-0000-000069050000}"/>
                </a:ext>
              </a:extLst>
            </xdr:cNvPr>
            <xdr:cNvGrpSpPr/>
          </xdr:nvGrpSpPr>
          <xdr:grpSpPr>
            <a:xfrm>
              <a:off x="20741640" y="30999007"/>
              <a:ext cx="1745827" cy="167640"/>
              <a:chOff x="14505941" y="980440"/>
              <a:chExt cx="2461228" cy="167640"/>
            </a:xfrm>
          </xdr:grpSpPr>
          <xdr:sp macro="" textlink="">
            <xdr:nvSpPr>
              <xdr:cNvPr id="12390" name="Button 1126" hidden="1">
                <a:extLst>
                  <a:ext uri="{63B3BB69-23CF-44E3-9099-C40C66FF867C}">
                    <a14:compatExt spid="_x0000_s12390"/>
                  </a:ext>
                  <a:ext uri="{FF2B5EF4-FFF2-40B4-BE49-F238E27FC236}">
                    <a16:creationId xmlns:a16="http://schemas.microsoft.com/office/drawing/2014/main" id="{00000000-0008-0000-0000-00006630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m.interf</a:t>
                </a:r>
              </a:p>
            </xdr:txBody>
          </xdr:sp>
          <xdr:sp macro="" textlink="">
            <xdr:nvSpPr>
              <xdr:cNvPr id="12391" name="Button 1127" hidden="1">
                <a:extLst>
                  <a:ext uri="{63B3BB69-23CF-44E3-9099-C40C66FF867C}">
                    <a14:compatExt spid="_x0000_s12391"/>
                  </a:ext>
                  <a:ext uri="{FF2B5EF4-FFF2-40B4-BE49-F238E27FC236}">
                    <a16:creationId xmlns:a16="http://schemas.microsoft.com/office/drawing/2014/main" id="{00000000-0008-0000-0000-000067300000}"/>
                  </a:ext>
                </a:extLst>
              </xdr:cNvPr>
              <xdr:cNvSpPr/>
            </xdr:nvSpPr>
            <xdr:spPr bwMode="auto">
              <a:xfrm>
                <a:off x="14505941" y="980440"/>
                <a:ext cx="59435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m.index</a:t>
                </a:r>
              </a:p>
            </xdr:txBody>
          </xdr:sp>
          <xdr:sp macro="" textlink="">
            <xdr:nvSpPr>
              <xdr:cNvPr id="12392" name="Button 1128" hidden="1">
                <a:extLst>
                  <a:ext uri="{63B3BB69-23CF-44E3-9099-C40C66FF867C}">
                    <a14:compatExt spid="_x0000_s12392"/>
                  </a:ext>
                  <a:ext uri="{FF2B5EF4-FFF2-40B4-BE49-F238E27FC236}">
                    <a16:creationId xmlns:a16="http://schemas.microsoft.com/office/drawing/2014/main" id="{00000000-0008-0000-0000-000068300000}"/>
                  </a:ext>
                </a:extLst>
              </xdr:cNvPr>
              <xdr:cNvSpPr/>
            </xdr:nvSpPr>
            <xdr:spPr bwMode="auto">
              <a:xfrm>
                <a:off x="15740373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  <xdr:sp macro="" textlink="">
            <xdr:nvSpPr>
              <xdr:cNvPr id="12393" name="Button 1129" hidden="1">
                <a:extLst>
                  <a:ext uri="{63B3BB69-23CF-44E3-9099-C40C66FF867C}">
                    <a14:compatExt spid="_x0000_s12393"/>
                  </a:ext>
                  <a:ext uri="{FF2B5EF4-FFF2-40B4-BE49-F238E27FC236}">
                    <a16:creationId xmlns:a16="http://schemas.microsoft.com/office/drawing/2014/main" id="{00000000-0008-0000-0000-00006930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102</xdr:row>
          <xdr:rowOff>78740</xdr:rowOff>
        </xdr:from>
        <xdr:to>
          <xdr:col>36</xdr:col>
          <xdr:colOff>0</xdr:colOff>
          <xdr:row>102</xdr:row>
          <xdr:rowOff>246380</xdr:rowOff>
        </xdr:to>
        <xdr:grpSp>
          <xdr:nvGrpSpPr>
            <xdr:cNvPr id="1390" name="그룹 1389">
              <a:extLst>
                <a:ext uri="{FF2B5EF4-FFF2-40B4-BE49-F238E27FC236}">
                  <a16:creationId xmlns:a16="http://schemas.microsoft.com/office/drawing/2014/main" id="{00000000-0008-0000-0000-00006E050000}"/>
                </a:ext>
              </a:extLst>
            </xdr:cNvPr>
            <xdr:cNvGrpSpPr/>
          </xdr:nvGrpSpPr>
          <xdr:grpSpPr>
            <a:xfrm>
              <a:off x="20741640" y="33352740"/>
              <a:ext cx="1745827" cy="167640"/>
              <a:chOff x="14505941" y="980440"/>
              <a:chExt cx="2461228" cy="167640"/>
            </a:xfrm>
          </xdr:grpSpPr>
          <xdr:sp macro="" textlink="">
            <xdr:nvSpPr>
              <xdr:cNvPr id="12394" name="Button 1130" hidden="1">
                <a:extLst>
                  <a:ext uri="{63B3BB69-23CF-44E3-9099-C40C66FF867C}">
                    <a14:compatExt spid="_x0000_s12394"/>
                  </a:ext>
                  <a:ext uri="{FF2B5EF4-FFF2-40B4-BE49-F238E27FC236}">
                    <a16:creationId xmlns:a16="http://schemas.microsoft.com/office/drawing/2014/main" id="{00000000-0008-0000-0000-00006A30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m.interf</a:t>
                </a:r>
              </a:p>
            </xdr:txBody>
          </xdr:sp>
          <xdr:sp macro="" textlink="">
            <xdr:nvSpPr>
              <xdr:cNvPr id="12395" name="Button 1131" hidden="1">
                <a:extLst>
                  <a:ext uri="{63B3BB69-23CF-44E3-9099-C40C66FF867C}">
                    <a14:compatExt spid="_x0000_s12395"/>
                  </a:ext>
                  <a:ext uri="{FF2B5EF4-FFF2-40B4-BE49-F238E27FC236}">
                    <a16:creationId xmlns:a16="http://schemas.microsoft.com/office/drawing/2014/main" id="{00000000-0008-0000-0000-00006B300000}"/>
                  </a:ext>
                </a:extLst>
              </xdr:cNvPr>
              <xdr:cNvSpPr/>
            </xdr:nvSpPr>
            <xdr:spPr bwMode="auto">
              <a:xfrm>
                <a:off x="14505941" y="980440"/>
                <a:ext cx="59435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m.index</a:t>
                </a:r>
              </a:p>
            </xdr:txBody>
          </xdr:sp>
          <xdr:sp macro="" textlink="">
            <xdr:nvSpPr>
              <xdr:cNvPr id="12396" name="Button 1132" hidden="1">
                <a:extLst>
                  <a:ext uri="{63B3BB69-23CF-44E3-9099-C40C66FF867C}">
                    <a14:compatExt spid="_x0000_s12396"/>
                  </a:ext>
                  <a:ext uri="{FF2B5EF4-FFF2-40B4-BE49-F238E27FC236}">
                    <a16:creationId xmlns:a16="http://schemas.microsoft.com/office/drawing/2014/main" id="{00000000-0008-0000-0000-00006C300000}"/>
                  </a:ext>
                </a:extLst>
              </xdr:cNvPr>
              <xdr:cNvSpPr/>
            </xdr:nvSpPr>
            <xdr:spPr bwMode="auto">
              <a:xfrm>
                <a:off x="15740373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  <xdr:sp macro="" textlink="">
            <xdr:nvSpPr>
              <xdr:cNvPr id="12397" name="Button 1133" hidden="1">
                <a:extLst>
                  <a:ext uri="{63B3BB69-23CF-44E3-9099-C40C66FF867C}">
                    <a14:compatExt spid="_x0000_s12397"/>
                  </a:ext>
                  <a:ext uri="{FF2B5EF4-FFF2-40B4-BE49-F238E27FC236}">
                    <a16:creationId xmlns:a16="http://schemas.microsoft.com/office/drawing/2014/main" id="{00000000-0008-0000-0000-00006D30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111</xdr:row>
          <xdr:rowOff>78740</xdr:rowOff>
        </xdr:from>
        <xdr:to>
          <xdr:col>36</xdr:col>
          <xdr:colOff>0</xdr:colOff>
          <xdr:row>111</xdr:row>
          <xdr:rowOff>246380</xdr:rowOff>
        </xdr:to>
        <xdr:grpSp>
          <xdr:nvGrpSpPr>
            <xdr:cNvPr id="1395" name="그룹 1394">
              <a:extLst>
                <a:ext uri="{FF2B5EF4-FFF2-40B4-BE49-F238E27FC236}">
                  <a16:creationId xmlns:a16="http://schemas.microsoft.com/office/drawing/2014/main" id="{00000000-0008-0000-0000-000073050000}"/>
                </a:ext>
              </a:extLst>
            </xdr:cNvPr>
            <xdr:cNvGrpSpPr/>
          </xdr:nvGrpSpPr>
          <xdr:grpSpPr>
            <a:xfrm>
              <a:off x="20741640" y="36095940"/>
              <a:ext cx="1745827" cy="167640"/>
              <a:chOff x="14505941" y="980440"/>
              <a:chExt cx="2461228" cy="167640"/>
            </a:xfrm>
          </xdr:grpSpPr>
          <xdr:sp macro="" textlink="">
            <xdr:nvSpPr>
              <xdr:cNvPr id="12398" name="Button 1134" hidden="1">
                <a:extLst>
                  <a:ext uri="{63B3BB69-23CF-44E3-9099-C40C66FF867C}">
                    <a14:compatExt spid="_x0000_s12398"/>
                  </a:ext>
                  <a:ext uri="{FF2B5EF4-FFF2-40B4-BE49-F238E27FC236}">
                    <a16:creationId xmlns:a16="http://schemas.microsoft.com/office/drawing/2014/main" id="{00000000-0008-0000-0000-00006E30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m.interf</a:t>
                </a:r>
              </a:p>
            </xdr:txBody>
          </xdr:sp>
          <xdr:sp macro="" textlink="">
            <xdr:nvSpPr>
              <xdr:cNvPr id="12399" name="Button 1135" hidden="1">
                <a:extLst>
                  <a:ext uri="{63B3BB69-23CF-44E3-9099-C40C66FF867C}">
                    <a14:compatExt spid="_x0000_s12399"/>
                  </a:ext>
                  <a:ext uri="{FF2B5EF4-FFF2-40B4-BE49-F238E27FC236}">
                    <a16:creationId xmlns:a16="http://schemas.microsoft.com/office/drawing/2014/main" id="{00000000-0008-0000-0000-00006F300000}"/>
                  </a:ext>
                </a:extLst>
              </xdr:cNvPr>
              <xdr:cNvSpPr/>
            </xdr:nvSpPr>
            <xdr:spPr bwMode="auto">
              <a:xfrm>
                <a:off x="14505941" y="980440"/>
                <a:ext cx="59435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m.index</a:t>
                </a:r>
              </a:p>
            </xdr:txBody>
          </xdr:sp>
          <xdr:sp macro="" textlink="">
            <xdr:nvSpPr>
              <xdr:cNvPr id="12400" name="Button 1136" hidden="1">
                <a:extLst>
                  <a:ext uri="{63B3BB69-23CF-44E3-9099-C40C66FF867C}">
                    <a14:compatExt spid="_x0000_s12400"/>
                  </a:ext>
                  <a:ext uri="{FF2B5EF4-FFF2-40B4-BE49-F238E27FC236}">
                    <a16:creationId xmlns:a16="http://schemas.microsoft.com/office/drawing/2014/main" id="{00000000-0008-0000-0000-000070300000}"/>
                  </a:ext>
                </a:extLst>
              </xdr:cNvPr>
              <xdr:cNvSpPr/>
            </xdr:nvSpPr>
            <xdr:spPr bwMode="auto">
              <a:xfrm>
                <a:off x="15740373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  <xdr:sp macro="" textlink="">
            <xdr:nvSpPr>
              <xdr:cNvPr id="12401" name="Button 1137" hidden="1">
                <a:extLst>
                  <a:ext uri="{63B3BB69-23CF-44E3-9099-C40C66FF867C}">
                    <a14:compatExt spid="_x0000_s12401"/>
                  </a:ext>
                  <a:ext uri="{FF2B5EF4-FFF2-40B4-BE49-F238E27FC236}">
                    <a16:creationId xmlns:a16="http://schemas.microsoft.com/office/drawing/2014/main" id="{00000000-0008-0000-0000-00007130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128</xdr:row>
          <xdr:rowOff>78740</xdr:rowOff>
        </xdr:from>
        <xdr:to>
          <xdr:col>36</xdr:col>
          <xdr:colOff>0</xdr:colOff>
          <xdr:row>128</xdr:row>
          <xdr:rowOff>246380</xdr:rowOff>
        </xdr:to>
        <xdr:grpSp>
          <xdr:nvGrpSpPr>
            <xdr:cNvPr id="1400" name="그룹 1399">
              <a:extLst>
                <a:ext uri="{FF2B5EF4-FFF2-40B4-BE49-F238E27FC236}">
                  <a16:creationId xmlns:a16="http://schemas.microsoft.com/office/drawing/2014/main" id="{00000000-0008-0000-0000-000078050000}"/>
                </a:ext>
              </a:extLst>
            </xdr:cNvPr>
            <xdr:cNvGrpSpPr/>
          </xdr:nvGrpSpPr>
          <xdr:grpSpPr>
            <a:xfrm>
              <a:off x="20741640" y="41023540"/>
              <a:ext cx="1745827" cy="167640"/>
              <a:chOff x="14505941" y="980440"/>
              <a:chExt cx="2461228" cy="167640"/>
            </a:xfrm>
          </xdr:grpSpPr>
          <xdr:sp macro="" textlink="">
            <xdr:nvSpPr>
              <xdr:cNvPr id="12402" name="Button 1138" hidden="1">
                <a:extLst>
                  <a:ext uri="{63B3BB69-23CF-44E3-9099-C40C66FF867C}">
                    <a14:compatExt spid="_x0000_s12402"/>
                  </a:ext>
                  <a:ext uri="{FF2B5EF4-FFF2-40B4-BE49-F238E27FC236}">
                    <a16:creationId xmlns:a16="http://schemas.microsoft.com/office/drawing/2014/main" id="{00000000-0008-0000-0000-00007230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m.interf</a:t>
                </a:r>
              </a:p>
            </xdr:txBody>
          </xdr:sp>
          <xdr:sp macro="" textlink="">
            <xdr:nvSpPr>
              <xdr:cNvPr id="12403" name="Button 1139" hidden="1">
                <a:extLst>
                  <a:ext uri="{63B3BB69-23CF-44E3-9099-C40C66FF867C}">
                    <a14:compatExt spid="_x0000_s12403"/>
                  </a:ext>
                  <a:ext uri="{FF2B5EF4-FFF2-40B4-BE49-F238E27FC236}">
                    <a16:creationId xmlns:a16="http://schemas.microsoft.com/office/drawing/2014/main" id="{00000000-0008-0000-0000-000073300000}"/>
                  </a:ext>
                </a:extLst>
              </xdr:cNvPr>
              <xdr:cNvSpPr/>
            </xdr:nvSpPr>
            <xdr:spPr bwMode="auto">
              <a:xfrm>
                <a:off x="14505941" y="980440"/>
                <a:ext cx="59435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m.index</a:t>
                </a:r>
              </a:p>
            </xdr:txBody>
          </xdr:sp>
          <xdr:sp macro="" textlink="">
            <xdr:nvSpPr>
              <xdr:cNvPr id="12404" name="Button 1140" hidden="1">
                <a:extLst>
                  <a:ext uri="{63B3BB69-23CF-44E3-9099-C40C66FF867C}">
                    <a14:compatExt spid="_x0000_s12404"/>
                  </a:ext>
                  <a:ext uri="{FF2B5EF4-FFF2-40B4-BE49-F238E27FC236}">
                    <a16:creationId xmlns:a16="http://schemas.microsoft.com/office/drawing/2014/main" id="{00000000-0008-0000-0000-000074300000}"/>
                  </a:ext>
                </a:extLst>
              </xdr:cNvPr>
              <xdr:cNvSpPr/>
            </xdr:nvSpPr>
            <xdr:spPr bwMode="auto">
              <a:xfrm>
                <a:off x="15740373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  <xdr:sp macro="" textlink="">
            <xdr:nvSpPr>
              <xdr:cNvPr id="12405" name="Button 1141" hidden="1">
                <a:extLst>
                  <a:ext uri="{63B3BB69-23CF-44E3-9099-C40C66FF867C}">
                    <a14:compatExt spid="_x0000_s12405"/>
                  </a:ext>
                  <a:ext uri="{FF2B5EF4-FFF2-40B4-BE49-F238E27FC236}">
                    <a16:creationId xmlns:a16="http://schemas.microsoft.com/office/drawing/2014/main" id="{00000000-0008-0000-0000-00007530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4</xdr:row>
          <xdr:rowOff>67130</xdr:rowOff>
        </xdr:from>
        <xdr:to>
          <xdr:col>37</xdr:col>
          <xdr:colOff>4455</xdr:colOff>
          <xdr:row>4</xdr:row>
          <xdr:rowOff>234770</xdr:rowOff>
        </xdr:to>
        <xdr:grpSp>
          <xdr:nvGrpSpPr>
            <xdr:cNvPr id="1440" name="그룹 1439">
              <a:extLst>
                <a:ext uri="{FF2B5EF4-FFF2-40B4-BE49-F238E27FC236}">
                  <a16:creationId xmlns:a16="http://schemas.microsoft.com/office/drawing/2014/main" id="{00000000-0008-0000-0000-0000A0050000}"/>
                </a:ext>
              </a:extLst>
            </xdr:cNvPr>
            <xdr:cNvGrpSpPr/>
          </xdr:nvGrpSpPr>
          <xdr:grpSpPr>
            <a:xfrm>
              <a:off x="22585441" y="1641930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429" name="Button 1165" hidden="1">
                <a:extLst>
                  <a:ext uri="{63B3BB69-23CF-44E3-9099-C40C66FF867C}">
                    <a14:compatExt spid="_x0000_s12429"/>
                  </a:ext>
                  <a:ext uri="{FF2B5EF4-FFF2-40B4-BE49-F238E27FC236}">
                    <a16:creationId xmlns:a16="http://schemas.microsoft.com/office/drawing/2014/main" id="{00000000-0008-0000-0000-00008D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430" name="Button 1166" hidden="1">
                <a:extLst>
                  <a:ext uri="{63B3BB69-23CF-44E3-9099-C40C66FF867C}">
                    <a14:compatExt spid="_x0000_s12430"/>
                  </a:ext>
                  <a:ext uri="{FF2B5EF4-FFF2-40B4-BE49-F238E27FC236}">
                    <a16:creationId xmlns:a16="http://schemas.microsoft.com/office/drawing/2014/main" id="{00000000-0008-0000-0000-00008E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</xdr:row>
          <xdr:rowOff>67130</xdr:rowOff>
        </xdr:from>
        <xdr:to>
          <xdr:col>37</xdr:col>
          <xdr:colOff>4455</xdr:colOff>
          <xdr:row>5</xdr:row>
          <xdr:rowOff>234770</xdr:rowOff>
        </xdr:to>
        <xdr:grpSp>
          <xdr:nvGrpSpPr>
            <xdr:cNvPr id="1443" name="그룹 1442">
              <a:extLst>
                <a:ext uri="{FF2B5EF4-FFF2-40B4-BE49-F238E27FC236}">
                  <a16:creationId xmlns:a16="http://schemas.microsoft.com/office/drawing/2014/main" id="{00000000-0008-0000-0000-0000A3050000}"/>
                </a:ext>
              </a:extLst>
            </xdr:cNvPr>
            <xdr:cNvGrpSpPr/>
          </xdr:nvGrpSpPr>
          <xdr:grpSpPr>
            <a:xfrm>
              <a:off x="22585441" y="1946730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431" name="Button 1167" hidden="1">
                <a:extLst>
                  <a:ext uri="{63B3BB69-23CF-44E3-9099-C40C66FF867C}">
                    <a14:compatExt spid="_x0000_s12431"/>
                  </a:ext>
                  <a:ext uri="{FF2B5EF4-FFF2-40B4-BE49-F238E27FC236}">
                    <a16:creationId xmlns:a16="http://schemas.microsoft.com/office/drawing/2014/main" id="{00000000-0008-0000-0000-00008F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432" name="Button 1168" hidden="1">
                <a:extLst>
                  <a:ext uri="{63B3BB69-23CF-44E3-9099-C40C66FF867C}">
                    <a14:compatExt spid="_x0000_s12432"/>
                  </a:ext>
                  <a:ext uri="{FF2B5EF4-FFF2-40B4-BE49-F238E27FC236}">
                    <a16:creationId xmlns:a16="http://schemas.microsoft.com/office/drawing/2014/main" id="{00000000-0008-0000-0000-000090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</xdr:row>
          <xdr:rowOff>67130</xdr:rowOff>
        </xdr:from>
        <xdr:to>
          <xdr:col>37</xdr:col>
          <xdr:colOff>4455</xdr:colOff>
          <xdr:row>6</xdr:row>
          <xdr:rowOff>234770</xdr:rowOff>
        </xdr:to>
        <xdr:grpSp>
          <xdr:nvGrpSpPr>
            <xdr:cNvPr id="1446" name="그룹 1445">
              <a:extLst>
                <a:ext uri="{FF2B5EF4-FFF2-40B4-BE49-F238E27FC236}">
                  <a16:creationId xmlns:a16="http://schemas.microsoft.com/office/drawing/2014/main" id="{00000000-0008-0000-0000-0000A6050000}"/>
                </a:ext>
              </a:extLst>
            </xdr:cNvPr>
            <xdr:cNvGrpSpPr/>
          </xdr:nvGrpSpPr>
          <xdr:grpSpPr>
            <a:xfrm>
              <a:off x="22585441" y="2251530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433" name="Button 1169" hidden="1">
                <a:extLst>
                  <a:ext uri="{63B3BB69-23CF-44E3-9099-C40C66FF867C}">
                    <a14:compatExt spid="_x0000_s12433"/>
                  </a:ext>
                  <a:ext uri="{FF2B5EF4-FFF2-40B4-BE49-F238E27FC236}">
                    <a16:creationId xmlns:a16="http://schemas.microsoft.com/office/drawing/2014/main" id="{00000000-0008-0000-0000-000091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434" name="Button 1170" hidden="1">
                <a:extLst>
                  <a:ext uri="{63B3BB69-23CF-44E3-9099-C40C66FF867C}">
                    <a14:compatExt spid="_x0000_s12434"/>
                  </a:ext>
                  <a:ext uri="{FF2B5EF4-FFF2-40B4-BE49-F238E27FC236}">
                    <a16:creationId xmlns:a16="http://schemas.microsoft.com/office/drawing/2014/main" id="{00000000-0008-0000-0000-000092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</xdr:row>
          <xdr:rowOff>67130</xdr:rowOff>
        </xdr:from>
        <xdr:to>
          <xdr:col>37</xdr:col>
          <xdr:colOff>4455</xdr:colOff>
          <xdr:row>7</xdr:row>
          <xdr:rowOff>234770</xdr:rowOff>
        </xdr:to>
        <xdr:grpSp>
          <xdr:nvGrpSpPr>
            <xdr:cNvPr id="1449" name="그룹 1448">
              <a:extLst>
                <a:ext uri="{FF2B5EF4-FFF2-40B4-BE49-F238E27FC236}">
                  <a16:creationId xmlns:a16="http://schemas.microsoft.com/office/drawing/2014/main" id="{00000000-0008-0000-0000-0000A9050000}"/>
                </a:ext>
              </a:extLst>
            </xdr:cNvPr>
            <xdr:cNvGrpSpPr/>
          </xdr:nvGrpSpPr>
          <xdr:grpSpPr>
            <a:xfrm>
              <a:off x="22585441" y="2556330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435" name="Button 1171" hidden="1">
                <a:extLst>
                  <a:ext uri="{63B3BB69-23CF-44E3-9099-C40C66FF867C}">
                    <a14:compatExt spid="_x0000_s12435"/>
                  </a:ext>
                  <a:ext uri="{FF2B5EF4-FFF2-40B4-BE49-F238E27FC236}">
                    <a16:creationId xmlns:a16="http://schemas.microsoft.com/office/drawing/2014/main" id="{00000000-0008-0000-0000-000093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436" name="Button 1172" hidden="1">
                <a:extLst>
                  <a:ext uri="{63B3BB69-23CF-44E3-9099-C40C66FF867C}">
                    <a14:compatExt spid="_x0000_s12436"/>
                  </a:ext>
                  <a:ext uri="{FF2B5EF4-FFF2-40B4-BE49-F238E27FC236}">
                    <a16:creationId xmlns:a16="http://schemas.microsoft.com/office/drawing/2014/main" id="{00000000-0008-0000-0000-000094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</xdr:row>
          <xdr:rowOff>67130</xdr:rowOff>
        </xdr:from>
        <xdr:to>
          <xdr:col>37</xdr:col>
          <xdr:colOff>4455</xdr:colOff>
          <xdr:row>8</xdr:row>
          <xdr:rowOff>234770</xdr:rowOff>
        </xdr:to>
        <xdr:grpSp>
          <xdr:nvGrpSpPr>
            <xdr:cNvPr id="1452" name="그룹 1451">
              <a:extLst>
                <a:ext uri="{FF2B5EF4-FFF2-40B4-BE49-F238E27FC236}">
                  <a16:creationId xmlns:a16="http://schemas.microsoft.com/office/drawing/2014/main" id="{00000000-0008-0000-0000-0000AC050000}"/>
                </a:ext>
              </a:extLst>
            </xdr:cNvPr>
            <xdr:cNvGrpSpPr/>
          </xdr:nvGrpSpPr>
          <xdr:grpSpPr>
            <a:xfrm>
              <a:off x="22585441" y="2861130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437" name="Button 1173" hidden="1">
                <a:extLst>
                  <a:ext uri="{63B3BB69-23CF-44E3-9099-C40C66FF867C}">
                    <a14:compatExt spid="_x0000_s12437"/>
                  </a:ext>
                  <a:ext uri="{FF2B5EF4-FFF2-40B4-BE49-F238E27FC236}">
                    <a16:creationId xmlns:a16="http://schemas.microsoft.com/office/drawing/2014/main" id="{00000000-0008-0000-0000-000095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438" name="Button 1174" hidden="1">
                <a:extLst>
                  <a:ext uri="{63B3BB69-23CF-44E3-9099-C40C66FF867C}">
                    <a14:compatExt spid="_x0000_s12438"/>
                  </a:ext>
                  <a:ext uri="{FF2B5EF4-FFF2-40B4-BE49-F238E27FC236}">
                    <a16:creationId xmlns:a16="http://schemas.microsoft.com/office/drawing/2014/main" id="{00000000-0008-0000-0000-000096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</xdr:row>
          <xdr:rowOff>67130</xdr:rowOff>
        </xdr:from>
        <xdr:to>
          <xdr:col>37</xdr:col>
          <xdr:colOff>4455</xdr:colOff>
          <xdr:row>9</xdr:row>
          <xdr:rowOff>234770</xdr:rowOff>
        </xdr:to>
        <xdr:grpSp>
          <xdr:nvGrpSpPr>
            <xdr:cNvPr id="1455" name="그룹 1454">
              <a:extLst>
                <a:ext uri="{FF2B5EF4-FFF2-40B4-BE49-F238E27FC236}">
                  <a16:creationId xmlns:a16="http://schemas.microsoft.com/office/drawing/2014/main" id="{00000000-0008-0000-0000-0000AF050000}"/>
                </a:ext>
              </a:extLst>
            </xdr:cNvPr>
            <xdr:cNvGrpSpPr/>
          </xdr:nvGrpSpPr>
          <xdr:grpSpPr>
            <a:xfrm>
              <a:off x="22585441" y="3165930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439" name="Button 1175" hidden="1">
                <a:extLst>
                  <a:ext uri="{63B3BB69-23CF-44E3-9099-C40C66FF867C}">
                    <a14:compatExt spid="_x0000_s12439"/>
                  </a:ext>
                  <a:ext uri="{FF2B5EF4-FFF2-40B4-BE49-F238E27FC236}">
                    <a16:creationId xmlns:a16="http://schemas.microsoft.com/office/drawing/2014/main" id="{00000000-0008-0000-0000-000097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440" name="Button 1176" hidden="1">
                <a:extLst>
                  <a:ext uri="{63B3BB69-23CF-44E3-9099-C40C66FF867C}">
                    <a14:compatExt spid="_x0000_s12440"/>
                  </a:ext>
                  <a:ext uri="{FF2B5EF4-FFF2-40B4-BE49-F238E27FC236}">
                    <a16:creationId xmlns:a16="http://schemas.microsoft.com/office/drawing/2014/main" id="{00000000-0008-0000-0000-000098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10</xdr:row>
          <xdr:rowOff>67130</xdr:rowOff>
        </xdr:from>
        <xdr:to>
          <xdr:col>37</xdr:col>
          <xdr:colOff>4455</xdr:colOff>
          <xdr:row>10</xdr:row>
          <xdr:rowOff>234770</xdr:rowOff>
        </xdr:to>
        <xdr:grpSp>
          <xdr:nvGrpSpPr>
            <xdr:cNvPr id="1458" name="그룹 1457">
              <a:extLst>
                <a:ext uri="{FF2B5EF4-FFF2-40B4-BE49-F238E27FC236}">
                  <a16:creationId xmlns:a16="http://schemas.microsoft.com/office/drawing/2014/main" id="{00000000-0008-0000-0000-0000B2050000}"/>
                </a:ext>
              </a:extLst>
            </xdr:cNvPr>
            <xdr:cNvGrpSpPr/>
          </xdr:nvGrpSpPr>
          <xdr:grpSpPr>
            <a:xfrm>
              <a:off x="22585441" y="3470730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441" name="Button 1177" hidden="1">
                <a:extLst>
                  <a:ext uri="{63B3BB69-23CF-44E3-9099-C40C66FF867C}">
                    <a14:compatExt spid="_x0000_s12441"/>
                  </a:ext>
                  <a:ext uri="{FF2B5EF4-FFF2-40B4-BE49-F238E27FC236}">
                    <a16:creationId xmlns:a16="http://schemas.microsoft.com/office/drawing/2014/main" id="{00000000-0008-0000-0000-000099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442" name="Button 1178" hidden="1">
                <a:extLst>
                  <a:ext uri="{63B3BB69-23CF-44E3-9099-C40C66FF867C}">
                    <a14:compatExt spid="_x0000_s12442"/>
                  </a:ext>
                  <a:ext uri="{FF2B5EF4-FFF2-40B4-BE49-F238E27FC236}">
                    <a16:creationId xmlns:a16="http://schemas.microsoft.com/office/drawing/2014/main" id="{00000000-0008-0000-0000-00009A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13</xdr:row>
          <xdr:rowOff>67130</xdr:rowOff>
        </xdr:from>
        <xdr:to>
          <xdr:col>37</xdr:col>
          <xdr:colOff>4455</xdr:colOff>
          <xdr:row>13</xdr:row>
          <xdr:rowOff>234770</xdr:rowOff>
        </xdr:to>
        <xdr:grpSp>
          <xdr:nvGrpSpPr>
            <xdr:cNvPr id="1461" name="그룹 1460">
              <a:extLst>
                <a:ext uri="{FF2B5EF4-FFF2-40B4-BE49-F238E27FC236}">
                  <a16:creationId xmlns:a16="http://schemas.microsoft.com/office/drawing/2014/main" id="{00000000-0008-0000-0000-0000B5050000}"/>
                </a:ext>
              </a:extLst>
            </xdr:cNvPr>
            <xdr:cNvGrpSpPr/>
          </xdr:nvGrpSpPr>
          <xdr:grpSpPr>
            <a:xfrm>
              <a:off x="22585441" y="4215797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443" name="Button 1179" hidden="1">
                <a:extLst>
                  <a:ext uri="{63B3BB69-23CF-44E3-9099-C40C66FF867C}">
                    <a14:compatExt spid="_x0000_s12443"/>
                  </a:ext>
                  <a:ext uri="{FF2B5EF4-FFF2-40B4-BE49-F238E27FC236}">
                    <a16:creationId xmlns:a16="http://schemas.microsoft.com/office/drawing/2014/main" id="{00000000-0008-0000-0000-00009B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444" name="Button 1180" hidden="1">
                <a:extLst>
                  <a:ext uri="{63B3BB69-23CF-44E3-9099-C40C66FF867C}">
                    <a14:compatExt spid="_x0000_s12444"/>
                  </a:ext>
                  <a:ext uri="{FF2B5EF4-FFF2-40B4-BE49-F238E27FC236}">
                    <a16:creationId xmlns:a16="http://schemas.microsoft.com/office/drawing/2014/main" id="{00000000-0008-0000-0000-00009C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15</xdr:row>
          <xdr:rowOff>67130</xdr:rowOff>
        </xdr:from>
        <xdr:to>
          <xdr:col>37</xdr:col>
          <xdr:colOff>4455</xdr:colOff>
          <xdr:row>15</xdr:row>
          <xdr:rowOff>234770</xdr:rowOff>
        </xdr:to>
        <xdr:grpSp>
          <xdr:nvGrpSpPr>
            <xdr:cNvPr id="1464" name="그룹 1463">
              <a:extLst>
                <a:ext uri="{FF2B5EF4-FFF2-40B4-BE49-F238E27FC236}">
                  <a16:creationId xmlns:a16="http://schemas.microsoft.com/office/drawing/2014/main" id="{00000000-0008-0000-0000-0000B8050000}"/>
                </a:ext>
              </a:extLst>
            </xdr:cNvPr>
            <xdr:cNvGrpSpPr/>
          </xdr:nvGrpSpPr>
          <xdr:grpSpPr>
            <a:xfrm>
              <a:off x="22585441" y="4723797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445" name="Button 1181" hidden="1">
                <a:extLst>
                  <a:ext uri="{63B3BB69-23CF-44E3-9099-C40C66FF867C}">
                    <a14:compatExt spid="_x0000_s12445"/>
                  </a:ext>
                  <a:ext uri="{FF2B5EF4-FFF2-40B4-BE49-F238E27FC236}">
                    <a16:creationId xmlns:a16="http://schemas.microsoft.com/office/drawing/2014/main" id="{00000000-0008-0000-0000-00009D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446" name="Button 1182" hidden="1">
                <a:extLst>
                  <a:ext uri="{63B3BB69-23CF-44E3-9099-C40C66FF867C}">
                    <a14:compatExt spid="_x0000_s12446"/>
                  </a:ext>
                  <a:ext uri="{FF2B5EF4-FFF2-40B4-BE49-F238E27FC236}">
                    <a16:creationId xmlns:a16="http://schemas.microsoft.com/office/drawing/2014/main" id="{00000000-0008-0000-0000-00009E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63500</xdr:colOff>
          <xdr:row>17</xdr:row>
          <xdr:rowOff>165100</xdr:rowOff>
        </xdr:from>
        <xdr:to>
          <xdr:col>10</xdr:col>
          <xdr:colOff>469900</xdr:colOff>
          <xdr:row>18</xdr:row>
          <xdr:rowOff>127000</xdr:rowOff>
        </xdr:to>
        <xdr:sp macro="" textlink="">
          <xdr:nvSpPr>
            <xdr:cNvPr id="12449" name="Check Box 1185" hidden="1">
              <a:extLst>
                <a:ext uri="{63B3BB69-23CF-44E3-9099-C40C66FF867C}">
                  <a14:compatExt spid="_x0000_s12449"/>
                </a:ext>
                <a:ext uri="{FF2B5EF4-FFF2-40B4-BE49-F238E27FC236}">
                  <a16:creationId xmlns:a16="http://schemas.microsoft.com/office/drawing/2014/main" id="{00000000-0008-0000-0000-0000A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63500</xdr:colOff>
          <xdr:row>7</xdr:row>
          <xdr:rowOff>152400</xdr:rowOff>
        </xdr:from>
        <xdr:to>
          <xdr:col>10</xdr:col>
          <xdr:colOff>469900</xdr:colOff>
          <xdr:row>8</xdr:row>
          <xdr:rowOff>101600</xdr:rowOff>
        </xdr:to>
        <xdr:sp macro="" textlink="">
          <xdr:nvSpPr>
            <xdr:cNvPr id="12450" name="Check Box 1186" hidden="1">
              <a:extLst>
                <a:ext uri="{63B3BB69-23CF-44E3-9099-C40C66FF867C}">
                  <a14:compatExt spid="_x0000_s12450"/>
                </a:ext>
                <a:ext uri="{FF2B5EF4-FFF2-40B4-BE49-F238E27FC236}">
                  <a16:creationId xmlns:a16="http://schemas.microsoft.com/office/drawing/2014/main" id="{00000000-0008-0000-0000-0000A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50800</xdr:colOff>
          <xdr:row>22</xdr:row>
          <xdr:rowOff>50800</xdr:rowOff>
        </xdr:from>
        <xdr:to>
          <xdr:col>10</xdr:col>
          <xdr:colOff>457200</xdr:colOff>
          <xdr:row>23</xdr:row>
          <xdr:rowOff>0</xdr:rowOff>
        </xdr:to>
        <xdr:sp macro="" textlink="">
          <xdr:nvSpPr>
            <xdr:cNvPr id="12453" name="Check Box 1189" hidden="1">
              <a:extLst>
                <a:ext uri="{63B3BB69-23CF-44E3-9099-C40C66FF867C}">
                  <a14:compatExt spid="_x0000_s12453"/>
                </a:ext>
                <a:ext uri="{FF2B5EF4-FFF2-40B4-BE49-F238E27FC236}">
                  <a16:creationId xmlns:a16="http://schemas.microsoft.com/office/drawing/2014/main" id="{00000000-0008-0000-0000-0000A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25</xdr:row>
          <xdr:rowOff>12700</xdr:rowOff>
        </xdr:from>
        <xdr:to>
          <xdr:col>10</xdr:col>
          <xdr:colOff>431800</xdr:colOff>
          <xdr:row>25</xdr:row>
          <xdr:rowOff>279400</xdr:rowOff>
        </xdr:to>
        <xdr:sp macro="" textlink="">
          <xdr:nvSpPr>
            <xdr:cNvPr id="12454" name="Check Box 1190" hidden="1">
              <a:extLst>
                <a:ext uri="{63B3BB69-23CF-44E3-9099-C40C66FF867C}">
                  <a14:compatExt spid="_x0000_s12454"/>
                </a:ext>
                <a:ext uri="{FF2B5EF4-FFF2-40B4-BE49-F238E27FC236}">
                  <a16:creationId xmlns:a16="http://schemas.microsoft.com/office/drawing/2014/main" id="{00000000-0008-0000-0000-0000A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31</xdr:row>
          <xdr:rowOff>25400</xdr:rowOff>
        </xdr:from>
        <xdr:to>
          <xdr:col>10</xdr:col>
          <xdr:colOff>406400</xdr:colOff>
          <xdr:row>31</xdr:row>
          <xdr:rowOff>292100</xdr:rowOff>
        </xdr:to>
        <xdr:sp macro="" textlink="">
          <xdr:nvSpPr>
            <xdr:cNvPr id="12455" name="Check Box 1191" hidden="1">
              <a:extLst>
                <a:ext uri="{63B3BB69-23CF-44E3-9099-C40C66FF867C}">
                  <a14:compatExt spid="_x0000_s12455"/>
                </a:ext>
                <a:ext uri="{FF2B5EF4-FFF2-40B4-BE49-F238E27FC236}">
                  <a16:creationId xmlns:a16="http://schemas.microsoft.com/office/drawing/2014/main" id="{00000000-0008-0000-0000-0000A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88900</xdr:colOff>
          <xdr:row>53</xdr:row>
          <xdr:rowOff>12700</xdr:rowOff>
        </xdr:from>
        <xdr:to>
          <xdr:col>10</xdr:col>
          <xdr:colOff>482600</xdr:colOff>
          <xdr:row>53</xdr:row>
          <xdr:rowOff>279400</xdr:rowOff>
        </xdr:to>
        <xdr:sp macro="" textlink="">
          <xdr:nvSpPr>
            <xdr:cNvPr id="12457" name="Check Box 1193" hidden="1">
              <a:extLst>
                <a:ext uri="{63B3BB69-23CF-44E3-9099-C40C66FF867C}">
                  <a14:compatExt spid="_x0000_s12457"/>
                </a:ext>
                <a:ext uri="{FF2B5EF4-FFF2-40B4-BE49-F238E27FC236}">
                  <a16:creationId xmlns:a16="http://schemas.microsoft.com/office/drawing/2014/main" id="{00000000-0008-0000-0000-0000A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</xdr:colOff>
          <xdr:row>64</xdr:row>
          <xdr:rowOff>38100</xdr:rowOff>
        </xdr:from>
        <xdr:to>
          <xdr:col>10</xdr:col>
          <xdr:colOff>431800</xdr:colOff>
          <xdr:row>65</xdr:row>
          <xdr:rowOff>0</xdr:rowOff>
        </xdr:to>
        <xdr:sp macro="" textlink="">
          <xdr:nvSpPr>
            <xdr:cNvPr id="12458" name="Check Box 1194" hidden="1">
              <a:extLst>
                <a:ext uri="{63B3BB69-23CF-44E3-9099-C40C66FF867C}">
                  <a14:compatExt spid="_x0000_s12458"/>
                </a:ext>
                <a:ext uri="{FF2B5EF4-FFF2-40B4-BE49-F238E27FC236}">
                  <a16:creationId xmlns:a16="http://schemas.microsoft.com/office/drawing/2014/main" id="{00000000-0008-0000-0000-0000A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78</xdr:row>
          <xdr:rowOff>50800</xdr:rowOff>
        </xdr:from>
        <xdr:to>
          <xdr:col>10</xdr:col>
          <xdr:colOff>406400</xdr:colOff>
          <xdr:row>79</xdr:row>
          <xdr:rowOff>25400</xdr:rowOff>
        </xdr:to>
        <xdr:sp macro="" textlink="">
          <xdr:nvSpPr>
            <xdr:cNvPr id="12461" name="Check Box 1197" hidden="1">
              <a:extLst>
                <a:ext uri="{63B3BB69-23CF-44E3-9099-C40C66FF867C}">
                  <a14:compatExt spid="_x0000_s12461"/>
                </a:ext>
                <a:ext uri="{FF2B5EF4-FFF2-40B4-BE49-F238E27FC236}">
                  <a16:creationId xmlns:a16="http://schemas.microsoft.com/office/drawing/2014/main" id="{00000000-0008-0000-0000-0000A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86</xdr:row>
          <xdr:rowOff>152400</xdr:rowOff>
        </xdr:from>
        <xdr:to>
          <xdr:col>10</xdr:col>
          <xdr:colOff>406400</xdr:colOff>
          <xdr:row>87</xdr:row>
          <xdr:rowOff>127000</xdr:rowOff>
        </xdr:to>
        <xdr:sp macro="" textlink="">
          <xdr:nvSpPr>
            <xdr:cNvPr id="12463" name="Check Box 1199" hidden="1">
              <a:extLst>
                <a:ext uri="{63B3BB69-23CF-44E3-9099-C40C66FF867C}">
                  <a14:compatExt spid="_x0000_s12463"/>
                </a:ext>
                <a:ext uri="{FF2B5EF4-FFF2-40B4-BE49-F238E27FC236}">
                  <a16:creationId xmlns:a16="http://schemas.microsoft.com/office/drawing/2014/main" id="{00000000-0008-0000-0000-0000A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94</xdr:row>
          <xdr:rowOff>152400</xdr:rowOff>
        </xdr:from>
        <xdr:to>
          <xdr:col>10</xdr:col>
          <xdr:colOff>406400</xdr:colOff>
          <xdr:row>95</xdr:row>
          <xdr:rowOff>127000</xdr:rowOff>
        </xdr:to>
        <xdr:sp macro="" textlink="">
          <xdr:nvSpPr>
            <xdr:cNvPr id="12464" name="Check Box 1200" hidden="1">
              <a:extLst>
                <a:ext uri="{63B3BB69-23CF-44E3-9099-C40C66FF867C}">
                  <a14:compatExt spid="_x0000_s12464"/>
                </a:ext>
                <a:ext uri="{FF2B5EF4-FFF2-40B4-BE49-F238E27FC236}">
                  <a16:creationId xmlns:a16="http://schemas.microsoft.com/office/drawing/2014/main" id="{00000000-0008-0000-0000-0000B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102</xdr:row>
          <xdr:rowOff>152400</xdr:rowOff>
        </xdr:from>
        <xdr:to>
          <xdr:col>10</xdr:col>
          <xdr:colOff>406400</xdr:colOff>
          <xdr:row>103</xdr:row>
          <xdr:rowOff>127000</xdr:rowOff>
        </xdr:to>
        <xdr:sp macro="" textlink="">
          <xdr:nvSpPr>
            <xdr:cNvPr id="12465" name="Check Box 1201" hidden="1">
              <a:extLst>
                <a:ext uri="{63B3BB69-23CF-44E3-9099-C40C66FF867C}">
                  <a14:compatExt spid="_x0000_s12465"/>
                </a:ext>
                <a:ext uri="{FF2B5EF4-FFF2-40B4-BE49-F238E27FC236}">
                  <a16:creationId xmlns:a16="http://schemas.microsoft.com/office/drawing/2014/main" id="{00000000-0008-0000-0000-0000B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111</xdr:row>
          <xdr:rowOff>152400</xdr:rowOff>
        </xdr:from>
        <xdr:to>
          <xdr:col>10</xdr:col>
          <xdr:colOff>406400</xdr:colOff>
          <xdr:row>112</xdr:row>
          <xdr:rowOff>127000</xdr:rowOff>
        </xdr:to>
        <xdr:sp macro="" textlink="">
          <xdr:nvSpPr>
            <xdr:cNvPr id="12466" name="Check Box 1202" hidden="1">
              <a:extLst>
                <a:ext uri="{63B3BB69-23CF-44E3-9099-C40C66FF867C}">
                  <a14:compatExt spid="_x0000_s12466"/>
                </a:ext>
                <a:ext uri="{FF2B5EF4-FFF2-40B4-BE49-F238E27FC236}">
                  <a16:creationId xmlns:a16="http://schemas.microsoft.com/office/drawing/2014/main" id="{00000000-0008-0000-0000-0000B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128</xdr:row>
          <xdr:rowOff>152400</xdr:rowOff>
        </xdr:from>
        <xdr:to>
          <xdr:col>10</xdr:col>
          <xdr:colOff>406400</xdr:colOff>
          <xdr:row>129</xdr:row>
          <xdr:rowOff>127000</xdr:rowOff>
        </xdr:to>
        <xdr:sp macro="" textlink="">
          <xdr:nvSpPr>
            <xdr:cNvPr id="12467" name="Check Box 1203" hidden="1">
              <a:extLst>
                <a:ext uri="{63B3BB69-23CF-44E3-9099-C40C66FF867C}">
                  <a14:compatExt spid="_x0000_s12467"/>
                </a:ext>
                <a:ext uri="{FF2B5EF4-FFF2-40B4-BE49-F238E27FC236}">
                  <a16:creationId xmlns:a16="http://schemas.microsoft.com/office/drawing/2014/main" id="{00000000-0008-0000-0000-0000B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26</xdr:row>
          <xdr:rowOff>78740</xdr:rowOff>
        </xdr:from>
        <xdr:to>
          <xdr:col>36</xdr:col>
          <xdr:colOff>0</xdr:colOff>
          <xdr:row>26</xdr:row>
          <xdr:rowOff>246380</xdr:rowOff>
        </xdr:to>
        <xdr:grpSp>
          <xdr:nvGrpSpPr>
            <xdr:cNvPr id="132" name="그룹 131">
              <a:extLst>
                <a:ext uri="{FF2B5EF4-FFF2-40B4-BE49-F238E27FC236}">
                  <a16:creationId xmlns:a16="http://schemas.microsoft.com/office/drawing/2014/main" id="{00000000-0008-0000-0000-000084000000}"/>
                </a:ext>
              </a:extLst>
            </xdr:cNvPr>
            <xdr:cNvGrpSpPr/>
          </xdr:nvGrpSpPr>
          <xdr:grpSpPr>
            <a:xfrm>
              <a:off x="20741640" y="8088207"/>
              <a:ext cx="1745827" cy="167640"/>
              <a:chOff x="14505941" y="980440"/>
              <a:chExt cx="2461228" cy="167640"/>
            </a:xfrm>
          </xdr:grpSpPr>
          <xdr:sp macro="" textlink="">
            <xdr:nvSpPr>
              <xdr:cNvPr id="12474" name="Button 1210" hidden="1">
                <a:extLst>
                  <a:ext uri="{63B3BB69-23CF-44E3-9099-C40C66FF867C}">
                    <a14:compatExt spid="_x0000_s12474"/>
                  </a:ext>
                  <a:ext uri="{FF2B5EF4-FFF2-40B4-BE49-F238E27FC236}">
                    <a16:creationId xmlns:a16="http://schemas.microsoft.com/office/drawing/2014/main" id="{00000000-0008-0000-0000-0000BA30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m.interf</a:t>
                </a:r>
              </a:p>
            </xdr:txBody>
          </xdr:sp>
          <xdr:sp macro="" textlink="">
            <xdr:nvSpPr>
              <xdr:cNvPr id="12475" name="Button 1211" hidden="1">
                <a:extLst>
                  <a:ext uri="{63B3BB69-23CF-44E3-9099-C40C66FF867C}">
                    <a14:compatExt spid="_x0000_s12475"/>
                  </a:ext>
                  <a:ext uri="{FF2B5EF4-FFF2-40B4-BE49-F238E27FC236}">
                    <a16:creationId xmlns:a16="http://schemas.microsoft.com/office/drawing/2014/main" id="{00000000-0008-0000-0000-0000BB300000}"/>
                  </a:ext>
                </a:extLst>
              </xdr:cNvPr>
              <xdr:cNvSpPr/>
            </xdr:nvSpPr>
            <xdr:spPr bwMode="auto">
              <a:xfrm>
                <a:off x="14505941" y="980440"/>
                <a:ext cx="59435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m.index</a:t>
                </a:r>
              </a:p>
            </xdr:txBody>
          </xdr:sp>
          <xdr:sp macro="" textlink="">
            <xdr:nvSpPr>
              <xdr:cNvPr id="12476" name="Button 1212" hidden="1">
                <a:extLst>
                  <a:ext uri="{63B3BB69-23CF-44E3-9099-C40C66FF867C}">
                    <a14:compatExt spid="_x0000_s12476"/>
                  </a:ext>
                  <a:ext uri="{FF2B5EF4-FFF2-40B4-BE49-F238E27FC236}">
                    <a16:creationId xmlns:a16="http://schemas.microsoft.com/office/drawing/2014/main" id="{00000000-0008-0000-0000-0000BC300000}"/>
                  </a:ext>
                </a:extLst>
              </xdr:cNvPr>
              <xdr:cNvSpPr/>
            </xdr:nvSpPr>
            <xdr:spPr bwMode="auto">
              <a:xfrm>
                <a:off x="15740373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  <xdr:sp macro="" textlink="">
            <xdr:nvSpPr>
              <xdr:cNvPr id="12477" name="Button 1213" hidden="1">
                <a:extLst>
                  <a:ext uri="{63B3BB69-23CF-44E3-9099-C40C66FF867C}">
                    <a14:compatExt spid="_x0000_s12477"/>
                  </a:ext>
                  <a:ext uri="{FF2B5EF4-FFF2-40B4-BE49-F238E27FC236}">
                    <a16:creationId xmlns:a16="http://schemas.microsoft.com/office/drawing/2014/main" id="{00000000-0008-0000-0000-0000BD30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26</xdr:row>
          <xdr:rowOff>67130</xdr:rowOff>
        </xdr:from>
        <xdr:to>
          <xdr:col>37</xdr:col>
          <xdr:colOff>4455</xdr:colOff>
          <xdr:row>26</xdr:row>
          <xdr:rowOff>234770</xdr:rowOff>
        </xdr:to>
        <xdr:grpSp>
          <xdr:nvGrpSpPr>
            <xdr:cNvPr id="140" name="그룹 139">
              <a:extLst>
                <a:ext uri="{FF2B5EF4-FFF2-40B4-BE49-F238E27FC236}">
                  <a16:creationId xmlns:a16="http://schemas.microsoft.com/office/drawing/2014/main" id="{00000000-0008-0000-0000-00008C000000}"/>
                </a:ext>
              </a:extLst>
            </xdr:cNvPr>
            <xdr:cNvGrpSpPr/>
          </xdr:nvGrpSpPr>
          <xdr:grpSpPr>
            <a:xfrm>
              <a:off x="22585441" y="8076597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480" name="Button 1216" hidden="1">
                <a:extLst>
                  <a:ext uri="{63B3BB69-23CF-44E3-9099-C40C66FF867C}">
                    <a14:compatExt spid="_x0000_s12480"/>
                  </a:ext>
                  <a:ext uri="{FF2B5EF4-FFF2-40B4-BE49-F238E27FC236}">
                    <a16:creationId xmlns:a16="http://schemas.microsoft.com/office/drawing/2014/main" id="{00000000-0008-0000-0000-0000C0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481" name="Button 1217" hidden="1">
                <a:extLst>
                  <a:ext uri="{63B3BB69-23CF-44E3-9099-C40C66FF867C}">
                    <a14:compatExt spid="_x0000_s12481"/>
                  </a:ext>
                  <a:ext uri="{FF2B5EF4-FFF2-40B4-BE49-F238E27FC236}">
                    <a16:creationId xmlns:a16="http://schemas.microsoft.com/office/drawing/2014/main" id="{00000000-0008-0000-0000-0000C1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28</xdr:row>
          <xdr:rowOff>67130</xdr:rowOff>
        </xdr:from>
        <xdr:to>
          <xdr:col>37</xdr:col>
          <xdr:colOff>4455</xdr:colOff>
          <xdr:row>28</xdr:row>
          <xdr:rowOff>234770</xdr:rowOff>
        </xdr:to>
        <xdr:grpSp>
          <xdr:nvGrpSpPr>
            <xdr:cNvPr id="143" name="그룹 142">
              <a:extLst>
                <a:ext uri="{FF2B5EF4-FFF2-40B4-BE49-F238E27FC236}">
                  <a16:creationId xmlns:a16="http://schemas.microsoft.com/office/drawing/2014/main" id="{00000000-0008-0000-0000-00008F000000}"/>
                </a:ext>
              </a:extLst>
            </xdr:cNvPr>
            <xdr:cNvGrpSpPr/>
          </xdr:nvGrpSpPr>
          <xdr:grpSpPr>
            <a:xfrm>
              <a:off x="22585441" y="8601530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482" name="Button 1218" hidden="1">
                <a:extLst>
                  <a:ext uri="{63B3BB69-23CF-44E3-9099-C40C66FF867C}">
                    <a14:compatExt spid="_x0000_s12482"/>
                  </a:ext>
                  <a:ext uri="{FF2B5EF4-FFF2-40B4-BE49-F238E27FC236}">
                    <a16:creationId xmlns:a16="http://schemas.microsoft.com/office/drawing/2014/main" id="{00000000-0008-0000-0000-0000C2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483" name="Button 1219" hidden="1">
                <a:extLst>
                  <a:ext uri="{63B3BB69-23CF-44E3-9099-C40C66FF867C}">
                    <a14:compatExt spid="_x0000_s12483"/>
                  </a:ext>
                  <a:ext uri="{FF2B5EF4-FFF2-40B4-BE49-F238E27FC236}">
                    <a16:creationId xmlns:a16="http://schemas.microsoft.com/office/drawing/2014/main" id="{00000000-0008-0000-0000-0000C3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29</xdr:row>
          <xdr:rowOff>67130</xdr:rowOff>
        </xdr:from>
        <xdr:to>
          <xdr:col>37</xdr:col>
          <xdr:colOff>4455</xdr:colOff>
          <xdr:row>29</xdr:row>
          <xdr:rowOff>234770</xdr:rowOff>
        </xdr:to>
        <xdr:grpSp>
          <xdr:nvGrpSpPr>
            <xdr:cNvPr id="146" name="그룹 145">
              <a:extLst>
                <a:ext uri="{FF2B5EF4-FFF2-40B4-BE49-F238E27FC236}">
                  <a16:creationId xmlns:a16="http://schemas.microsoft.com/office/drawing/2014/main" id="{00000000-0008-0000-0000-000092000000}"/>
                </a:ext>
              </a:extLst>
            </xdr:cNvPr>
            <xdr:cNvGrpSpPr/>
          </xdr:nvGrpSpPr>
          <xdr:grpSpPr>
            <a:xfrm>
              <a:off x="22585441" y="8906330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484" name="Button 1220" hidden="1">
                <a:extLst>
                  <a:ext uri="{63B3BB69-23CF-44E3-9099-C40C66FF867C}">
                    <a14:compatExt spid="_x0000_s12484"/>
                  </a:ext>
                  <a:ext uri="{FF2B5EF4-FFF2-40B4-BE49-F238E27FC236}">
                    <a16:creationId xmlns:a16="http://schemas.microsoft.com/office/drawing/2014/main" id="{00000000-0008-0000-0000-0000C4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485" name="Button 1221" hidden="1">
                <a:extLst>
                  <a:ext uri="{63B3BB69-23CF-44E3-9099-C40C66FF867C}">
                    <a14:compatExt spid="_x0000_s12485"/>
                  </a:ext>
                  <a:ext uri="{FF2B5EF4-FFF2-40B4-BE49-F238E27FC236}">
                    <a16:creationId xmlns:a16="http://schemas.microsoft.com/office/drawing/2014/main" id="{00000000-0008-0000-0000-0000C5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30</xdr:row>
          <xdr:rowOff>67130</xdr:rowOff>
        </xdr:from>
        <xdr:to>
          <xdr:col>37</xdr:col>
          <xdr:colOff>4455</xdr:colOff>
          <xdr:row>30</xdr:row>
          <xdr:rowOff>234770</xdr:rowOff>
        </xdr:to>
        <xdr:grpSp>
          <xdr:nvGrpSpPr>
            <xdr:cNvPr id="149" name="그룹 148">
              <a:extLst>
                <a:ext uri="{FF2B5EF4-FFF2-40B4-BE49-F238E27FC236}">
                  <a16:creationId xmlns:a16="http://schemas.microsoft.com/office/drawing/2014/main" id="{00000000-0008-0000-0000-000095000000}"/>
                </a:ext>
              </a:extLst>
            </xdr:cNvPr>
            <xdr:cNvGrpSpPr/>
          </xdr:nvGrpSpPr>
          <xdr:grpSpPr>
            <a:xfrm>
              <a:off x="22585441" y="9211130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486" name="Button 1222" hidden="1">
                <a:extLst>
                  <a:ext uri="{63B3BB69-23CF-44E3-9099-C40C66FF867C}">
                    <a14:compatExt spid="_x0000_s12486"/>
                  </a:ext>
                  <a:ext uri="{FF2B5EF4-FFF2-40B4-BE49-F238E27FC236}">
                    <a16:creationId xmlns:a16="http://schemas.microsoft.com/office/drawing/2014/main" id="{00000000-0008-0000-0000-0000C6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487" name="Button 1223" hidden="1">
                <a:extLst>
                  <a:ext uri="{63B3BB69-23CF-44E3-9099-C40C66FF867C}">
                    <a14:compatExt spid="_x0000_s12487"/>
                  </a:ext>
                  <a:ext uri="{FF2B5EF4-FFF2-40B4-BE49-F238E27FC236}">
                    <a16:creationId xmlns:a16="http://schemas.microsoft.com/office/drawing/2014/main" id="{00000000-0008-0000-0000-0000C7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31</xdr:row>
          <xdr:rowOff>67130</xdr:rowOff>
        </xdr:from>
        <xdr:to>
          <xdr:col>37</xdr:col>
          <xdr:colOff>4455</xdr:colOff>
          <xdr:row>31</xdr:row>
          <xdr:rowOff>234770</xdr:rowOff>
        </xdr:to>
        <xdr:grpSp>
          <xdr:nvGrpSpPr>
            <xdr:cNvPr id="152" name="그룹 151">
              <a:extLst>
                <a:ext uri="{FF2B5EF4-FFF2-40B4-BE49-F238E27FC236}">
                  <a16:creationId xmlns:a16="http://schemas.microsoft.com/office/drawing/2014/main" id="{00000000-0008-0000-0000-000098000000}"/>
                </a:ext>
              </a:extLst>
            </xdr:cNvPr>
            <xdr:cNvGrpSpPr/>
          </xdr:nvGrpSpPr>
          <xdr:grpSpPr>
            <a:xfrm>
              <a:off x="22585441" y="9515930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488" name="Button 1224" hidden="1">
                <a:extLst>
                  <a:ext uri="{63B3BB69-23CF-44E3-9099-C40C66FF867C}">
                    <a14:compatExt spid="_x0000_s12488"/>
                  </a:ext>
                  <a:ext uri="{FF2B5EF4-FFF2-40B4-BE49-F238E27FC236}">
                    <a16:creationId xmlns:a16="http://schemas.microsoft.com/office/drawing/2014/main" id="{00000000-0008-0000-0000-0000C8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489" name="Button 1225" hidden="1">
                <a:extLst>
                  <a:ext uri="{63B3BB69-23CF-44E3-9099-C40C66FF867C}">
                    <a14:compatExt spid="_x0000_s12489"/>
                  </a:ext>
                  <a:ext uri="{FF2B5EF4-FFF2-40B4-BE49-F238E27FC236}">
                    <a16:creationId xmlns:a16="http://schemas.microsoft.com/office/drawing/2014/main" id="{00000000-0008-0000-0000-0000C9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32</xdr:row>
          <xdr:rowOff>67130</xdr:rowOff>
        </xdr:from>
        <xdr:to>
          <xdr:col>37</xdr:col>
          <xdr:colOff>4455</xdr:colOff>
          <xdr:row>32</xdr:row>
          <xdr:rowOff>234770</xdr:rowOff>
        </xdr:to>
        <xdr:grpSp>
          <xdr:nvGrpSpPr>
            <xdr:cNvPr id="155" name="그룹 154">
              <a:extLst>
                <a:ext uri="{FF2B5EF4-FFF2-40B4-BE49-F238E27FC236}">
                  <a16:creationId xmlns:a16="http://schemas.microsoft.com/office/drawing/2014/main" id="{00000000-0008-0000-0000-00009B000000}"/>
                </a:ext>
              </a:extLst>
            </xdr:cNvPr>
            <xdr:cNvGrpSpPr/>
          </xdr:nvGrpSpPr>
          <xdr:grpSpPr>
            <a:xfrm>
              <a:off x="22585441" y="9820730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490" name="Button 1226" hidden="1">
                <a:extLst>
                  <a:ext uri="{63B3BB69-23CF-44E3-9099-C40C66FF867C}">
                    <a14:compatExt spid="_x0000_s12490"/>
                  </a:ext>
                  <a:ext uri="{FF2B5EF4-FFF2-40B4-BE49-F238E27FC236}">
                    <a16:creationId xmlns:a16="http://schemas.microsoft.com/office/drawing/2014/main" id="{00000000-0008-0000-0000-0000CA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491" name="Button 1227" hidden="1">
                <a:extLst>
                  <a:ext uri="{63B3BB69-23CF-44E3-9099-C40C66FF867C}">
                    <a14:compatExt spid="_x0000_s12491"/>
                  </a:ext>
                  <a:ext uri="{FF2B5EF4-FFF2-40B4-BE49-F238E27FC236}">
                    <a16:creationId xmlns:a16="http://schemas.microsoft.com/office/drawing/2014/main" id="{00000000-0008-0000-0000-0000CB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33</xdr:row>
          <xdr:rowOff>67130</xdr:rowOff>
        </xdr:from>
        <xdr:to>
          <xdr:col>37</xdr:col>
          <xdr:colOff>4455</xdr:colOff>
          <xdr:row>33</xdr:row>
          <xdr:rowOff>234770</xdr:rowOff>
        </xdr:to>
        <xdr:grpSp>
          <xdr:nvGrpSpPr>
            <xdr:cNvPr id="158" name="그룹 157">
              <a:extLst>
                <a:ext uri="{FF2B5EF4-FFF2-40B4-BE49-F238E27FC236}">
                  <a16:creationId xmlns:a16="http://schemas.microsoft.com/office/drawing/2014/main" id="{00000000-0008-0000-0000-00009E000000}"/>
                </a:ext>
              </a:extLst>
            </xdr:cNvPr>
            <xdr:cNvGrpSpPr/>
          </xdr:nvGrpSpPr>
          <xdr:grpSpPr>
            <a:xfrm>
              <a:off x="22585441" y="10125530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492" name="Button 1228" hidden="1">
                <a:extLst>
                  <a:ext uri="{63B3BB69-23CF-44E3-9099-C40C66FF867C}">
                    <a14:compatExt spid="_x0000_s12492"/>
                  </a:ext>
                  <a:ext uri="{FF2B5EF4-FFF2-40B4-BE49-F238E27FC236}">
                    <a16:creationId xmlns:a16="http://schemas.microsoft.com/office/drawing/2014/main" id="{00000000-0008-0000-0000-0000CC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493" name="Button 1229" hidden="1">
                <a:extLst>
                  <a:ext uri="{63B3BB69-23CF-44E3-9099-C40C66FF867C}">
                    <a14:compatExt spid="_x0000_s12493"/>
                  </a:ext>
                  <a:ext uri="{FF2B5EF4-FFF2-40B4-BE49-F238E27FC236}">
                    <a16:creationId xmlns:a16="http://schemas.microsoft.com/office/drawing/2014/main" id="{00000000-0008-0000-0000-0000CD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34</xdr:row>
          <xdr:rowOff>67130</xdr:rowOff>
        </xdr:from>
        <xdr:to>
          <xdr:col>37</xdr:col>
          <xdr:colOff>4455</xdr:colOff>
          <xdr:row>34</xdr:row>
          <xdr:rowOff>234770</xdr:rowOff>
        </xdr:to>
        <xdr:grpSp>
          <xdr:nvGrpSpPr>
            <xdr:cNvPr id="161" name="그룹 160">
              <a:extLst>
                <a:ext uri="{FF2B5EF4-FFF2-40B4-BE49-F238E27FC236}">
                  <a16:creationId xmlns:a16="http://schemas.microsoft.com/office/drawing/2014/main" id="{00000000-0008-0000-0000-0000A1000000}"/>
                </a:ext>
              </a:extLst>
            </xdr:cNvPr>
            <xdr:cNvGrpSpPr/>
          </xdr:nvGrpSpPr>
          <xdr:grpSpPr>
            <a:xfrm>
              <a:off x="22585441" y="10430330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494" name="Button 1230" hidden="1">
                <a:extLst>
                  <a:ext uri="{63B3BB69-23CF-44E3-9099-C40C66FF867C}">
                    <a14:compatExt spid="_x0000_s12494"/>
                  </a:ext>
                  <a:ext uri="{FF2B5EF4-FFF2-40B4-BE49-F238E27FC236}">
                    <a16:creationId xmlns:a16="http://schemas.microsoft.com/office/drawing/2014/main" id="{00000000-0008-0000-0000-0000CE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495" name="Button 1231" hidden="1">
                <a:extLst>
                  <a:ext uri="{63B3BB69-23CF-44E3-9099-C40C66FF867C}">
                    <a14:compatExt spid="_x0000_s12495"/>
                  </a:ext>
                  <a:ext uri="{FF2B5EF4-FFF2-40B4-BE49-F238E27FC236}">
                    <a16:creationId xmlns:a16="http://schemas.microsoft.com/office/drawing/2014/main" id="{00000000-0008-0000-0000-0000CF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41</xdr:row>
          <xdr:rowOff>67130</xdr:rowOff>
        </xdr:from>
        <xdr:to>
          <xdr:col>37</xdr:col>
          <xdr:colOff>4455</xdr:colOff>
          <xdr:row>41</xdr:row>
          <xdr:rowOff>234770</xdr:rowOff>
        </xdr:to>
        <xdr:grpSp>
          <xdr:nvGrpSpPr>
            <xdr:cNvPr id="164" name="그룹 163">
              <a:extLst>
                <a:ext uri="{FF2B5EF4-FFF2-40B4-BE49-F238E27FC236}">
                  <a16:creationId xmlns:a16="http://schemas.microsoft.com/office/drawing/2014/main" id="{00000000-0008-0000-0000-0000A4000000}"/>
                </a:ext>
              </a:extLst>
            </xdr:cNvPr>
            <xdr:cNvGrpSpPr/>
          </xdr:nvGrpSpPr>
          <xdr:grpSpPr>
            <a:xfrm>
              <a:off x="22585441" y="127332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496" name="Button 1232" hidden="1">
                <a:extLst>
                  <a:ext uri="{63B3BB69-23CF-44E3-9099-C40C66FF867C}">
                    <a14:compatExt spid="_x0000_s12496"/>
                  </a:ext>
                  <a:ext uri="{FF2B5EF4-FFF2-40B4-BE49-F238E27FC236}">
                    <a16:creationId xmlns:a16="http://schemas.microsoft.com/office/drawing/2014/main" id="{00000000-0008-0000-0000-0000D0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497" name="Button 1233" hidden="1">
                <a:extLst>
                  <a:ext uri="{63B3BB69-23CF-44E3-9099-C40C66FF867C}">
                    <a14:compatExt spid="_x0000_s12497"/>
                  </a:ext>
                  <a:ext uri="{FF2B5EF4-FFF2-40B4-BE49-F238E27FC236}">
                    <a16:creationId xmlns:a16="http://schemas.microsoft.com/office/drawing/2014/main" id="{00000000-0008-0000-0000-0000D1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47</xdr:row>
          <xdr:rowOff>67130</xdr:rowOff>
        </xdr:from>
        <xdr:to>
          <xdr:col>37</xdr:col>
          <xdr:colOff>4455</xdr:colOff>
          <xdr:row>47</xdr:row>
          <xdr:rowOff>234770</xdr:rowOff>
        </xdr:to>
        <xdr:grpSp>
          <xdr:nvGrpSpPr>
            <xdr:cNvPr id="182" name="그룹 181">
              <a:extLst>
                <a:ext uri="{FF2B5EF4-FFF2-40B4-BE49-F238E27FC236}">
                  <a16:creationId xmlns:a16="http://schemas.microsoft.com/office/drawing/2014/main" id="{00000000-0008-0000-0000-0000B6000000}"/>
                </a:ext>
              </a:extLst>
            </xdr:cNvPr>
            <xdr:cNvGrpSpPr/>
          </xdr:nvGrpSpPr>
          <xdr:grpSpPr>
            <a:xfrm>
              <a:off x="22585441" y="140032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519" name="Button 1255" hidden="1">
                <a:extLst>
                  <a:ext uri="{63B3BB69-23CF-44E3-9099-C40C66FF867C}">
                    <a14:compatExt spid="_x0000_s12519"/>
                  </a:ext>
                  <a:ext uri="{FF2B5EF4-FFF2-40B4-BE49-F238E27FC236}">
                    <a16:creationId xmlns:a16="http://schemas.microsoft.com/office/drawing/2014/main" id="{00000000-0008-0000-0000-0000E7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520" name="Button 1256" hidden="1">
                <a:extLst>
                  <a:ext uri="{63B3BB69-23CF-44E3-9099-C40C66FF867C}">
                    <a14:compatExt spid="_x0000_s12520"/>
                  </a:ext>
                  <a:ext uri="{FF2B5EF4-FFF2-40B4-BE49-F238E27FC236}">
                    <a16:creationId xmlns:a16="http://schemas.microsoft.com/office/drawing/2014/main" id="{00000000-0008-0000-0000-0000E8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48</xdr:row>
          <xdr:rowOff>67130</xdr:rowOff>
        </xdr:from>
        <xdr:to>
          <xdr:col>37</xdr:col>
          <xdr:colOff>4455</xdr:colOff>
          <xdr:row>48</xdr:row>
          <xdr:rowOff>234770</xdr:rowOff>
        </xdr:to>
        <xdr:grpSp>
          <xdr:nvGrpSpPr>
            <xdr:cNvPr id="185" name="그룹 184">
              <a:extLst>
                <a:ext uri="{FF2B5EF4-FFF2-40B4-BE49-F238E27FC236}">
                  <a16:creationId xmlns:a16="http://schemas.microsoft.com/office/drawing/2014/main" id="{00000000-0008-0000-0000-0000B9000000}"/>
                </a:ext>
              </a:extLst>
            </xdr:cNvPr>
            <xdr:cNvGrpSpPr/>
          </xdr:nvGrpSpPr>
          <xdr:grpSpPr>
            <a:xfrm>
              <a:off x="22585441" y="143080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521" name="Button 1257" hidden="1">
                <a:extLst>
                  <a:ext uri="{63B3BB69-23CF-44E3-9099-C40C66FF867C}">
                    <a14:compatExt spid="_x0000_s12521"/>
                  </a:ext>
                  <a:ext uri="{FF2B5EF4-FFF2-40B4-BE49-F238E27FC236}">
                    <a16:creationId xmlns:a16="http://schemas.microsoft.com/office/drawing/2014/main" id="{00000000-0008-0000-0000-0000E9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522" name="Button 1258" hidden="1">
                <a:extLst>
                  <a:ext uri="{63B3BB69-23CF-44E3-9099-C40C66FF867C}">
                    <a14:compatExt spid="_x0000_s12522"/>
                  </a:ext>
                  <a:ext uri="{FF2B5EF4-FFF2-40B4-BE49-F238E27FC236}">
                    <a16:creationId xmlns:a16="http://schemas.microsoft.com/office/drawing/2014/main" id="{00000000-0008-0000-0000-0000EA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49</xdr:row>
          <xdr:rowOff>67130</xdr:rowOff>
        </xdr:from>
        <xdr:to>
          <xdr:col>37</xdr:col>
          <xdr:colOff>4455</xdr:colOff>
          <xdr:row>49</xdr:row>
          <xdr:rowOff>234770</xdr:rowOff>
        </xdr:to>
        <xdr:grpSp>
          <xdr:nvGrpSpPr>
            <xdr:cNvPr id="188" name="그룹 187">
              <a:extLst>
                <a:ext uri="{FF2B5EF4-FFF2-40B4-BE49-F238E27FC236}">
                  <a16:creationId xmlns:a16="http://schemas.microsoft.com/office/drawing/2014/main" id="{00000000-0008-0000-0000-0000BC000000}"/>
                </a:ext>
              </a:extLst>
            </xdr:cNvPr>
            <xdr:cNvGrpSpPr/>
          </xdr:nvGrpSpPr>
          <xdr:grpSpPr>
            <a:xfrm>
              <a:off x="22585441" y="146128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523" name="Button 1259" hidden="1">
                <a:extLst>
                  <a:ext uri="{63B3BB69-23CF-44E3-9099-C40C66FF867C}">
                    <a14:compatExt spid="_x0000_s12523"/>
                  </a:ext>
                  <a:ext uri="{FF2B5EF4-FFF2-40B4-BE49-F238E27FC236}">
                    <a16:creationId xmlns:a16="http://schemas.microsoft.com/office/drawing/2014/main" id="{00000000-0008-0000-0000-0000EB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524" name="Button 1260" hidden="1">
                <a:extLst>
                  <a:ext uri="{63B3BB69-23CF-44E3-9099-C40C66FF867C}">
                    <a14:compatExt spid="_x0000_s12524"/>
                  </a:ext>
                  <a:ext uri="{FF2B5EF4-FFF2-40B4-BE49-F238E27FC236}">
                    <a16:creationId xmlns:a16="http://schemas.microsoft.com/office/drawing/2014/main" id="{00000000-0008-0000-0000-0000EC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50</xdr:row>
          <xdr:rowOff>67130</xdr:rowOff>
        </xdr:from>
        <xdr:to>
          <xdr:col>37</xdr:col>
          <xdr:colOff>4455</xdr:colOff>
          <xdr:row>50</xdr:row>
          <xdr:rowOff>234770</xdr:rowOff>
        </xdr:to>
        <xdr:grpSp>
          <xdr:nvGrpSpPr>
            <xdr:cNvPr id="191" name="그룹 190">
              <a:extLst>
                <a:ext uri="{FF2B5EF4-FFF2-40B4-BE49-F238E27FC236}">
                  <a16:creationId xmlns:a16="http://schemas.microsoft.com/office/drawing/2014/main" id="{00000000-0008-0000-0000-0000BF000000}"/>
                </a:ext>
              </a:extLst>
            </xdr:cNvPr>
            <xdr:cNvGrpSpPr/>
          </xdr:nvGrpSpPr>
          <xdr:grpSpPr>
            <a:xfrm>
              <a:off x="22585441" y="149176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525" name="Button 1261" hidden="1">
                <a:extLst>
                  <a:ext uri="{63B3BB69-23CF-44E3-9099-C40C66FF867C}">
                    <a14:compatExt spid="_x0000_s12525"/>
                  </a:ext>
                  <a:ext uri="{FF2B5EF4-FFF2-40B4-BE49-F238E27FC236}">
                    <a16:creationId xmlns:a16="http://schemas.microsoft.com/office/drawing/2014/main" id="{00000000-0008-0000-0000-0000ED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526" name="Button 1262" hidden="1">
                <a:extLst>
                  <a:ext uri="{63B3BB69-23CF-44E3-9099-C40C66FF867C}">
                    <a14:compatExt spid="_x0000_s12526"/>
                  </a:ext>
                  <a:ext uri="{FF2B5EF4-FFF2-40B4-BE49-F238E27FC236}">
                    <a16:creationId xmlns:a16="http://schemas.microsoft.com/office/drawing/2014/main" id="{00000000-0008-0000-0000-0000EE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51</xdr:row>
          <xdr:rowOff>67130</xdr:rowOff>
        </xdr:from>
        <xdr:to>
          <xdr:col>37</xdr:col>
          <xdr:colOff>4455</xdr:colOff>
          <xdr:row>51</xdr:row>
          <xdr:rowOff>234770</xdr:rowOff>
        </xdr:to>
        <xdr:grpSp>
          <xdr:nvGrpSpPr>
            <xdr:cNvPr id="194" name="그룹 193">
              <a:extLst>
                <a:ext uri="{FF2B5EF4-FFF2-40B4-BE49-F238E27FC236}">
                  <a16:creationId xmlns:a16="http://schemas.microsoft.com/office/drawing/2014/main" id="{00000000-0008-0000-0000-0000C2000000}"/>
                </a:ext>
              </a:extLst>
            </xdr:cNvPr>
            <xdr:cNvGrpSpPr/>
          </xdr:nvGrpSpPr>
          <xdr:grpSpPr>
            <a:xfrm>
              <a:off x="22585441" y="152224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527" name="Button 1263" hidden="1">
                <a:extLst>
                  <a:ext uri="{63B3BB69-23CF-44E3-9099-C40C66FF867C}">
                    <a14:compatExt spid="_x0000_s12527"/>
                  </a:ext>
                  <a:ext uri="{FF2B5EF4-FFF2-40B4-BE49-F238E27FC236}">
                    <a16:creationId xmlns:a16="http://schemas.microsoft.com/office/drawing/2014/main" id="{00000000-0008-0000-0000-0000EF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528" name="Button 1264" hidden="1">
                <a:extLst>
                  <a:ext uri="{63B3BB69-23CF-44E3-9099-C40C66FF867C}">
                    <a14:compatExt spid="_x0000_s12528"/>
                  </a:ext>
                  <a:ext uri="{FF2B5EF4-FFF2-40B4-BE49-F238E27FC236}">
                    <a16:creationId xmlns:a16="http://schemas.microsoft.com/office/drawing/2014/main" id="{00000000-0008-0000-0000-0000F0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54</xdr:row>
          <xdr:rowOff>67130</xdr:rowOff>
        </xdr:from>
        <xdr:to>
          <xdr:col>37</xdr:col>
          <xdr:colOff>4455</xdr:colOff>
          <xdr:row>54</xdr:row>
          <xdr:rowOff>234770</xdr:rowOff>
        </xdr:to>
        <xdr:grpSp>
          <xdr:nvGrpSpPr>
            <xdr:cNvPr id="203" name="그룹 202">
              <a:extLst>
                <a:ext uri="{FF2B5EF4-FFF2-40B4-BE49-F238E27FC236}">
                  <a16:creationId xmlns:a16="http://schemas.microsoft.com/office/drawing/2014/main" id="{00000000-0008-0000-0000-0000CB000000}"/>
                </a:ext>
              </a:extLst>
            </xdr:cNvPr>
            <xdr:cNvGrpSpPr/>
          </xdr:nvGrpSpPr>
          <xdr:grpSpPr>
            <a:xfrm>
              <a:off x="22585441" y="161368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533" name="Button 1269" hidden="1">
                <a:extLst>
                  <a:ext uri="{63B3BB69-23CF-44E3-9099-C40C66FF867C}">
                    <a14:compatExt spid="_x0000_s12533"/>
                  </a:ext>
                  <a:ext uri="{FF2B5EF4-FFF2-40B4-BE49-F238E27FC236}">
                    <a16:creationId xmlns:a16="http://schemas.microsoft.com/office/drawing/2014/main" id="{00000000-0008-0000-0000-0000F5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534" name="Button 1270" hidden="1">
                <a:extLst>
                  <a:ext uri="{63B3BB69-23CF-44E3-9099-C40C66FF867C}">
                    <a14:compatExt spid="_x0000_s12534"/>
                  </a:ext>
                  <a:ext uri="{FF2B5EF4-FFF2-40B4-BE49-F238E27FC236}">
                    <a16:creationId xmlns:a16="http://schemas.microsoft.com/office/drawing/2014/main" id="{00000000-0008-0000-0000-0000F6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55</xdr:row>
          <xdr:rowOff>67130</xdr:rowOff>
        </xdr:from>
        <xdr:to>
          <xdr:col>37</xdr:col>
          <xdr:colOff>4455</xdr:colOff>
          <xdr:row>55</xdr:row>
          <xdr:rowOff>234770</xdr:rowOff>
        </xdr:to>
        <xdr:grpSp>
          <xdr:nvGrpSpPr>
            <xdr:cNvPr id="206" name="그룹 205">
              <a:extLst>
                <a:ext uri="{FF2B5EF4-FFF2-40B4-BE49-F238E27FC236}">
                  <a16:creationId xmlns:a16="http://schemas.microsoft.com/office/drawing/2014/main" id="{00000000-0008-0000-0000-0000CE000000}"/>
                </a:ext>
              </a:extLst>
            </xdr:cNvPr>
            <xdr:cNvGrpSpPr/>
          </xdr:nvGrpSpPr>
          <xdr:grpSpPr>
            <a:xfrm>
              <a:off x="22585441" y="164416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535" name="Button 1271" hidden="1">
                <a:extLst>
                  <a:ext uri="{63B3BB69-23CF-44E3-9099-C40C66FF867C}">
                    <a14:compatExt spid="_x0000_s12535"/>
                  </a:ext>
                  <a:ext uri="{FF2B5EF4-FFF2-40B4-BE49-F238E27FC236}">
                    <a16:creationId xmlns:a16="http://schemas.microsoft.com/office/drawing/2014/main" id="{00000000-0008-0000-0000-0000F7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536" name="Button 1272" hidden="1">
                <a:extLst>
                  <a:ext uri="{63B3BB69-23CF-44E3-9099-C40C66FF867C}">
                    <a14:compatExt spid="_x0000_s12536"/>
                  </a:ext>
                  <a:ext uri="{FF2B5EF4-FFF2-40B4-BE49-F238E27FC236}">
                    <a16:creationId xmlns:a16="http://schemas.microsoft.com/office/drawing/2014/main" id="{00000000-0008-0000-0000-0000F8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56</xdr:row>
          <xdr:rowOff>67130</xdr:rowOff>
        </xdr:from>
        <xdr:to>
          <xdr:col>37</xdr:col>
          <xdr:colOff>4455</xdr:colOff>
          <xdr:row>56</xdr:row>
          <xdr:rowOff>234770</xdr:rowOff>
        </xdr:to>
        <xdr:grpSp>
          <xdr:nvGrpSpPr>
            <xdr:cNvPr id="209" name="그룹 208">
              <a:extLst>
                <a:ext uri="{FF2B5EF4-FFF2-40B4-BE49-F238E27FC236}">
                  <a16:creationId xmlns:a16="http://schemas.microsoft.com/office/drawing/2014/main" id="{00000000-0008-0000-0000-0000D1000000}"/>
                </a:ext>
              </a:extLst>
            </xdr:cNvPr>
            <xdr:cNvGrpSpPr/>
          </xdr:nvGrpSpPr>
          <xdr:grpSpPr>
            <a:xfrm>
              <a:off x="22585441" y="167464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537" name="Button 1273" hidden="1">
                <a:extLst>
                  <a:ext uri="{63B3BB69-23CF-44E3-9099-C40C66FF867C}">
                    <a14:compatExt spid="_x0000_s12537"/>
                  </a:ext>
                  <a:ext uri="{FF2B5EF4-FFF2-40B4-BE49-F238E27FC236}">
                    <a16:creationId xmlns:a16="http://schemas.microsoft.com/office/drawing/2014/main" id="{00000000-0008-0000-0000-0000F9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538" name="Button 1274" hidden="1">
                <a:extLst>
                  <a:ext uri="{63B3BB69-23CF-44E3-9099-C40C66FF867C}">
                    <a14:compatExt spid="_x0000_s12538"/>
                  </a:ext>
                  <a:ext uri="{FF2B5EF4-FFF2-40B4-BE49-F238E27FC236}">
                    <a16:creationId xmlns:a16="http://schemas.microsoft.com/office/drawing/2014/main" id="{00000000-0008-0000-0000-0000FA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57</xdr:row>
          <xdr:rowOff>67130</xdr:rowOff>
        </xdr:from>
        <xdr:to>
          <xdr:col>37</xdr:col>
          <xdr:colOff>4455</xdr:colOff>
          <xdr:row>57</xdr:row>
          <xdr:rowOff>234770</xdr:rowOff>
        </xdr:to>
        <xdr:grpSp>
          <xdr:nvGrpSpPr>
            <xdr:cNvPr id="212" name="그룹 211">
              <a:extLst>
                <a:ext uri="{FF2B5EF4-FFF2-40B4-BE49-F238E27FC236}">
                  <a16:creationId xmlns:a16="http://schemas.microsoft.com/office/drawing/2014/main" id="{00000000-0008-0000-0000-0000D4000000}"/>
                </a:ext>
              </a:extLst>
            </xdr:cNvPr>
            <xdr:cNvGrpSpPr/>
          </xdr:nvGrpSpPr>
          <xdr:grpSpPr>
            <a:xfrm>
              <a:off x="22585441" y="170512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539" name="Button 1275" hidden="1">
                <a:extLst>
                  <a:ext uri="{63B3BB69-23CF-44E3-9099-C40C66FF867C}">
                    <a14:compatExt spid="_x0000_s12539"/>
                  </a:ext>
                  <a:ext uri="{FF2B5EF4-FFF2-40B4-BE49-F238E27FC236}">
                    <a16:creationId xmlns:a16="http://schemas.microsoft.com/office/drawing/2014/main" id="{00000000-0008-0000-0000-0000FB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540" name="Button 1276" hidden="1">
                <a:extLst>
                  <a:ext uri="{63B3BB69-23CF-44E3-9099-C40C66FF867C}">
                    <a14:compatExt spid="_x0000_s12540"/>
                  </a:ext>
                  <a:ext uri="{FF2B5EF4-FFF2-40B4-BE49-F238E27FC236}">
                    <a16:creationId xmlns:a16="http://schemas.microsoft.com/office/drawing/2014/main" id="{00000000-0008-0000-0000-0000FC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58</xdr:row>
          <xdr:rowOff>67130</xdr:rowOff>
        </xdr:from>
        <xdr:to>
          <xdr:col>37</xdr:col>
          <xdr:colOff>4455</xdr:colOff>
          <xdr:row>58</xdr:row>
          <xdr:rowOff>234770</xdr:rowOff>
        </xdr:to>
        <xdr:grpSp>
          <xdr:nvGrpSpPr>
            <xdr:cNvPr id="215" name="그룹 214">
              <a:extLst>
                <a:ext uri="{FF2B5EF4-FFF2-40B4-BE49-F238E27FC236}">
                  <a16:creationId xmlns:a16="http://schemas.microsoft.com/office/drawing/2014/main" id="{00000000-0008-0000-0000-0000D7000000}"/>
                </a:ext>
              </a:extLst>
            </xdr:cNvPr>
            <xdr:cNvGrpSpPr/>
          </xdr:nvGrpSpPr>
          <xdr:grpSpPr>
            <a:xfrm>
              <a:off x="22585441" y="173560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541" name="Button 1277" hidden="1">
                <a:extLst>
                  <a:ext uri="{63B3BB69-23CF-44E3-9099-C40C66FF867C}">
                    <a14:compatExt spid="_x0000_s12541"/>
                  </a:ext>
                  <a:ext uri="{FF2B5EF4-FFF2-40B4-BE49-F238E27FC236}">
                    <a16:creationId xmlns:a16="http://schemas.microsoft.com/office/drawing/2014/main" id="{00000000-0008-0000-0000-0000FD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542" name="Button 1278" hidden="1">
                <a:extLst>
                  <a:ext uri="{63B3BB69-23CF-44E3-9099-C40C66FF867C}">
                    <a14:compatExt spid="_x0000_s12542"/>
                  </a:ext>
                  <a:ext uri="{FF2B5EF4-FFF2-40B4-BE49-F238E27FC236}">
                    <a16:creationId xmlns:a16="http://schemas.microsoft.com/office/drawing/2014/main" id="{00000000-0008-0000-0000-0000FE30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59</xdr:row>
          <xdr:rowOff>67130</xdr:rowOff>
        </xdr:from>
        <xdr:to>
          <xdr:col>37</xdr:col>
          <xdr:colOff>4455</xdr:colOff>
          <xdr:row>59</xdr:row>
          <xdr:rowOff>234770</xdr:rowOff>
        </xdr:to>
        <xdr:grpSp>
          <xdr:nvGrpSpPr>
            <xdr:cNvPr id="218" name="그룹 217">
              <a:extLst>
                <a:ext uri="{FF2B5EF4-FFF2-40B4-BE49-F238E27FC236}">
                  <a16:creationId xmlns:a16="http://schemas.microsoft.com/office/drawing/2014/main" id="{00000000-0008-0000-0000-0000DA000000}"/>
                </a:ext>
              </a:extLst>
            </xdr:cNvPr>
            <xdr:cNvGrpSpPr/>
          </xdr:nvGrpSpPr>
          <xdr:grpSpPr>
            <a:xfrm>
              <a:off x="22585441" y="176608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2543" name="Button 1279" hidden="1">
                <a:extLst>
                  <a:ext uri="{63B3BB69-23CF-44E3-9099-C40C66FF867C}">
                    <a14:compatExt spid="_x0000_s12543"/>
                  </a:ext>
                  <a:ext uri="{FF2B5EF4-FFF2-40B4-BE49-F238E27FC236}">
                    <a16:creationId xmlns:a16="http://schemas.microsoft.com/office/drawing/2014/main" id="{00000000-0008-0000-0000-0000FF30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544" name="Button 1280" hidden="1">
                <a:extLst>
                  <a:ext uri="{63B3BB69-23CF-44E3-9099-C40C66FF867C}">
                    <a14:compatExt spid="_x0000_s12544"/>
                  </a:ext>
                  <a:ext uri="{FF2B5EF4-FFF2-40B4-BE49-F238E27FC236}">
                    <a16:creationId xmlns:a16="http://schemas.microsoft.com/office/drawing/2014/main" id="{00000000-0008-0000-0000-00000031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74</xdr:row>
          <xdr:rowOff>67130</xdr:rowOff>
        </xdr:from>
        <xdr:to>
          <xdr:col>37</xdr:col>
          <xdr:colOff>4455</xdr:colOff>
          <xdr:row>74</xdr:row>
          <xdr:rowOff>234770</xdr:rowOff>
        </xdr:to>
        <xdr:grpSp>
          <xdr:nvGrpSpPr>
            <xdr:cNvPr id="216" name="그룹 215">
              <a:extLst>
                <a:ext uri="{FF2B5EF4-FFF2-40B4-BE49-F238E27FC236}">
                  <a16:creationId xmlns:a16="http://schemas.microsoft.com/office/drawing/2014/main" id="{00000000-0008-0000-0000-0000D8000000}"/>
                </a:ext>
              </a:extLst>
            </xdr:cNvPr>
            <xdr:cNvGrpSpPr/>
          </xdr:nvGrpSpPr>
          <xdr:grpSpPr>
            <a:xfrm>
              <a:off x="22585441" y="23350463"/>
              <a:ext cx="956347" cy="167640"/>
              <a:chOff x="17819584" y="0"/>
              <a:chExt cx="1795528" cy="0"/>
            </a:xfrm>
          </xdr:grpSpPr>
          <xdr:sp macro="" textlink="">
            <xdr:nvSpPr>
              <xdr:cNvPr id="12545" name="Button 1281" hidden="1">
                <a:extLst>
                  <a:ext uri="{63B3BB69-23CF-44E3-9099-C40C66FF867C}">
                    <a14:compatExt spid="_x0000_s12545"/>
                  </a:ext>
                  <a:ext uri="{FF2B5EF4-FFF2-40B4-BE49-F238E27FC236}">
                    <a16:creationId xmlns:a16="http://schemas.microsoft.com/office/drawing/2014/main" id="{00000000-0008-0000-0000-000001310000}"/>
                  </a:ext>
                </a:extLst>
              </xdr:cNvPr>
              <xdr:cNvSpPr/>
            </xdr:nvSpPr>
            <xdr:spPr bwMode="auto">
              <a:xfrm>
                <a:off x="18967417" y="0"/>
                <a:ext cx="64769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546" name="Button 1282" hidden="1">
                <a:extLst>
                  <a:ext uri="{63B3BB69-23CF-44E3-9099-C40C66FF867C}">
                    <a14:compatExt spid="_x0000_s12546"/>
                  </a:ext>
                  <a:ext uri="{FF2B5EF4-FFF2-40B4-BE49-F238E27FC236}">
                    <a16:creationId xmlns:a16="http://schemas.microsoft.com/office/drawing/2014/main" id="{00000000-0008-0000-0000-000002310000}"/>
                  </a:ext>
                </a:extLst>
              </xdr:cNvPr>
              <xdr:cNvSpPr/>
            </xdr:nvSpPr>
            <xdr:spPr bwMode="auto">
              <a:xfrm>
                <a:off x="17819584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77</xdr:row>
          <xdr:rowOff>67130</xdr:rowOff>
        </xdr:from>
        <xdr:to>
          <xdr:col>37</xdr:col>
          <xdr:colOff>4455</xdr:colOff>
          <xdr:row>77</xdr:row>
          <xdr:rowOff>234770</xdr:rowOff>
        </xdr:to>
        <xdr:grpSp>
          <xdr:nvGrpSpPr>
            <xdr:cNvPr id="219" name="그룹 218">
              <a:extLst>
                <a:ext uri="{FF2B5EF4-FFF2-40B4-BE49-F238E27FC236}">
                  <a16:creationId xmlns:a16="http://schemas.microsoft.com/office/drawing/2014/main" id="{00000000-0008-0000-0000-0000DB000000}"/>
                </a:ext>
              </a:extLst>
            </xdr:cNvPr>
            <xdr:cNvGrpSpPr/>
          </xdr:nvGrpSpPr>
          <xdr:grpSpPr>
            <a:xfrm>
              <a:off x="22585441" y="24264863"/>
              <a:ext cx="956347" cy="167640"/>
              <a:chOff x="17819584" y="0"/>
              <a:chExt cx="1795528" cy="0"/>
            </a:xfrm>
          </xdr:grpSpPr>
          <xdr:sp macro="" textlink="">
            <xdr:nvSpPr>
              <xdr:cNvPr id="12547" name="Button 1283" hidden="1">
                <a:extLst>
                  <a:ext uri="{63B3BB69-23CF-44E3-9099-C40C66FF867C}">
                    <a14:compatExt spid="_x0000_s12547"/>
                  </a:ext>
                  <a:ext uri="{FF2B5EF4-FFF2-40B4-BE49-F238E27FC236}">
                    <a16:creationId xmlns:a16="http://schemas.microsoft.com/office/drawing/2014/main" id="{00000000-0008-0000-0000-000003310000}"/>
                  </a:ext>
                </a:extLst>
              </xdr:cNvPr>
              <xdr:cNvSpPr/>
            </xdr:nvSpPr>
            <xdr:spPr bwMode="auto">
              <a:xfrm>
                <a:off x="18967417" y="0"/>
                <a:ext cx="64769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548" name="Button 1284" hidden="1">
                <a:extLst>
                  <a:ext uri="{63B3BB69-23CF-44E3-9099-C40C66FF867C}">
                    <a14:compatExt spid="_x0000_s12548"/>
                  </a:ext>
                  <a:ext uri="{FF2B5EF4-FFF2-40B4-BE49-F238E27FC236}">
                    <a16:creationId xmlns:a16="http://schemas.microsoft.com/office/drawing/2014/main" id="{00000000-0008-0000-0000-000004310000}"/>
                  </a:ext>
                </a:extLst>
              </xdr:cNvPr>
              <xdr:cNvSpPr/>
            </xdr:nvSpPr>
            <xdr:spPr bwMode="auto">
              <a:xfrm>
                <a:off x="17819584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78</xdr:row>
          <xdr:rowOff>67130</xdr:rowOff>
        </xdr:from>
        <xdr:to>
          <xdr:col>37</xdr:col>
          <xdr:colOff>4455</xdr:colOff>
          <xdr:row>78</xdr:row>
          <xdr:rowOff>234770</xdr:rowOff>
        </xdr:to>
        <xdr:grpSp>
          <xdr:nvGrpSpPr>
            <xdr:cNvPr id="221" name="그룹 220">
              <a:extLst>
                <a:ext uri="{FF2B5EF4-FFF2-40B4-BE49-F238E27FC236}">
                  <a16:creationId xmlns:a16="http://schemas.microsoft.com/office/drawing/2014/main" id="{00000000-0008-0000-0000-0000DD000000}"/>
                </a:ext>
              </a:extLst>
            </xdr:cNvPr>
            <xdr:cNvGrpSpPr/>
          </xdr:nvGrpSpPr>
          <xdr:grpSpPr>
            <a:xfrm>
              <a:off x="22585441" y="24569663"/>
              <a:ext cx="956347" cy="167640"/>
              <a:chOff x="17819584" y="0"/>
              <a:chExt cx="1795528" cy="0"/>
            </a:xfrm>
          </xdr:grpSpPr>
          <xdr:sp macro="" textlink="">
            <xdr:nvSpPr>
              <xdr:cNvPr id="12549" name="Button 1285" hidden="1">
                <a:extLst>
                  <a:ext uri="{63B3BB69-23CF-44E3-9099-C40C66FF867C}">
                    <a14:compatExt spid="_x0000_s12549"/>
                  </a:ext>
                  <a:ext uri="{FF2B5EF4-FFF2-40B4-BE49-F238E27FC236}">
                    <a16:creationId xmlns:a16="http://schemas.microsoft.com/office/drawing/2014/main" id="{00000000-0008-0000-0000-000005310000}"/>
                  </a:ext>
                </a:extLst>
              </xdr:cNvPr>
              <xdr:cNvSpPr/>
            </xdr:nvSpPr>
            <xdr:spPr bwMode="auto">
              <a:xfrm>
                <a:off x="18967417" y="0"/>
                <a:ext cx="64769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550" name="Button 1286" hidden="1">
                <a:extLst>
                  <a:ext uri="{63B3BB69-23CF-44E3-9099-C40C66FF867C}">
                    <a14:compatExt spid="_x0000_s12550"/>
                  </a:ext>
                  <a:ext uri="{FF2B5EF4-FFF2-40B4-BE49-F238E27FC236}">
                    <a16:creationId xmlns:a16="http://schemas.microsoft.com/office/drawing/2014/main" id="{00000000-0008-0000-0000-000006310000}"/>
                  </a:ext>
                </a:extLst>
              </xdr:cNvPr>
              <xdr:cNvSpPr/>
            </xdr:nvSpPr>
            <xdr:spPr bwMode="auto">
              <a:xfrm>
                <a:off x="17819584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79</xdr:row>
          <xdr:rowOff>67130</xdr:rowOff>
        </xdr:from>
        <xdr:to>
          <xdr:col>37</xdr:col>
          <xdr:colOff>4455</xdr:colOff>
          <xdr:row>79</xdr:row>
          <xdr:rowOff>234770</xdr:rowOff>
        </xdr:to>
        <xdr:grpSp>
          <xdr:nvGrpSpPr>
            <xdr:cNvPr id="227" name="그룹 226">
              <a:extLst>
                <a:ext uri="{FF2B5EF4-FFF2-40B4-BE49-F238E27FC236}">
                  <a16:creationId xmlns:a16="http://schemas.microsoft.com/office/drawing/2014/main" id="{00000000-0008-0000-0000-0000E3000000}"/>
                </a:ext>
              </a:extLst>
            </xdr:cNvPr>
            <xdr:cNvGrpSpPr/>
          </xdr:nvGrpSpPr>
          <xdr:grpSpPr>
            <a:xfrm>
              <a:off x="22585441" y="24874463"/>
              <a:ext cx="956347" cy="167640"/>
              <a:chOff x="17269297" y="0"/>
              <a:chExt cx="1289440" cy="0"/>
            </a:xfrm>
          </xdr:grpSpPr>
          <xdr:sp macro="" textlink="">
            <xdr:nvSpPr>
              <xdr:cNvPr id="12553" name="Button 1289" hidden="1">
                <a:extLst>
                  <a:ext uri="{63B3BB69-23CF-44E3-9099-C40C66FF867C}">
                    <a14:compatExt spid="_x0000_s12553"/>
                  </a:ext>
                  <a:ext uri="{FF2B5EF4-FFF2-40B4-BE49-F238E27FC236}">
                    <a16:creationId xmlns:a16="http://schemas.microsoft.com/office/drawing/2014/main" id="{00000000-0008-0000-0000-000009310000}"/>
                  </a:ext>
                </a:extLst>
              </xdr:cNvPr>
              <xdr:cNvSpPr/>
            </xdr:nvSpPr>
            <xdr:spPr bwMode="auto">
              <a:xfrm>
                <a:off x="17269297" y="0"/>
                <a:ext cx="64770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554" name="Button 1290" hidden="1">
                <a:extLst>
                  <a:ext uri="{63B3BB69-23CF-44E3-9099-C40C66FF867C}">
                    <a14:compatExt spid="_x0000_s12554"/>
                  </a:ext>
                  <a:ext uri="{FF2B5EF4-FFF2-40B4-BE49-F238E27FC236}">
                    <a16:creationId xmlns:a16="http://schemas.microsoft.com/office/drawing/2014/main" id="{00000000-0008-0000-0000-00000A310000}"/>
                  </a:ext>
                </a:extLst>
              </xdr:cNvPr>
              <xdr:cNvSpPr/>
            </xdr:nvSpPr>
            <xdr:spPr bwMode="auto">
              <a:xfrm>
                <a:off x="17819596" y="0"/>
                <a:ext cx="73914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80</xdr:row>
          <xdr:rowOff>67130</xdr:rowOff>
        </xdr:from>
        <xdr:to>
          <xdr:col>37</xdr:col>
          <xdr:colOff>4455</xdr:colOff>
          <xdr:row>80</xdr:row>
          <xdr:rowOff>234770</xdr:rowOff>
        </xdr:to>
        <xdr:grpSp>
          <xdr:nvGrpSpPr>
            <xdr:cNvPr id="230" name="그룹 229">
              <a:extLst>
                <a:ext uri="{FF2B5EF4-FFF2-40B4-BE49-F238E27FC236}">
                  <a16:creationId xmlns:a16="http://schemas.microsoft.com/office/drawing/2014/main" id="{00000000-0008-0000-0000-0000E6000000}"/>
                </a:ext>
              </a:extLst>
            </xdr:cNvPr>
            <xdr:cNvGrpSpPr/>
          </xdr:nvGrpSpPr>
          <xdr:grpSpPr>
            <a:xfrm>
              <a:off x="22585441" y="25179263"/>
              <a:ext cx="956347" cy="167640"/>
              <a:chOff x="17819584" y="0"/>
              <a:chExt cx="1795528" cy="0"/>
            </a:xfrm>
          </xdr:grpSpPr>
          <xdr:sp macro="" textlink="">
            <xdr:nvSpPr>
              <xdr:cNvPr id="12555" name="Button 1291" hidden="1">
                <a:extLst>
                  <a:ext uri="{63B3BB69-23CF-44E3-9099-C40C66FF867C}">
                    <a14:compatExt spid="_x0000_s12555"/>
                  </a:ext>
                  <a:ext uri="{FF2B5EF4-FFF2-40B4-BE49-F238E27FC236}">
                    <a16:creationId xmlns:a16="http://schemas.microsoft.com/office/drawing/2014/main" id="{00000000-0008-0000-0000-00000B310000}"/>
                  </a:ext>
                </a:extLst>
              </xdr:cNvPr>
              <xdr:cNvSpPr/>
            </xdr:nvSpPr>
            <xdr:spPr bwMode="auto">
              <a:xfrm>
                <a:off x="18967417" y="0"/>
                <a:ext cx="64769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2556" name="Button 1292" hidden="1">
                <a:extLst>
                  <a:ext uri="{63B3BB69-23CF-44E3-9099-C40C66FF867C}">
                    <a14:compatExt spid="_x0000_s12556"/>
                  </a:ext>
                  <a:ext uri="{FF2B5EF4-FFF2-40B4-BE49-F238E27FC236}">
                    <a16:creationId xmlns:a16="http://schemas.microsoft.com/office/drawing/2014/main" id="{00000000-0008-0000-0000-00000C310000}"/>
                  </a:ext>
                </a:extLst>
              </xdr:cNvPr>
              <xdr:cNvSpPr/>
            </xdr:nvSpPr>
            <xdr:spPr bwMode="auto">
              <a:xfrm>
                <a:off x="17819584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76</xdr:row>
          <xdr:rowOff>67130</xdr:rowOff>
        </xdr:from>
        <xdr:to>
          <xdr:col>37</xdr:col>
          <xdr:colOff>4455</xdr:colOff>
          <xdr:row>76</xdr:row>
          <xdr:rowOff>234770</xdr:rowOff>
        </xdr:to>
        <xdr:grpSp>
          <xdr:nvGrpSpPr>
            <xdr:cNvPr id="1113" name="그룹 1112">
              <a:extLs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GrpSpPr/>
          </xdr:nvGrpSpPr>
          <xdr:grpSpPr>
            <a:xfrm>
              <a:off x="22585441" y="23960063"/>
              <a:ext cx="956347" cy="167640"/>
              <a:chOff x="17819584" y="0"/>
              <a:chExt cx="1795528" cy="0"/>
            </a:xfrm>
          </xdr:grpSpPr>
          <xdr:sp macro="" textlink="">
            <xdr:nvSpPr>
              <xdr:cNvPr id="13143" name="Button 1879" hidden="1">
                <a:extLst>
                  <a:ext uri="{63B3BB69-23CF-44E3-9099-C40C66FF867C}">
                    <a14:compatExt spid="_x0000_s13143"/>
                  </a:ext>
                  <a:ext uri="{FF2B5EF4-FFF2-40B4-BE49-F238E27FC236}">
                    <a16:creationId xmlns:a16="http://schemas.microsoft.com/office/drawing/2014/main" id="{00000000-0008-0000-0000-000057330000}"/>
                  </a:ext>
                </a:extLst>
              </xdr:cNvPr>
              <xdr:cNvSpPr/>
            </xdr:nvSpPr>
            <xdr:spPr bwMode="auto">
              <a:xfrm>
                <a:off x="18967417" y="0"/>
                <a:ext cx="64769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144" name="Button 1880" hidden="1">
                <a:extLst>
                  <a:ext uri="{63B3BB69-23CF-44E3-9099-C40C66FF867C}">
                    <a14:compatExt spid="_x0000_s13144"/>
                  </a:ext>
                  <a:ext uri="{FF2B5EF4-FFF2-40B4-BE49-F238E27FC236}">
                    <a16:creationId xmlns:a16="http://schemas.microsoft.com/office/drawing/2014/main" id="{00000000-0008-0000-0000-000058330000}"/>
                  </a:ext>
                </a:extLst>
              </xdr:cNvPr>
              <xdr:cNvSpPr/>
            </xdr:nvSpPr>
            <xdr:spPr bwMode="auto">
              <a:xfrm>
                <a:off x="17819584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86</xdr:row>
          <xdr:rowOff>67130</xdr:rowOff>
        </xdr:from>
        <xdr:to>
          <xdr:col>37</xdr:col>
          <xdr:colOff>4455</xdr:colOff>
          <xdr:row>86</xdr:row>
          <xdr:rowOff>234770</xdr:rowOff>
        </xdr:to>
        <xdr:grpSp>
          <xdr:nvGrpSpPr>
            <xdr:cNvPr id="1124" name="그룹 1123">
              <a:extLs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GrpSpPr/>
          </xdr:nvGrpSpPr>
          <xdr:grpSpPr>
            <a:xfrm>
              <a:off x="22585441" y="26821797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3151" name="Button 1887" hidden="1">
                <a:extLst>
                  <a:ext uri="{63B3BB69-23CF-44E3-9099-C40C66FF867C}">
                    <a14:compatExt spid="_x0000_s13151"/>
                  </a:ext>
                  <a:ext uri="{FF2B5EF4-FFF2-40B4-BE49-F238E27FC236}">
                    <a16:creationId xmlns:a16="http://schemas.microsoft.com/office/drawing/2014/main" id="{00000000-0008-0000-0000-00005F33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152" name="Button 1888" hidden="1">
                <a:extLst>
                  <a:ext uri="{63B3BB69-23CF-44E3-9099-C40C66FF867C}">
                    <a14:compatExt spid="_x0000_s13152"/>
                  </a:ext>
                  <a:ext uri="{FF2B5EF4-FFF2-40B4-BE49-F238E27FC236}">
                    <a16:creationId xmlns:a16="http://schemas.microsoft.com/office/drawing/2014/main" id="{00000000-0008-0000-0000-00006033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87</xdr:row>
          <xdr:rowOff>67130</xdr:rowOff>
        </xdr:from>
        <xdr:to>
          <xdr:col>37</xdr:col>
          <xdr:colOff>4455</xdr:colOff>
          <xdr:row>87</xdr:row>
          <xdr:rowOff>234770</xdr:rowOff>
        </xdr:to>
        <xdr:grpSp>
          <xdr:nvGrpSpPr>
            <xdr:cNvPr id="1127" name="그룹 1126">
              <a:extLs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GrpSpPr/>
          </xdr:nvGrpSpPr>
          <xdr:grpSpPr>
            <a:xfrm>
              <a:off x="22585441" y="27126597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3153" name="Button 1889" hidden="1">
                <a:extLst>
                  <a:ext uri="{63B3BB69-23CF-44E3-9099-C40C66FF867C}">
                    <a14:compatExt spid="_x0000_s13153"/>
                  </a:ext>
                  <a:ext uri="{FF2B5EF4-FFF2-40B4-BE49-F238E27FC236}">
                    <a16:creationId xmlns:a16="http://schemas.microsoft.com/office/drawing/2014/main" id="{00000000-0008-0000-0000-00006133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154" name="Button 1890" hidden="1">
                <a:extLst>
                  <a:ext uri="{63B3BB69-23CF-44E3-9099-C40C66FF867C}">
                    <a14:compatExt spid="_x0000_s13154"/>
                  </a:ext>
                  <a:ext uri="{FF2B5EF4-FFF2-40B4-BE49-F238E27FC236}">
                    <a16:creationId xmlns:a16="http://schemas.microsoft.com/office/drawing/2014/main" id="{00000000-0008-0000-0000-00006233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89</xdr:row>
          <xdr:rowOff>67130</xdr:rowOff>
        </xdr:from>
        <xdr:to>
          <xdr:col>37</xdr:col>
          <xdr:colOff>4455</xdr:colOff>
          <xdr:row>89</xdr:row>
          <xdr:rowOff>234770</xdr:rowOff>
        </xdr:to>
        <xdr:grpSp>
          <xdr:nvGrpSpPr>
            <xdr:cNvPr id="1130" name="그룹 1129">
              <a:extLs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GrpSpPr/>
          </xdr:nvGrpSpPr>
          <xdr:grpSpPr>
            <a:xfrm>
              <a:off x="22585441" y="27736197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3155" name="Button 1891" hidden="1">
                <a:extLst>
                  <a:ext uri="{63B3BB69-23CF-44E3-9099-C40C66FF867C}">
                    <a14:compatExt spid="_x0000_s13155"/>
                  </a:ext>
                  <a:ext uri="{FF2B5EF4-FFF2-40B4-BE49-F238E27FC236}">
                    <a16:creationId xmlns:a16="http://schemas.microsoft.com/office/drawing/2014/main" id="{00000000-0008-0000-0000-00006333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156" name="Button 1892" hidden="1">
                <a:extLst>
                  <a:ext uri="{63B3BB69-23CF-44E3-9099-C40C66FF867C}">
                    <a14:compatExt spid="_x0000_s13156"/>
                  </a:ext>
                  <a:ext uri="{FF2B5EF4-FFF2-40B4-BE49-F238E27FC236}">
                    <a16:creationId xmlns:a16="http://schemas.microsoft.com/office/drawing/2014/main" id="{00000000-0008-0000-0000-00006433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90</xdr:row>
          <xdr:rowOff>67130</xdr:rowOff>
        </xdr:from>
        <xdr:to>
          <xdr:col>37</xdr:col>
          <xdr:colOff>4455</xdr:colOff>
          <xdr:row>90</xdr:row>
          <xdr:rowOff>234770</xdr:rowOff>
        </xdr:to>
        <xdr:grpSp>
          <xdr:nvGrpSpPr>
            <xdr:cNvPr id="1133" name="그룹 1132">
              <a:extLs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GrpSpPr/>
          </xdr:nvGrpSpPr>
          <xdr:grpSpPr>
            <a:xfrm>
              <a:off x="22585441" y="28040997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3157" name="Button 1893" hidden="1">
                <a:extLst>
                  <a:ext uri="{63B3BB69-23CF-44E3-9099-C40C66FF867C}">
                    <a14:compatExt spid="_x0000_s13157"/>
                  </a:ext>
                  <a:ext uri="{FF2B5EF4-FFF2-40B4-BE49-F238E27FC236}">
                    <a16:creationId xmlns:a16="http://schemas.microsoft.com/office/drawing/2014/main" id="{00000000-0008-0000-0000-00006533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158" name="Button 1894" hidden="1">
                <a:extLst>
                  <a:ext uri="{63B3BB69-23CF-44E3-9099-C40C66FF867C}">
                    <a14:compatExt spid="_x0000_s13158"/>
                  </a:ext>
                  <a:ext uri="{FF2B5EF4-FFF2-40B4-BE49-F238E27FC236}">
                    <a16:creationId xmlns:a16="http://schemas.microsoft.com/office/drawing/2014/main" id="{00000000-0008-0000-0000-00006633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91</xdr:row>
          <xdr:rowOff>67130</xdr:rowOff>
        </xdr:from>
        <xdr:to>
          <xdr:col>37</xdr:col>
          <xdr:colOff>4455</xdr:colOff>
          <xdr:row>91</xdr:row>
          <xdr:rowOff>234770</xdr:rowOff>
        </xdr:to>
        <xdr:grpSp>
          <xdr:nvGrpSpPr>
            <xdr:cNvPr id="1136" name="그룹 1135">
              <a:extLs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GrpSpPr/>
          </xdr:nvGrpSpPr>
          <xdr:grpSpPr>
            <a:xfrm>
              <a:off x="22585441" y="28345797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3159" name="Button 1895" hidden="1">
                <a:extLst>
                  <a:ext uri="{63B3BB69-23CF-44E3-9099-C40C66FF867C}">
                    <a14:compatExt spid="_x0000_s13159"/>
                  </a:ext>
                  <a:ext uri="{FF2B5EF4-FFF2-40B4-BE49-F238E27FC236}">
                    <a16:creationId xmlns:a16="http://schemas.microsoft.com/office/drawing/2014/main" id="{00000000-0008-0000-0000-00006733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160" name="Button 1896" hidden="1">
                <a:extLst>
                  <a:ext uri="{63B3BB69-23CF-44E3-9099-C40C66FF867C}">
                    <a14:compatExt spid="_x0000_s13160"/>
                  </a:ext>
                  <a:ext uri="{FF2B5EF4-FFF2-40B4-BE49-F238E27FC236}">
                    <a16:creationId xmlns:a16="http://schemas.microsoft.com/office/drawing/2014/main" id="{00000000-0008-0000-0000-00006833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93</xdr:row>
          <xdr:rowOff>67130</xdr:rowOff>
        </xdr:from>
        <xdr:to>
          <xdr:col>37</xdr:col>
          <xdr:colOff>4455</xdr:colOff>
          <xdr:row>93</xdr:row>
          <xdr:rowOff>234770</xdr:rowOff>
        </xdr:to>
        <xdr:grpSp>
          <xdr:nvGrpSpPr>
            <xdr:cNvPr id="1139" name="그룹 1138">
              <a:extLs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GrpSpPr/>
          </xdr:nvGrpSpPr>
          <xdr:grpSpPr>
            <a:xfrm>
              <a:off x="22585441" y="30682597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3161" name="Button 1897" hidden="1">
                <a:extLst>
                  <a:ext uri="{63B3BB69-23CF-44E3-9099-C40C66FF867C}">
                    <a14:compatExt spid="_x0000_s13161"/>
                  </a:ext>
                  <a:ext uri="{FF2B5EF4-FFF2-40B4-BE49-F238E27FC236}">
                    <a16:creationId xmlns:a16="http://schemas.microsoft.com/office/drawing/2014/main" id="{00000000-0008-0000-0000-00006933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162" name="Button 1898" hidden="1">
                <a:extLst>
                  <a:ext uri="{63B3BB69-23CF-44E3-9099-C40C66FF867C}">
                    <a14:compatExt spid="_x0000_s13162"/>
                  </a:ext>
                  <a:ext uri="{FF2B5EF4-FFF2-40B4-BE49-F238E27FC236}">
                    <a16:creationId xmlns:a16="http://schemas.microsoft.com/office/drawing/2014/main" id="{00000000-0008-0000-0000-00006A33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92</xdr:row>
          <xdr:rowOff>67130</xdr:rowOff>
        </xdr:from>
        <xdr:to>
          <xdr:col>37</xdr:col>
          <xdr:colOff>4455</xdr:colOff>
          <xdr:row>92</xdr:row>
          <xdr:rowOff>234770</xdr:rowOff>
        </xdr:to>
        <xdr:grpSp>
          <xdr:nvGrpSpPr>
            <xdr:cNvPr id="1151" name="그룹 1150">
              <a:extLs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GrpSpPr/>
          </xdr:nvGrpSpPr>
          <xdr:grpSpPr>
            <a:xfrm>
              <a:off x="22585441" y="297004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3169" name="Button 1905" hidden="1">
                <a:extLst>
                  <a:ext uri="{63B3BB69-23CF-44E3-9099-C40C66FF867C}">
                    <a14:compatExt spid="_x0000_s13169"/>
                  </a:ext>
                  <a:ext uri="{FF2B5EF4-FFF2-40B4-BE49-F238E27FC236}">
                    <a16:creationId xmlns:a16="http://schemas.microsoft.com/office/drawing/2014/main" id="{00000000-0008-0000-0000-00007133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170" name="Button 1906" hidden="1">
                <a:extLst>
                  <a:ext uri="{63B3BB69-23CF-44E3-9099-C40C66FF867C}">
                    <a14:compatExt spid="_x0000_s13170"/>
                  </a:ext>
                  <a:ext uri="{FF2B5EF4-FFF2-40B4-BE49-F238E27FC236}">
                    <a16:creationId xmlns:a16="http://schemas.microsoft.com/office/drawing/2014/main" id="{00000000-0008-0000-0000-00007233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</xdr:row>
          <xdr:rowOff>65316</xdr:rowOff>
        </xdr:from>
        <xdr:to>
          <xdr:col>39</xdr:col>
          <xdr:colOff>768433</xdr:colOff>
          <xdr:row>2</xdr:row>
          <xdr:rowOff>232956</xdr:rowOff>
        </xdr:to>
        <xdr:grpSp>
          <xdr:nvGrpSpPr>
            <xdr:cNvPr id="1187" name="그룹 1186">
              <a:extLs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GrpSpPr/>
          </xdr:nvGrpSpPr>
          <xdr:grpSpPr>
            <a:xfrm>
              <a:off x="24593249" y="10474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193" name="Button 1929" hidden="1">
                <a:extLst>
                  <a:ext uri="{63B3BB69-23CF-44E3-9099-C40C66FF867C}">
                    <a14:compatExt spid="_x0000_s13193"/>
                  </a:ext>
                  <a:ext uri="{FF2B5EF4-FFF2-40B4-BE49-F238E27FC236}">
                    <a16:creationId xmlns:a16="http://schemas.microsoft.com/office/drawing/2014/main" id="{00000000-0008-0000-0000-000089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194" name="Button 1930" hidden="1">
                <a:extLst>
                  <a:ext uri="{63B3BB69-23CF-44E3-9099-C40C66FF867C}">
                    <a14:compatExt spid="_x0000_s13194"/>
                  </a:ext>
                  <a:ext uri="{FF2B5EF4-FFF2-40B4-BE49-F238E27FC236}">
                    <a16:creationId xmlns:a16="http://schemas.microsoft.com/office/drawing/2014/main" id="{00000000-0008-0000-0000-00008A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</xdr:row>
          <xdr:rowOff>65316</xdr:rowOff>
        </xdr:from>
        <xdr:to>
          <xdr:col>39</xdr:col>
          <xdr:colOff>768433</xdr:colOff>
          <xdr:row>3</xdr:row>
          <xdr:rowOff>232956</xdr:rowOff>
        </xdr:to>
        <xdr:grpSp>
          <xdr:nvGrpSpPr>
            <xdr:cNvPr id="1190" name="그룹 1189">
              <a:extLs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GrpSpPr/>
          </xdr:nvGrpSpPr>
          <xdr:grpSpPr>
            <a:xfrm>
              <a:off x="24593249" y="1352249"/>
              <a:ext cx="626917" cy="167640"/>
              <a:chOff x="19397629" y="0"/>
              <a:chExt cx="3037122" cy="0"/>
            </a:xfrm>
          </xdr:grpSpPr>
          <xdr:sp macro="" textlink="">
            <xdr:nvSpPr>
              <xdr:cNvPr id="13195" name="Button 1931" hidden="1">
                <a:extLst>
                  <a:ext uri="{63B3BB69-23CF-44E3-9099-C40C66FF867C}">
                    <a14:compatExt spid="_x0000_s13195"/>
                  </a:ext>
                  <a:ext uri="{FF2B5EF4-FFF2-40B4-BE49-F238E27FC236}">
                    <a16:creationId xmlns:a16="http://schemas.microsoft.com/office/drawing/2014/main" id="{00000000-0008-0000-0000-00008B330000}"/>
                  </a:ext>
                </a:extLst>
              </xdr:cNvPr>
              <xdr:cNvSpPr/>
            </xdr:nvSpPr>
            <xdr:spPr bwMode="auto">
              <a:xfrm>
                <a:off x="19397629" y="0"/>
                <a:ext cx="26925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196" name="Button 1932" hidden="1">
                <a:extLst>
                  <a:ext uri="{63B3BB69-23CF-44E3-9099-C40C66FF867C}">
                    <a14:compatExt spid="_x0000_s13196"/>
                  </a:ext>
                  <a:ext uri="{FF2B5EF4-FFF2-40B4-BE49-F238E27FC236}">
                    <a16:creationId xmlns:a16="http://schemas.microsoft.com/office/drawing/2014/main" id="{00000000-0008-0000-0000-00008C330000}"/>
                  </a:ext>
                </a:extLst>
              </xdr:cNvPr>
              <xdr:cNvSpPr/>
            </xdr:nvSpPr>
            <xdr:spPr bwMode="auto">
              <a:xfrm>
                <a:off x="22127469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</xdr:row>
          <xdr:rowOff>65316</xdr:rowOff>
        </xdr:from>
        <xdr:to>
          <xdr:col>39</xdr:col>
          <xdr:colOff>768433</xdr:colOff>
          <xdr:row>4</xdr:row>
          <xdr:rowOff>232956</xdr:rowOff>
        </xdr:to>
        <xdr:grpSp>
          <xdr:nvGrpSpPr>
            <xdr:cNvPr id="1193" name="그룹 1192">
              <a:extLst>
                <a:ext uri="{FF2B5EF4-FFF2-40B4-BE49-F238E27FC236}">
                  <a16:creationId xmlns:a16="http://schemas.microsoft.com/office/drawing/2014/main" id="{00000000-0008-0000-0000-0000A9040000}"/>
                </a:ext>
              </a:extLst>
            </xdr:cNvPr>
            <xdr:cNvGrpSpPr/>
          </xdr:nvGrpSpPr>
          <xdr:grpSpPr>
            <a:xfrm>
              <a:off x="24593249" y="16401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197" name="Button 1933" hidden="1">
                <a:extLst>
                  <a:ext uri="{63B3BB69-23CF-44E3-9099-C40C66FF867C}">
                    <a14:compatExt spid="_x0000_s13197"/>
                  </a:ext>
                  <a:ext uri="{FF2B5EF4-FFF2-40B4-BE49-F238E27FC236}">
                    <a16:creationId xmlns:a16="http://schemas.microsoft.com/office/drawing/2014/main" id="{00000000-0008-0000-0000-00008D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198" name="Button 1934" hidden="1">
                <a:extLst>
                  <a:ext uri="{63B3BB69-23CF-44E3-9099-C40C66FF867C}">
                    <a14:compatExt spid="_x0000_s13198"/>
                  </a:ext>
                  <a:ext uri="{FF2B5EF4-FFF2-40B4-BE49-F238E27FC236}">
                    <a16:creationId xmlns:a16="http://schemas.microsoft.com/office/drawing/2014/main" id="{00000000-0008-0000-0000-00008E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</xdr:row>
          <xdr:rowOff>65316</xdr:rowOff>
        </xdr:from>
        <xdr:to>
          <xdr:col>39</xdr:col>
          <xdr:colOff>768433</xdr:colOff>
          <xdr:row>5</xdr:row>
          <xdr:rowOff>232956</xdr:rowOff>
        </xdr:to>
        <xdr:grpSp>
          <xdr:nvGrpSpPr>
            <xdr:cNvPr id="1196" name="그룹 1195">
              <a:extLs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GrpSpPr/>
          </xdr:nvGrpSpPr>
          <xdr:grpSpPr>
            <a:xfrm>
              <a:off x="24593249" y="19449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199" name="Button 1935" hidden="1">
                <a:extLst>
                  <a:ext uri="{63B3BB69-23CF-44E3-9099-C40C66FF867C}">
                    <a14:compatExt spid="_x0000_s13199"/>
                  </a:ext>
                  <a:ext uri="{FF2B5EF4-FFF2-40B4-BE49-F238E27FC236}">
                    <a16:creationId xmlns:a16="http://schemas.microsoft.com/office/drawing/2014/main" id="{00000000-0008-0000-0000-00008F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00" name="Button 1936" hidden="1">
                <a:extLst>
                  <a:ext uri="{63B3BB69-23CF-44E3-9099-C40C66FF867C}">
                    <a14:compatExt spid="_x0000_s13200"/>
                  </a:ext>
                  <a:ext uri="{FF2B5EF4-FFF2-40B4-BE49-F238E27FC236}">
                    <a16:creationId xmlns:a16="http://schemas.microsoft.com/office/drawing/2014/main" id="{00000000-0008-0000-0000-000090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</xdr:row>
          <xdr:rowOff>65316</xdr:rowOff>
        </xdr:from>
        <xdr:to>
          <xdr:col>39</xdr:col>
          <xdr:colOff>768433</xdr:colOff>
          <xdr:row>6</xdr:row>
          <xdr:rowOff>232956</xdr:rowOff>
        </xdr:to>
        <xdr:grpSp>
          <xdr:nvGrpSpPr>
            <xdr:cNvPr id="1199" name="그룹 1198">
              <a:extLs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GrpSpPr/>
          </xdr:nvGrpSpPr>
          <xdr:grpSpPr>
            <a:xfrm>
              <a:off x="24593249" y="22497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01" name="Button 1937" hidden="1">
                <a:extLst>
                  <a:ext uri="{63B3BB69-23CF-44E3-9099-C40C66FF867C}">
                    <a14:compatExt spid="_x0000_s13201"/>
                  </a:ext>
                  <a:ext uri="{FF2B5EF4-FFF2-40B4-BE49-F238E27FC236}">
                    <a16:creationId xmlns:a16="http://schemas.microsoft.com/office/drawing/2014/main" id="{00000000-0008-0000-0000-000091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02" name="Button 1938" hidden="1">
                <a:extLst>
                  <a:ext uri="{63B3BB69-23CF-44E3-9099-C40C66FF867C}">
                    <a14:compatExt spid="_x0000_s13202"/>
                  </a:ext>
                  <a:ext uri="{FF2B5EF4-FFF2-40B4-BE49-F238E27FC236}">
                    <a16:creationId xmlns:a16="http://schemas.microsoft.com/office/drawing/2014/main" id="{00000000-0008-0000-0000-000092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</xdr:row>
          <xdr:rowOff>65316</xdr:rowOff>
        </xdr:from>
        <xdr:to>
          <xdr:col>39</xdr:col>
          <xdr:colOff>768433</xdr:colOff>
          <xdr:row>7</xdr:row>
          <xdr:rowOff>232956</xdr:rowOff>
        </xdr:to>
        <xdr:grpSp>
          <xdr:nvGrpSpPr>
            <xdr:cNvPr id="1202" name="그룹 1201">
              <a:extLs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GrpSpPr/>
          </xdr:nvGrpSpPr>
          <xdr:grpSpPr>
            <a:xfrm>
              <a:off x="24593249" y="25545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03" name="Button 1939" hidden="1">
                <a:extLst>
                  <a:ext uri="{63B3BB69-23CF-44E3-9099-C40C66FF867C}">
                    <a14:compatExt spid="_x0000_s13203"/>
                  </a:ext>
                  <a:ext uri="{FF2B5EF4-FFF2-40B4-BE49-F238E27FC236}">
                    <a16:creationId xmlns:a16="http://schemas.microsoft.com/office/drawing/2014/main" id="{00000000-0008-0000-0000-000093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04" name="Button 1940" hidden="1">
                <a:extLst>
                  <a:ext uri="{63B3BB69-23CF-44E3-9099-C40C66FF867C}">
                    <a14:compatExt spid="_x0000_s13204"/>
                  </a:ext>
                  <a:ext uri="{FF2B5EF4-FFF2-40B4-BE49-F238E27FC236}">
                    <a16:creationId xmlns:a16="http://schemas.microsoft.com/office/drawing/2014/main" id="{00000000-0008-0000-0000-000094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</xdr:row>
          <xdr:rowOff>65316</xdr:rowOff>
        </xdr:from>
        <xdr:to>
          <xdr:col>39</xdr:col>
          <xdr:colOff>768433</xdr:colOff>
          <xdr:row>8</xdr:row>
          <xdr:rowOff>232956</xdr:rowOff>
        </xdr:to>
        <xdr:grpSp>
          <xdr:nvGrpSpPr>
            <xdr:cNvPr id="1205" name="그룹 1204">
              <a:extLs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GrpSpPr/>
          </xdr:nvGrpSpPr>
          <xdr:grpSpPr>
            <a:xfrm>
              <a:off x="24593249" y="28593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05" name="Button 1941" hidden="1">
                <a:extLst>
                  <a:ext uri="{63B3BB69-23CF-44E3-9099-C40C66FF867C}">
                    <a14:compatExt spid="_x0000_s13205"/>
                  </a:ext>
                  <a:ext uri="{FF2B5EF4-FFF2-40B4-BE49-F238E27FC236}">
                    <a16:creationId xmlns:a16="http://schemas.microsoft.com/office/drawing/2014/main" id="{00000000-0008-0000-0000-000095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06" name="Button 1942" hidden="1">
                <a:extLst>
                  <a:ext uri="{63B3BB69-23CF-44E3-9099-C40C66FF867C}">
                    <a14:compatExt spid="_x0000_s13206"/>
                  </a:ext>
                  <a:ext uri="{FF2B5EF4-FFF2-40B4-BE49-F238E27FC236}">
                    <a16:creationId xmlns:a16="http://schemas.microsoft.com/office/drawing/2014/main" id="{00000000-0008-0000-0000-000096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</xdr:row>
          <xdr:rowOff>65316</xdr:rowOff>
        </xdr:from>
        <xdr:to>
          <xdr:col>39</xdr:col>
          <xdr:colOff>768433</xdr:colOff>
          <xdr:row>9</xdr:row>
          <xdr:rowOff>232956</xdr:rowOff>
        </xdr:to>
        <xdr:grpSp>
          <xdr:nvGrpSpPr>
            <xdr:cNvPr id="1208" name="그룹 1207">
              <a:extLs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GrpSpPr/>
          </xdr:nvGrpSpPr>
          <xdr:grpSpPr>
            <a:xfrm>
              <a:off x="24593249" y="31641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07" name="Button 1943" hidden="1">
                <a:extLst>
                  <a:ext uri="{63B3BB69-23CF-44E3-9099-C40C66FF867C}">
                    <a14:compatExt spid="_x0000_s13207"/>
                  </a:ext>
                  <a:ext uri="{FF2B5EF4-FFF2-40B4-BE49-F238E27FC236}">
                    <a16:creationId xmlns:a16="http://schemas.microsoft.com/office/drawing/2014/main" id="{00000000-0008-0000-0000-000097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08" name="Button 1944" hidden="1">
                <a:extLst>
                  <a:ext uri="{63B3BB69-23CF-44E3-9099-C40C66FF867C}">
                    <a14:compatExt spid="_x0000_s13208"/>
                  </a:ext>
                  <a:ext uri="{FF2B5EF4-FFF2-40B4-BE49-F238E27FC236}">
                    <a16:creationId xmlns:a16="http://schemas.microsoft.com/office/drawing/2014/main" id="{00000000-0008-0000-0000-000098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</xdr:row>
          <xdr:rowOff>65316</xdr:rowOff>
        </xdr:from>
        <xdr:to>
          <xdr:col>39</xdr:col>
          <xdr:colOff>768433</xdr:colOff>
          <xdr:row>10</xdr:row>
          <xdr:rowOff>232956</xdr:rowOff>
        </xdr:to>
        <xdr:grpSp>
          <xdr:nvGrpSpPr>
            <xdr:cNvPr id="1211" name="그룹 1210">
              <a:extLs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GrpSpPr/>
          </xdr:nvGrpSpPr>
          <xdr:grpSpPr>
            <a:xfrm>
              <a:off x="24593249" y="34689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09" name="Button 1945" hidden="1">
                <a:extLst>
                  <a:ext uri="{63B3BB69-23CF-44E3-9099-C40C66FF867C}">
                    <a14:compatExt spid="_x0000_s13209"/>
                  </a:ext>
                  <a:ext uri="{FF2B5EF4-FFF2-40B4-BE49-F238E27FC236}">
                    <a16:creationId xmlns:a16="http://schemas.microsoft.com/office/drawing/2014/main" id="{00000000-0008-0000-0000-000099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10" name="Button 1946" hidden="1">
                <a:extLst>
                  <a:ext uri="{63B3BB69-23CF-44E3-9099-C40C66FF867C}">
                    <a14:compatExt spid="_x0000_s13210"/>
                  </a:ext>
                  <a:ext uri="{FF2B5EF4-FFF2-40B4-BE49-F238E27FC236}">
                    <a16:creationId xmlns:a16="http://schemas.microsoft.com/office/drawing/2014/main" id="{00000000-0008-0000-0000-00009A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</xdr:row>
          <xdr:rowOff>65316</xdr:rowOff>
        </xdr:from>
        <xdr:to>
          <xdr:col>39</xdr:col>
          <xdr:colOff>768433</xdr:colOff>
          <xdr:row>11</xdr:row>
          <xdr:rowOff>210096</xdr:rowOff>
        </xdr:to>
        <xdr:grpSp>
          <xdr:nvGrpSpPr>
            <xdr:cNvPr id="1214" name="그룹 1213">
              <a:extLs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GrpSpPr/>
          </xdr:nvGrpSpPr>
          <xdr:grpSpPr>
            <a:xfrm>
              <a:off x="24593249" y="3773716"/>
              <a:ext cx="626917" cy="144780"/>
              <a:chOff x="19397629" y="0"/>
              <a:chExt cx="3037122" cy="0"/>
            </a:xfrm>
          </xdr:grpSpPr>
          <xdr:sp macro="" textlink="">
            <xdr:nvSpPr>
              <xdr:cNvPr id="13211" name="Button 1947" hidden="1">
                <a:extLst>
                  <a:ext uri="{63B3BB69-23CF-44E3-9099-C40C66FF867C}">
                    <a14:compatExt spid="_x0000_s13211"/>
                  </a:ext>
                  <a:ext uri="{FF2B5EF4-FFF2-40B4-BE49-F238E27FC236}">
                    <a16:creationId xmlns:a16="http://schemas.microsoft.com/office/drawing/2014/main" id="{00000000-0008-0000-0000-00009B330000}"/>
                  </a:ext>
                </a:extLst>
              </xdr:cNvPr>
              <xdr:cNvSpPr/>
            </xdr:nvSpPr>
            <xdr:spPr bwMode="auto">
              <a:xfrm>
                <a:off x="19397629" y="0"/>
                <a:ext cx="26925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12" name="Button 1948" hidden="1">
                <a:extLst>
                  <a:ext uri="{63B3BB69-23CF-44E3-9099-C40C66FF867C}">
                    <a14:compatExt spid="_x0000_s13212"/>
                  </a:ext>
                  <a:ext uri="{FF2B5EF4-FFF2-40B4-BE49-F238E27FC236}">
                    <a16:creationId xmlns:a16="http://schemas.microsoft.com/office/drawing/2014/main" id="{00000000-0008-0000-0000-00009C330000}"/>
                  </a:ext>
                </a:extLst>
              </xdr:cNvPr>
              <xdr:cNvSpPr/>
            </xdr:nvSpPr>
            <xdr:spPr bwMode="auto">
              <a:xfrm>
                <a:off x="22127469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</xdr:row>
          <xdr:rowOff>65316</xdr:rowOff>
        </xdr:from>
        <xdr:to>
          <xdr:col>39</xdr:col>
          <xdr:colOff>768433</xdr:colOff>
          <xdr:row>12</xdr:row>
          <xdr:rowOff>210096</xdr:rowOff>
        </xdr:to>
        <xdr:grpSp>
          <xdr:nvGrpSpPr>
            <xdr:cNvPr id="1217" name="그룹 1216">
              <a:extLs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GrpSpPr/>
          </xdr:nvGrpSpPr>
          <xdr:grpSpPr>
            <a:xfrm>
              <a:off x="24593249" y="3993849"/>
              <a:ext cx="626917" cy="144780"/>
              <a:chOff x="19397629" y="0"/>
              <a:chExt cx="3037122" cy="0"/>
            </a:xfrm>
          </xdr:grpSpPr>
          <xdr:sp macro="" textlink="">
            <xdr:nvSpPr>
              <xdr:cNvPr id="13213" name="Button 1949" hidden="1">
                <a:extLst>
                  <a:ext uri="{63B3BB69-23CF-44E3-9099-C40C66FF867C}">
                    <a14:compatExt spid="_x0000_s13213"/>
                  </a:ext>
                  <a:ext uri="{FF2B5EF4-FFF2-40B4-BE49-F238E27FC236}">
                    <a16:creationId xmlns:a16="http://schemas.microsoft.com/office/drawing/2014/main" id="{00000000-0008-0000-0000-00009D330000}"/>
                  </a:ext>
                </a:extLst>
              </xdr:cNvPr>
              <xdr:cNvSpPr/>
            </xdr:nvSpPr>
            <xdr:spPr bwMode="auto">
              <a:xfrm>
                <a:off x="19397629" y="0"/>
                <a:ext cx="26925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14" name="Button 1950" hidden="1">
                <a:extLst>
                  <a:ext uri="{63B3BB69-23CF-44E3-9099-C40C66FF867C}">
                    <a14:compatExt spid="_x0000_s13214"/>
                  </a:ext>
                  <a:ext uri="{FF2B5EF4-FFF2-40B4-BE49-F238E27FC236}">
                    <a16:creationId xmlns:a16="http://schemas.microsoft.com/office/drawing/2014/main" id="{00000000-0008-0000-0000-00009E330000}"/>
                  </a:ext>
                </a:extLst>
              </xdr:cNvPr>
              <xdr:cNvSpPr/>
            </xdr:nvSpPr>
            <xdr:spPr bwMode="auto">
              <a:xfrm>
                <a:off x="22127469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13</xdr:row>
          <xdr:rowOff>65316</xdr:rowOff>
        </xdr:from>
        <xdr:to>
          <xdr:col>39</xdr:col>
          <xdr:colOff>768433</xdr:colOff>
          <xdr:row>13</xdr:row>
          <xdr:rowOff>232956</xdr:rowOff>
        </xdr:to>
        <xdr:grpSp>
          <xdr:nvGrpSpPr>
            <xdr:cNvPr id="1220" name="그룹 1219">
              <a:extLs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GrpSpPr/>
          </xdr:nvGrpSpPr>
          <xdr:grpSpPr>
            <a:xfrm>
              <a:off x="24593249" y="42139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15" name="Button 1951" hidden="1">
                <a:extLst>
                  <a:ext uri="{63B3BB69-23CF-44E3-9099-C40C66FF867C}">
                    <a14:compatExt spid="_x0000_s13215"/>
                  </a:ext>
                  <a:ext uri="{FF2B5EF4-FFF2-40B4-BE49-F238E27FC236}">
                    <a16:creationId xmlns:a16="http://schemas.microsoft.com/office/drawing/2014/main" id="{00000000-0008-0000-0000-00009F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16" name="Button 1952" hidden="1">
                <a:extLst>
                  <a:ext uri="{63B3BB69-23CF-44E3-9099-C40C66FF867C}">
                    <a14:compatExt spid="_x0000_s13216"/>
                  </a:ext>
                  <a:ext uri="{FF2B5EF4-FFF2-40B4-BE49-F238E27FC236}">
                    <a16:creationId xmlns:a16="http://schemas.microsoft.com/office/drawing/2014/main" id="{00000000-0008-0000-0000-0000A0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14</xdr:row>
          <xdr:rowOff>65316</xdr:rowOff>
        </xdr:from>
        <xdr:to>
          <xdr:col>39</xdr:col>
          <xdr:colOff>768433</xdr:colOff>
          <xdr:row>14</xdr:row>
          <xdr:rowOff>210096</xdr:rowOff>
        </xdr:to>
        <xdr:grpSp>
          <xdr:nvGrpSpPr>
            <xdr:cNvPr id="1223" name="그룹 1222">
              <a:extLs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GrpSpPr/>
          </xdr:nvGrpSpPr>
          <xdr:grpSpPr>
            <a:xfrm>
              <a:off x="24593249" y="4518783"/>
              <a:ext cx="626917" cy="132080"/>
              <a:chOff x="19397629" y="0"/>
              <a:chExt cx="3037122" cy="0"/>
            </a:xfrm>
          </xdr:grpSpPr>
          <xdr:sp macro="" textlink="">
            <xdr:nvSpPr>
              <xdr:cNvPr id="13217" name="Button 1953" hidden="1">
                <a:extLst>
                  <a:ext uri="{63B3BB69-23CF-44E3-9099-C40C66FF867C}">
                    <a14:compatExt spid="_x0000_s13217"/>
                  </a:ext>
                  <a:ext uri="{FF2B5EF4-FFF2-40B4-BE49-F238E27FC236}">
                    <a16:creationId xmlns:a16="http://schemas.microsoft.com/office/drawing/2014/main" id="{00000000-0008-0000-0000-0000A1330000}"/>
                  </a:ext>
                </a:extLst>
              </xdr:cNvPr>
              <xdr:cNvSpPr/>
            </xdr:nvSpPr>
            <xdr:spPr bwMode="auto">
              <a:xfrm>
                <a:off x="19397629" y="0"/>
                <a:ext cx="26925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18" name="Button 1954" hidden="1">
                <a:extLst>
                  <a:ext uri="{63B3BB69-23CF-44E3-9099-C40C66FF867C}">
                    <a14:compatExt spid="_x0000_s13218"/>
                  </a:ext>
                  <a:ext uri="{FF2B5EF4-FFF2-40B4-BE49-F238E27FC236}">
                    <a16:creationId xmlns:a16="http://schemas.microsoft.com/office/drawing/2014/main" id="{00000000-0008-0000-0000-0000A2330000}"/>
                  </a:ext>
                </a:extLst>
              </xdr:cNvPr>
              <xdr:cNvSpPr/>
            </xdr:nvSpPr>
            <xdr:spPr bwMode="auto">
              <a:xfrm>
                <a:off x="22127469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15</xdr:row>
          <xdr:rowOff>65316</xdr:rowOff>
        </xdr:from>
        <xdr:to>
          <xdr:col>39</xdr:col>
          <xdr:colOff>768433</xdr:colOff>
          <xdr:row>15</xdr:row>
          <xdr:rowOff>232956</xdr:rowOff>
        </xdr:to>
        <xdr:grpSp>
          <xdr:nvGrpSpPr>
            <xdr:cNvPr id="1226" name="그룹 1225">
              <a:extLs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GrpSpPr/>
          </xdr:nvGrpSpPr>
          <xdr:grpSpPr>
            <a:xfrm>
              <a:off x="24593249" y="47219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19" name="Button 1955" hidden="1">
                <a:extLst>
                  <a:ext uri="{63B3BB69-23CF-44E3-9099-C40C66FF867C}">
                    <a14:compatExt spid="_x0000_s13219"/>
                  </a:ext>
                  <a:ext uri="{FF2B5EF4-FFF2-40B4-BE49-F238E27FC236}">
                    <a16:creationId xmlns:a16="http://schemas.microsoft.com/office/drawing/2014/main" id="{00000000-0008-0000-0000-0000A3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20" name="Button 1956" hidden="1">
                <a:extLst>
                  <a:ext uri="{63B3BB69-23CF-44E3-9099-C40C66FF867C}">
                    <a14:compatExt spid="_x0000_s13220"/>
                  </a:ext>
                  <a:ext uri="{FF2B5EF4-FFF2-40B4-BE49-F238E27FC236}">
                    <a16:creationId xmlns:a16="http://schemas.microsoft.com/office/drawing/2014/main" id="{00000000-0008-0000-0000-0000A4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16</xdr:row>
          <xdr:rowOff>65316</xdr:rowOff>
        </xdr:from>
        <xdr:to>
          <xdr:col>39</xdr:col>
          <xdr:colOff>768433</xdr:colOff>
          <xdr:row>16</xdr:row>
          <xdr:rowOff>232956</xdr:rowOff>
        </xdr:to>
        <xdr:grpSp>
          <xdr:nvGrpSpPr>
            <xdr:cNvPr id="1229" name="그룹 1228">
              <a:extLs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GrpSpPr/>
          </xdr:nvGrpSpPr>
          <xdr:grpSpPr>
            <a:xfrm>
              <a:off x="24593249" y="50267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21" name="Button 1957" hidden="1">
                <a:extLst>
                  <a:ext uri="{63B3BB69-23CF-44E3-9099-C40C66FF867C}">
                    <a14:compatExt spid="_x0000_s13221"/>
                  </a:ext>
                  <a:ext uri="{FF2B5EF4-FFF2-40B4-BE49-F238E27FC236}">
                    <a16:creationId xmlns:a16="http://schemas.microsoft.com/office/drawing/2014/main" id="{00000000-0008-0000-0000-0000A5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22" name="Button 1958" hidden="1">
                <a:extLst>
                  <a:ext uri="{63B3BB69-23CF-44E3-9099-C40C66FF867C}">
                    <a14:compatExt spid="_x0000_s13222"/>
                  </a:ext>
                  <a:ext uri="{FF2B5EF4-FFF2-40B4-BE49-F238E27FC236}">
                    <a16:creationId xmlns:a16="http://schemas.microsoft.com/office/drawing/2014/main" id="{00000000-0008-0000-0000-0000A6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17</xdr:row>
          <xdr:rowOff>65316</xdr:rowOff>
        </xdr:from>
        <xdr:to>
          <xdr:col>39</xdr:col>
          <xdr:colOff>768433</xdr:colOff>
          <xdr:row>17</xdr:row>
          <xdr:rowOff>232956</xdr:rowOff>
        </xdr:to>
        <xdr:grpSp>
          <xdr:nvGrpSpPr>
            <xdr:cNvPr id="1232" name="그룹 1231">
              <a:extLs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GrpSpPr/>
          </xdr:nvGrpSpPr>
          <xdr:grpSpPr>
            <a:xfrm>
              <a:off x="24593249" y="53315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23" name="Button 1959" hidden="1">
                <a:extLst>
                  <a:ext uri="{63B3BB69-23CF-44E3-9099-C40C66FF867C}">
                    <a14:compatExt spid="_x0000_s13223"/>
                  </a:ext>
                  <a:ext uri="{FF2B5EF4-FFF2-40B4-BE49-F238E27FC236}">
                    <a16:creationId xmlns:a16="http://schemas.microsoft.com/office/drawing/2014/main" id="{00000000-0008-0000-0000-0000A7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24" name="Button 1960" hidden="1">
                <a:extLst>
                  <a:ext uri="{63B3BB69-23CF-44E3-9099-C40C66FF867C}">
                    <a14:compatExt spid="_x0000_s13224"/>
                  </a:ext>
                  <a:ext uri="{FF2B5EF4-FFF2-40B4-BE49-F238E27FC236}">
                    <a16:creationId xmlns:a16="http://schemas.microsoft.com/office/drawing/2014/main" id="{00000000-0008-0000-0000-0000A8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18</xdr:row>
          <xdr:rowOff>65316</xdr:rowOff>
        </xdr:from>
        <xdr:to>
          <xdr:col>39</xdr:col>
          <xdr:colOff>768433</xdr:colOff>
          <xdr:row>18</xdr:row>
          <xdr:rowOff>232956</xdr:rowOff>
        </xdr:to>
        <xdr:grpSp>
          <xdr:nvGrpSpPr>
            <xdr:cNvPr id="1235" name="그룹 1234">
              <a:extLs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GrpSpPr/>
          </xdr:nvGrpSpPr>
          <xdr:grpSpPr>
            <a:xfrm>
              <a:off x="24593249" y="56363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25" name="Button 1961" hidden="1">
                <a:extLst>
                  <a:ext uri="{63B3BB69-23CF-44E3-9099-C40C66FF867C}">
                    <a14:compatExt spid="_x0000_s13225"/>
                  </a:ext>
                  <a:ext uri="{FF2B5EF4-FFF2-40B4-BE49-F238E27FC236}">
                    <a16:creationId xmlns:a16="http://schemas.microsoft.com/office/drawing/2014/main" id="{00000000-0008-0000-0000-0000A9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26" name="Button 1962" hidden="1">
                <a:extLst>
                  <a:ext uri="{63B3BB69-23CF-44E3-9099-C40C66FF867C}">
                    <a14:compatExt spid="_x0000_s13226"/>
                  </a:ext>
                  <a:ext uri="{FF2B5EF4-FFF2-40B4-BE49-F238E27FC236}">
                    <a16:creationId xmlns:a16="http://schemas.microsoft.com/office/drawing/2014/main" id="{00000000-0008-0000-0000-0000AA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19</xdr:row>
          <xdr:rowOff>65316</xdr:rowOff>
        </xdr:from>
        <xdr:to>
          <xdr:col>39</xdr:col>
          <xdr:colOff>768433</xdr:colOff>
          <xdr:row>19</xdr:row>
          <xdr:rowOff>232956</xdr:rowOff>
        </xdr:to>
        <xdr:grpSp>
          <xdr:nvGrpSpPr>
            <xdr:cNvPr id="1238" name="그룹 1237">
              <a:extLs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GrpSpPr/>
          </xdr:nvGrpSpPr>
          <xdr:grpSpPr>
            <a:xfrm>
              <a:off x="24593249" y="59411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27" name="Button 1963" hidden="1">
                <a:extLst>
                  <a:ext uri="{63B3BB69-23CF-44E3-9099-C40C66FF867C}">
                    <a14:compatExt spid="_x0000_s13227"/>
                  </a:ext>
                  <a:ext uri="{FF2B5EF4-FFF2-40B4-BE49-F238E27FC236}">
                    <a16:creationId xmlns:a16="http://schemas.microsoft.com/office/drawing/2014/main" id="{00000000-0008-0000-0000-0000AB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28" name="Button 1964" hidden="1">
                <a:extLst>
                  <a:ext uri="{63B3BB69-23CF-44E3-9099-C40C66FF867C}">
                    <a14:compatExt spid="_x0000_s13228"/>
                  </a:ext>
                  <a:ext uri="{FF2B5EF4-FFF2-40B4-BE49-F238E27FC236}">
                    <a16:creationId xmlns:a16="http://schemas.microsoft.com/office/drawing/2014/main" id="{00000000-0008-0000-0000-0000AC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20</xdr:row>
          <xdr:rowOff>65316</xdr:rowOff>
        </xdr:from>
        <xdr:to>
          <xdr:col>39</xdr:col>
          <xdr:colOff>768433</xdr:colOff>
          <xdr:row>20</xdr:row>
          <xdr:rowOff>232956</xdr:rowOff>
        </xdr:to>
        <xdr:grpSp>
          <xdr:nvGrpSpPr>
            <xdr:cNvPr id="1241" name="그룹 1240">
              <a:extLs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GrpSpPr/>
          </xdr:nvGrpSpPr>
          <xdr:grpSpPr>
            <a:xfrm>
              <a:off x="24593249" y="62459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29" name="Button 1965" hidden="1">
                <a:extLst>
                  <a:ext uri="{63B3BB69-23CF-44E3-9099-C40C66FF867C}">
                    <a14:compatExt spid="_x0000_s13229"/>
                  </a:ext>
                  <a:ext uri="{FF2B5EF4-FFF2-40B4-BE49-F238E27FC236}">
                    <a16:creationId xmlns:a16="http://schemas.microsoft.com/office/drawing/2014/main" id="{00000000-0008-0000-0000-0000AD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30" name="Button 1966" hidden="1">
                <a:extLst>
                  <a:ext uri="{63B3BB69-23CF-44E3-9099-C40C66FF867C}">
                    <a14:compatExt spid="_x0000_s13230"/>
                  </a:ext>
                  <a:ext uri="{FF2B5EF4-FFF2-40B4-BE49-F238E27FC236}">
                    <a16:creationId xmlns:a16="http://schemas.microsoft.com/office/drawing/2014/main" id="{00000000-0008-0000-0000-0000AE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21</xdr:row>
          <xdr:rowOff>65316</xdr:rowOff>
        </xdr:from>
        <xdr:to>
          <xdr:col>39</xdr:col>
          <xdr:colOff>768433</xdr:colOff>
          <xdr:row>21</xdr:row>
          <xdr:rowOff>232956</xdr:rowOff>
        </xdr:to>
        <xdr:grpSp>
          <xdr:nvGrpSpPr>
            <xdr:cNvPr id="1244" name="그룹 1243">
              <a:extLs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GrpSpPr/>
          </xdr:nvGrpSpPr>
          <xdr:grpSpPr>
            <a:xfrm>
              <a:off x="24593249" y="65507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31" name="Button 1967" hidden="1">
                <a:extLst>
                  <a:ext uri="{63B3BB69-23CF-44E3-9099-C40C66FF867C}">
                    <a14:compatExt spid="_x0000_s13231"/>
                  </a:ext>
                  <a:ext uri="{FF2B5EF4-FFF2-40B4-BE49-F238E27FC236}">
                    <a16:creationId xmlns:a16="http://schemas.microsoft.com/office/drawing/2014/main" id="{00000000-0008-0000-0000-0000AF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32" name="Button 1968" hidden="1">
                <a:extLst>
                  <a:ext uri="{63B3BB69-23CF-44E3-9099-C40C66FF867C}">
                    <a14:compatExt spid="_x0000_s13232"/>
                  </a:ext>
                  <a:ext uri="{FF2B5EF4-FFF2-40B4-BE49-F238E27FC236}">
                    <a16:creationId xmlns:a16="http://schemas.microsoft.com/office/drawing/2014/main" id="{00000000-0008-0000-0000-0000B0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22</xdr:row>
          <xdr:rowOff>65316</xdr:rowOff>
        </xdr:from>
        <xdr:to>
          <xdr:col>39</xdr:col>
          <xdr:colOff>768433</xdr:colOff>
          <xdr:row>22</xdr:row>
          <xdr:rowOff>232956</xdr:rowOff>
        </xdr:to>
        <xdr:grpSp>
          <xdr:nvGrpSpPr>
            <xdr:cNvPr id="1247" name="그룹 1246">
              <a:extLst>
                <a:ext uri="{FF2B5EF4-FFF2-40B4-BE49-F238E27FC236}">
                  <a16:creationId xmlns:a16="http://schemas.microsoft.com/office/drawing/2014/main" id="{00000000-0008-0000-0000-0000DF040000}"/>
                </a:ext>
              </a:extLst>
            </xdr:cNvPr>
            <xdr:cNvGrpSpPr/>
          </xdr:nvGrpSpPr>
          <xdr:grpSpPr>
            <a:xfrm>
              <a:off x="24593249" y="68555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33" name="Button 1969" hidden="1">
                <a:extLst>
                  <a:ext uri="{63B3BB69-23CF-44E3-9099-C40C66FF867C}">
                    <a14:compatExt spid="_x0000_s13233"/>
                  </a:ext>
                  <a:ext uri="{FF2B5EF4-FFF2-40B4-BE49-F238E27FC236}">
                    <a16:creationId xmlns:a16="http://schemas.microsoft.com/office/drawing/2014/main" id="{00000000-0008-0000-0000-0000B1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34" name="Button 1970" hidden="1">
                <a:extLst>
                  <a:ext uri="{63B3BB69-23CF-44E3-9099-C40C66FF867C}">
                    <a14:compatExt spid="_x0000_s13234"/>
                  </a:ext>
                  <a:ext uri="{FF2B5EF4-FFF2-40B4-BE49-F238E27FC236}">
                    <a16:creationId xmlns:a16="http://schemas.microsoft.com/office/drawing/2014/main" id="{00000000-0008-0000-0000-0000B2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23</xdr:row>
          <xdr:rowOff>65316</xdr:rowOff>
        </xdr:from>
        <xdr:to>
          <xdr:col>39</xdr:col>
          <xdr:colOff>768433</xdr:colOff>
          <xdr:row>23</xdr:row>
          <xdr:rowOff>232956</xdr:rowOff>
        </xdr:to>
        <xdr:grpSp>
          <xdr:nvGrpSpPr>
            <xdr:cNvPr id="1250" name="그룹 1249">
              <a:extLst>
                <a:ext uri="{FF2B5EF4-FFF2-40B4-BE49-F238E27FC236}">
                  <a16:creationId xmlns:a16="http://schemas.microsoft.com/office/drawing/2014/main" id="{00000000-0008-0000-0000-0000E2040000}"/>
                </a:ext>
              </a:extLst>
            </xdr:cNvPr>
            <xdr:cNvGrpSpPr/>
          </xdr:nvGrpSpPr>
          <xdr:grpSpPr>
            <a:xfrm>
              <a:off x="24593249" y="71603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35" name="Button 1971" hidden="1">
                <a:extLst>
                  <a:ext uri="{63B3BB69-23CF-44E3-9099-C40C66FF867C}">
                    <a14:compatExt spid="_x0000_s13235"/>
                  </a:ext>
                  <a:ext uri="{FF2B5EF4-FFF2-40B4-BE49-F238E27FC236}">
                    <a16:creationId xmlns:a16="http://schemas.microsoft.com/office/drawing/2014/main" id="{00000000-0008-0000-0000-0000B3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36" name="Button 1972" hidden="1">
                <a:extLst>
                  <a:ext uri="{63B3BB69-23CF-44E3-9099-C40C66FF867C}">
                    <a14:compatExt spid="_x0000_s13236"/>
                  </a:ext>
                  <a:ext uri="{FF2B5EF4-FFF2-40B4-BE49-F238E27FC236}">
                    <a16:creationId xmlns:a16="http://schemas.microsoft.com/office/drawing/2014/main" id="{00000000-0008-0000-0000-0000B4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24</xdr:row>
          <xdr:rowOff>65316</xdr:rowOff>
        </xdr:from>
        <xdr:to>
          <xdr:col>39</xdr:col>
          <xdr:colOff>768433</xdr:colOff>
          <xdr:row>24</xdr:row>
          <xdr:rowOff>232956</xdr:rowOff>
        </xdr:to>
        <xdr:grpSp>
          <xdr:nvGrpSpPr>
            <xdr:cNvPr id="1253" name="그룹 1252">
              <a:extLst>
                <a:ext uri="{FF2B5EF4-FFF2-40B4-BE49-F238E27FC236}">
                  <a16:creationId xmlns:a16="http://schemas.microsoft.com/office/drawing/2014/main" id="{00000000-0008-0000-0000-0000E5040000}"/>
                </a:ext>
              </a:extLst>
            </xdr:cNvPr>
            <xdr:cNvGrpSpPr/>
          </xdr:nvGrpSpPr>
          <xdr:grpSpPr>
            <a:xfrm>
              <a:off x="24593249" y="74651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37" name="Button 1973" hidden="1">
                <a:extLst>
                  <a:ext uri="{63B3BB69-23CF-44E3-9099-C40C66FF867C}">
                    <a14:compatExt spid="_x0000_s13237"/>
                  </a:ext>
                  <a:ext uri="{FF2B5EF4-FFF2-40B4-BE49-F238E27FC236}">
                    <a16:creationId xmlns:a16="http://schemas.microsoft.com/office/drawing/2014/main" id="{00000000-0008-0000-0000-0000B5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38" name="Button 1974" hidden="1">
                <a:extLst>
                  <a:ext uri="{63B3BB69-23CF-44E3-9099-C40C66FF867C}">
                    <a14:compatExt spid="_x0000_s13238"/>
                  </a:ext>
                  <a:ext uri="{FF2B5EF4-FFF2-40B4-BE49-F238E27FC236}">
                    <a16:creationId xmlns:a16="http://schemas.microsoft.com/office/drawing/2014/main" id="{00000000-0008-0000-0000-0000B6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25</xdr:row>
          <xdr:rowOff>65316</xdr:rowOff>
        </xdr:from>
        <xdr:to>
          <xdr:col>39</xdr:col>
          <xdr:colOff>768433</xdr:colOff>
          <xdr:row>25</xdr:row>
          <xdr:rowOff>232956</xdr:rowOff>
        </xdr:to>
        <xdr:grpSp>
          <xdr:nvGrpSpPr>
            <xdr:cNvPr id="1256" name="그룹 1255">
              <a:extLst>
                <a:ext uri="{FF2B5EF4-FFF2-40B4-BE49-F238E27FC236}">
                  <a16:creationId xmlns:a16="http://schemas.microsoft.com/office/drawing/2014/main" id="{00000000-0008-0000-0000-0000E8040000}"/>
                </a:ext>
              </a:extLst>
            </xdr:cNvPr>
            <xdr:cNvGrpSpPr/>
          </xdr:nvGrpSpPr>
          <xdr:grpSpPr>
            <a:xfrm>
              <a:off x="24593249" y="77699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39" name="Button 1975" hidden="1">
                <a:extLst>
                  <a:ext uri="{63B3BB69-23CF-44E3-9099-C40C66FF867C}">
                    <a14:compatExt spid="_x0000_s13239"/>
                  </a:ext>
                  <a:ext uri="{FF2B5EF4-FFF2-40B4-BE49-F238E27FC236}">
                    <a16:creationId xmlns:a16="http://schemas.microsoft.com/office/drawing/2014/main" id="{00000000-0008-0000-0000-0000B7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40" name="Button 1976" hidden="1">
                <a:extLst>
                  <a:ext uri="{63B3BB69-23CF-44E3-9099-C40C66FF867C}">
                    <a14:compatExt spid="_x0000_s13240"/>
                  </a:ext>
                  <a:ext uri="{FF2B5EF4-FFF2-40B4-BE49-F238E27FC236}">
                    <a16:creationId xmlns:a16="http://schemas.microsoft.com/office/drawing/2014/main" id="{00000000-0008-0000-0000-0000B8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26</xdr:row>
          <xdr:rowOff>65316</xdr:rowOff>
        </xdr:from>
        <xdr:to>
          <xdr:col>39</xdr:col>
          <xdr:colOff>768433</xdr:colOff>
          <xdr:row>26</xdr:row>
          <xdr:rowOff>232956</xdr:rowOff>
        </xdr:to>
        <xdr:grpSp>
          <xdr:nvGrpSpPr>
            <xdr:cNvPr id="1259" name="그룹 1258">
              <a:extLst>
                <a:ext uri="{FF2B5EF4-FFF2-40B4-BE49-F238E27FC236}">
                  <a16:creationId xmlns:a16="http://schemas.microsoft.com/office/drawing/2014/main" id="{00000000-0008-0000-0000-0000EB040000}"/>
                </a:ext>
              </a:extLst>
            </xdr:cNvPr>
            <xdr:cNvGrpSpPr/>
          </xdr:nvGrpSpPr>
          <xdr:grpSpPr>
            <a:xfrm>
              <a:off x="24593249" y="80747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41" name="Button 1977" hidden="1">
                <a:extLst>
                  <a:ext uri="{63B3BB69-23CF-44E3-9099-C40C66FF867C}">
                    <a14:compatExt spid="_x0000_s13241"/>
                  </a:ext>
                  <a:ext uri="{FF2B5EF4-FFF2-40B4-BE49-F238E27FC236}">
                    <a16:creationId xmlns:a16="http://schemas.microsoft.com/office/drawing/2014/main" id="{00000000-0008-0000-0000-0000B9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42" name="Button 1978" hidden="1">
                <a:extLst>
                  <a:ext uri="{63B3BB69-23CF-44E3-9099-C40C66FF867C}">
                    <a14:compatExt spid="_x0000_s13242"/>
                  </a:ext>
                  <a:ext uri="{FF2B5EF4-FFF2-40B4-BE49-F238E27FC236}">
                    <a16:creationId xmlns:a16="http://schemas.microsoft.com/office/drawing/2014/main" id="{00000000-0008-0000-0000-0000BA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27</xdr:row>
          <xdr:rowOff>65316</xdr:rowOff>
        </xdr:from>
        <xdr:to>
          <xdr:col>39</xdr:col>
          <xdr:colOff>768433</xdr:colOff>
          <xdr:row>28</xdr:row>
          <xdr:rowOff>2</xdr:rowOff>
        </xdr:to>
        <xdr:grpSp>
          <xdr:nvGrpSpPr>
            <xdr:cNvPr id="1262" name="그룹 1261">
              <a:extLs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GrpSpPr/>
          </xdr:nvGrpSpPr>
          <xdr:grpSpPr>
            <a:xfrm>
              <a:off x="24593249" y="8379583"/>
              <a:ext cx="626917" cy="154819"/>
              <a:chOff x="21808043" y="18909312"/>
              <a:chExt cx="626917" cy="167640"/>
            </a:xfrm>
          </xdr:grpSpPr>
          <xdr:sp macro="" textlink="">
            <xdr:nvSpPr>
              <xdr:cNvPr id="13243" name="Button 1979" hidden="1">
                <a:extLst>
                  <a:ext uri="{63B3BB69-23CF-44E3-9099-C40C66FF867C}">
                    <a14:compatExt spid="_x0000_s13243"/>
                  </a:ext>
                  <a:ext uri="{FF2B5EF4-FFF2-40B4-BE49-F238E27FC236}">
                    <a16:creationId xmlns:a16="http://schemas.microsoft.com/office/drawing/2014/main" id="{00000000-0008-0000-0000-0000BB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44" name="Button 1980" hidden="1">
                <a:extLst>
                  <a:ext uri="{63B3BB69-23CF-44E3-9099-C40C66FF867C}">
                    <a14:compatExt spid="_x0000_s13244"/>
                  </a:ext>
                  <a:ext uri="{FF2B5EF4-FFF2-40B4-BE49-F238E27FC236}">
                    <a16:creationId xmlns:a16="http://schemas.microsoft.com/office/drawing/2014/main" id="{00000000-0008-0000-0000-0000BC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28</xdr:row>
          <xdr:rowOff>65316</xdr:rowOff>
        </xdr:from>
        <xdr:to>
          <xdr:col>39</xdr:col>
          <xdr:colOff>768433</xdr:colOff>
          <xdr:row>28</xdr:row>
          <xdr:rowOff>232956</xdr:rowOff>
        </xdr:to>
        <xdr:grpSp>
          <xdr:nvGrpSpPr>
            <xdr:cNvPr id="1265" name="그룹 1264">
              <a:extLst>
                <a:ext uri="{FF2B5EF4-FFF2-40B4-BE49-F238E27FC236}">
                  <a16:creationId xmlns:a16="http://schemas.microsoft.com/office/drawing/2014/main" id="{00000000-0008-0000-0000-0000F1040000}"/>
                </a:ext>
              </a:extLst>
            </xdr:cNvPr>
            <xdr:cNvGrpSpPr/>
          </xdr:nvGrpSpPr>
          <xdr:grpSpPr>
            <a:xfrm>
              <a:off x="24593249" y="85997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45" name="Button 1981" hidden="1">
                <a:extLst>
                  <a:ext uri="{63B3BB69-23CF-44E3-9099-C40C66FF867C}">
                    <a14:compatExt spid="_x0000_s13245"/>
                  </a:ext>
                  <a:ext uri="{FF2B5EF4-FFF2-40B4-BE49-F238E27FC236}">
                    <a16:creationId xmlns:a16="http://schemas.microsoft.com/office/drawing/2014/main" id="{00000000-0008-0000-0000-0000BD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46" name="Button 1982" hidden="1">
                <a:extLst>
                  <a:ext uri="{63B3BB69-23CF-44E3-9099-C40C66FF867C}">
                    <a14:compatExt spid="_x0000_s13246"/>
                  </a:ext>
                  <a:ext uri="{FF2B5EF4-FFF2-40B4-BE49-F238E27FC236}">
                    <a16:creationId xmlns:a16="http://schemas.microsoft.com/office/drawing/2014/main" id="{00000000-0008-0000-0000-0000BE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29</xdr:row>
          <xdr:rowOff>65316</xdr:rowOff>
        </xdr:from>
        <xdr:to>
          <xdr:col>39</xdr:col>
          <xdr:colOff>768433</xdr:colOff>
          <xdr:row>29</xdr:row>
          <xdr:rowOff>232956</xdr:rowOff>
        </xdr:to>
        <xdr:grpSp>
          <xdr:nvGrpSpPr>
            <xdr:cNvPr id="1268" name="그룹 1267">
              <a:extLst>
                <a:ext uri="{FF2B5EF4-FFF2-40B4-BE49-F238E27FC236}">
                  <a16:creationId xmlns:a16="http://schemas.microsoft.com/office/drawing/2014/main" id="{00000000-0008-0000-0000-0000F4040000}"/>
                </a:ext>
              </a:extLst>
            </xdr:cNvPr>
            <xdr:cNvGrpSpPr/>
          </xdr:nvGrpSpPr>
          <xdr:grpSpPr>
            <a:xfrm>
              <a:off x="24593249" y="89045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47" name="Button 1983" hidden="1">
                <a:extLst>
                  <a:ext uri="{63B3BB69-23CF-44E3-9099-C40C66FF867C}">
                    <a14:compatExt spid="_x0000_s13247"/>
                  </a:ext>
                  <a:ext uri="{FF2B5EF4-FFF2-40B4-BE49-F238E27FC236}">
                    <a16:creationId xmlns:a16="http://schemas.microsoft.com/office/drawing/2014/main" id="{00000000-0008-0000-0000-0000BF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48" name="Button 1984" hidden="1">
                <a:extLst>
                  <a:ext uri="{63B3BB69-23CF-44E3-9099-C40C66FF867C}">
                    <a14:compatExt spid="_x0000_s13248"/>
                  </a:ext>
                  <a:ext uri="{FF2B5EF4-FFF2-40B4-BE49-F238E27FC236}">
                    <a16:creationId xmlns:a16="http://schemas.microsoft.com/office/drawing/2014/main" id="{00000000-0008-0000-0000-0000C0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30</xdr:row>
          <xdr:rowOff>65316</xdr:rowOff>
        </xdr:from>
        <xdr:to>
          <xdr:col>39</xdr:col>
          <xdr:colOff>768433</xdr:colOff>
          <xdr:row>30</xdr:row>
          <xdr:rowOff>232956</xdr:rowOff>
        </xdr:to>
        <xdr:grpSp>
          <xdr:nvGrpSpPr>
            <xdr:cNvPr id="1271" name="그룹 1270">
              <a:extLst>
                <a:ext uri="{FF2B5EF4-FFF2-40B4-BE49-F238E27FC236}">
                  <a16:creationId xmlns:a16="http://schemas.microsoft.com/office/drawing/2014/main" id="{00000000-0008-0000-0000-0000F7040000}"/>
                </a:ext>
              </a:extLst>
            </xdr:cNvPr>
            <xdr:cNvGrpSpPr/>
          </xdr:nvGrpSpPr>
          <xdr:grpSpPr>
            <a:xfrm>
              <a:off x="24593249" y="92093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49" name="Button 1985" hidden="1">
                <a:extLst>
                  <a:ext uri="{63B3BB69-23CF-44E3-9099-C40C66FF867C}">
                    <a14:compatExt spid="_x0000_s13249"/>
                  </a:ext>
                  <a:ext uri="{FF2B5EF4-FFF2-40B4-BE49-F238E27FC236}">
                    <a16:creationId xmlns:a16="http://schemas.microsoft.com/office/drawing/2014/main" id="{00000000-0008-0000-0000-0000C1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50" name="Button 1986" hidden="1">
                <a:extLst>
                  <a:ext uri="{63B3BB69-23CF-44E3-9099-C40C66FF867C}">
                    <a14:compatExt spid="_x0000_s13250"/>
                  </a:ext>
                  <a:ext uri="{FF2B5EF4-FFF2-40B4-BE49-F238E27FC236}">
                    <a16:creationId xmlns:a16="http://schemas.microsoft.com/office/drawing/2014/main" id="{00000000-0008-0000-0000-0000C2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31</xdr:row>
          <xdr:rowOff>65316</xdr:rowOff>
        </xdr:from>
        <xdr:to>
          <xdr:col>39</xdr:col>
          <xdr:colOff>768433</xdr:colOff>
          <xdr:row>31</xdr:row>
          <xdr:rowOff>232956</xdr:rowOff>
        </xdr:to>
        <xdr:grpSp>
          <xdr:nvGrpSpPr>
            <xdr:cNvPr id="1274" name="그룹 1273">
              <a:extLs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GrpSpPr/>
          </xdr:nvGrpSpPr>
          <xdr:grpSpPr>
            <a:xfrm>
              <a:off x="24593249" y="95141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51" name="Button 1987" hidden="1">
                <a:extLst>
                  <a:ext uri="{63B3BB69-23CF-44E3-9099-C40C66FF867C}">
                    <a14:compatExt spid="_x0000_s13251"/>
                  </a:ext>
                  <a:ext uri="{FF2B5EF4-FFF2-40B4-BE49-F238E27FC236}">
                    <a16:creationId xmlns:a16="http://schemas.microsoft.com/office/drawing/2014/main" id="{00000000-0008-0000-0000-0000C3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52" name="Button 1988" hidden="1">
                <a:extLst>
                  <a:ext uri="{63B3BB69-23CF-44E3-9099-C40C66FF867C}">
                    <a14:compatExt spid="_x0000_s13252"/>
                  </a:ext>
                  <a:ext uri="{FF2B5EF4-FFF2-40B4-BE49-F238E27FC236}">
                    <a16:creationId xmlns:a16="http://schemas.microsoft.com/office/drawing/2014/main" id="{00000000-0008-0000-0000-0000C4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32</xdr:row>
          <xdr:rowOff>65316</xdr:rowOff>
        </xdr:from>
        <xdr:to>
          <xdr:col>39</xdr:col>
          <xdr:colOff>768433</xdr:colOff>
          <xdr:row>32</xdr:row>
          <xdr:rowOff>232956</xdr:rowOff>
        </xdr:to>
        <xdr:grpSp>
          <xdr:nvGrpSpPr>
            <xdr:cNvPr id="1277" name="그룹 1276">
              <a:extLst>
                <a:ext uri="{FF2B5EF4-FFF2-40B4-BE49-F238E27FC236}">
                  <a16:creationId xmlns:a16="http://schemas.microsoft.com/office/drawing/2014/main" id="{00000000-0008-0000-0000-0000FD040000}"/>
                </a:ext>
              </a:extLst>
            </xdr:cNvPr>
            <xdr:cNvGrpSpPr/>
          </xdr:nvGrpSpPr>
          <xdr:grpSpPr>
            <a:xfrm>
              <a:off x="24593249" y="98189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53" name="Button 1989" hidden="1">
                <a:extLst>
                  <a:ext uri="{63B3BB69-23CF-44E3-9099-C40C66FF867C}">
                    <a14:compatExt spid="_x0000_s13253"/>
                  </a:ext>
                  <a:ext uri="{FF2B5EF4-FFF2-40B4-BE49-F238E27FC236}">
                    <a16:creationId xmlns:a16="http://schemas.microsoft.com/office/drawing/2014/main" id="{00000000-0008-0000-0000-0000C5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54" name="Button 1990" hidden="1">
                <a:extLst>
                  <a:ext uri="{63B3BB69-23CF-44E3-9099-C40C66FF867C}">
                    <a14:compatExt spid="_x0000_s13254"/>
                  </a:ext>
                  <a:ext uri="{FF2B5EF4-FFF2-40B4-BE49-F238E27FC236}">
                    <a16:creationId xmlns:a16="http://schemas.microsoft.com/office/drawing/2014/main" id="{00000000-0008-0000-0000-0000C6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33</xdr:row>
          <xdr:rowOff>65316</xdr:rowOff>
        </xdr:from>
        <xdr:to>
          <xdr:col>39</xdr:col>
          <xdr:colOff>768433</xdr:colOff>
          <xdr:row>33</xdr:row>
          <xdr:rowOff>232956</xdr:rowOff>
        </xdr:to>
        <xdr:grpSp>
          <xdr:nvGrpSpPr>
            <xdr:cNvPr id="1280" name="그룹 1279">
              <a:extLst>
                <a:ext uri="{FF2B5EF4-FFF2-40B4-BE49-F238E27FC236}">
                  <a16:creationId xmlns:a16="http://schemas.microsoft.com/office/drawing/2014/main" id="{00000000-0008-0000-0000-000000050000}"/>
                </a:ext>
              </a:extLst>
            </xdr:cNvPr>
            <xdr:cNvGrpSpPr/>
          </xdr:nvGrpSpPr>
          <xdr:grpSpPr>
            <a:xfrm>
              <a:off x="24593249" y="101237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55" name="Button 1991" hidden="1">
                <a:extLst>
                  <a:ext uri="{63B3BB69-23CF-44E3-9099-C40C66FF867C}">
                    <a14:compatExt spid="_x0000_s13255"/>
                  </a:ext>
                  <a:ext uri="{FF2B5EF4-FFF2-40B4-BE49-F238E27FC236}">
                    <a16:creationId xmlns:a16="http://schemas.microsoft.com/office/drawing/2014/main" id="{00000000-0008-0000-0000-0000C7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56" name="Button 1992" hidden="1">
                <a:extLst>
                  <a:ext uri="{63B3BB69-23CF-44E3-9099-C40C66FF867C}">
                    <a14:compatExt spid="_x0000_s13256"/>
                  </a:ext>
                  <a:ext uri="{FF2B5EF4-FFF2-40B4-BE49-F238E27FC236}">
                    <a16:creationId xmlns:a16="http://schemas.microsoft.com/office/drawing/2014/main" id="{00000000-0008-0000-0000-0000C8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34</xdr:row>
          <xdr:rowOff>65316</xdr:rowOff>
        </xdr:from>
        <xdr:to>
          <xdr:col>39</xdr:col>
          <xdr:colOff>768433</xdr:colOff>
          <xdr:row>34</xdr:row>
          <xdr:rowOff>232956</xdr:rowOff>
        </xdr:to>
        <xdr:grpSp>
          <xdr:nvGrpSpPr>
            <xdr:cNvPr id="1283" name="그룹 1282">
              <a:extLst>
                <a:ext uri="{FF2B5EF4-FFF2-40B4-BE49-F238E27FC236}">
                  <a16:creationId xmlns:a16="http://schemas.microsoft.com/office/drawing/2014/main" id="{00000000-0008-0000-0000-000003050000}"/>
                </a:ext>
              </a:extLst>
            </xdr:cNvPr>
            <xdr:cNvGrpSpPr/>
          </xdr:nvGrpSpPr>
          <xdr:grpSpPr>
            <a:xfrm>
              <a:off x="24593249" y="104285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57" name="Button 1993" hidden="1">
                <a:extLst>
                  <a:ext uri="{63B3BB69-23CF-44E3-9099-C40C66FF867C}">
                    <a14:compatExt spid="_x0000_s13257"/>
                  </a:ext>
                  <a:ext uri="{FF2B5EF4-FFF2-40B4-BE49-F238E27FC236}">
                    <a16:creationId xmlns:a16="http://schemas.microsoft.com/office/drawing/2014/main" id="{00000000-0008-0000-0000-0000C9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58" name="Button 1994" hidden="1">
                <a:extLst>
                  <a:ext uri="{63B3BB69-23CF-44E3-9099-C40C66FF867C}">
                    <a14:compatExt spid="_x0000_s13258"/>
                  </a:ext>
                  <a:ext uri="{FF2B5EF4-FFF2-40B4-BE49-F238E27FC236}">
                    <a16:creationId xmlns:a16="http://schemas.microsoft.com/office/drawing/2014/main" id="{00000000-0008-0000-0000-0000CA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35</xdr:row>
          <xdr:rowOff>65316</xdr:rowOff>
        </xdr:from>
        <xdr:to>
          <xdr:col>39</xdr:col>
          <xdr:colOff>768433</xdr:colOff>
          <xdr:row>35</xdr:row>
          <xdr:rowOff>232956</xdr:rowOff>
        </xdr:to>
        <xdr:grpSp>
          <xdr:nvGrpSpPr>
            <xdr:cNvPr id="1286" name="그룹 1285">
              <a:extLst>
                <a:ext uri="{FF2B5EF4-FFF2-40B4-BE49-F238E27FC236}">
                  <a16:creationId xmlns:a16="http://schemas.microsoft.com/office/drawing/2014/main" id="{00000000-0008-0000-0000-000006050000}"/>
                </a:ext>
              </a:extLst>
            </xdr:cNvPr>
            <xdr:cNvGrpSpPr/>
          </xdr:nvGrpSpPr>
          <xdr:grpSpPr>
            <a:xfrm>
              <a:off x="24593249" y="10733316"/>
              <a:ext cx="626917" cy="167640"/>
              <a:chOff x="19397629" y="0"/>
              <a:chExt cx="3037122" cy="0"/>
            </a:xfrm>
          </xdr:grpSpPr>
          <xdr:sp macro="" textlink="">
            <xdr:nvSpPr>
              <xdr:cNvPr id="13259" name="Button 1995" hidden="1">
                <a:extLst>
                  <a:ext uri="{63B3BB69-23CF-44E3-9099-C40C66FF867C}">
                    <a14:compatExt spid="_x0000_s13259"/>
                  </a:ext>
                  <a:ext uri="{FF2B5EF4-FFF2-40B4-BE49-F238E27FC236}">
                    <a16:creationId xmlns:a16="http://schemas.microsoft.com/office/drawing/2014/main" id="{00000000-0008-0000-0000-0000CB330000}"/>
                  </a:ext>
                </a:extLst>
              </xdr:cNvPr>
              <xdr:cNvSpPr/>
            </xdr:nvSpPr>
            <xdr:spPr bwMode="auto">
              <a:xfrm>
                <a:off x="19397629" y="0"/>
                <a:ext cx="26925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60" name="Button 1996" hidden="1">
                <a:extLst>
                  <a:ext uri="{63B3BB69-23CF-44E3-9099-C40C66FF867C}">
                    <a14:compatExt spid="_x0000_s13260"/>
                  </a:ext>
                  <a:ext uri="{FF2B5EF4-FFF2-40B4-BE49-F238E27FC236}">
                    <a16:creationId xmlns:a16="http://schemas.microsoft.com/office/drawing/2014/main" id="{00000000-0008-0000-0000-0000CC330000}"/>
                  </a:ext>
                </a:extLst>
              </xdr:cNvPr>
              <xdr:cNvSpPr/>
            </xdr:nvSpPr>
            <xdr:spPr bwMode="auto">
              <a:xfrm>
                <a:off x="22127469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36</xdr:row>
          <xdr:rowOff>65316</xdr:rowOff>
        </xdr:from>
        <xdr:to>
          <xdr:col>39</xdr:col>
          <xdr:colOff>768433</xdr:colOff>
          <xdr:row>36</xdr:row>
          <xdr:rowOff>210096</xdr:rowOff>
        </xdr:to>
        <xdr:grpSp>
          <xdr:nvGrpSpPr>
            <xdr:cNvPr id="1289" name="그룹 1288">
              <a:extLs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GrpSpPr/>
          </xdr:nvGrpSpPr>
          <xdr:grpSpPr>
            <a:xfrm>
              <a:off x="24593249" y="11478383"/>
              <a:ext cx="626917" cy="144780"/>
              <a:chOff x="19397629" y="0"/>
              <a:chExt cx="3037122" cy="0"/>
            </a:xfrm>
          </xdr:grpSpPr>
          <xdr:sp macro="" textlink="">
            <xdr:nvSpPr>
              <xdr:cNvPr id="13261" name="Button 1997" hidden="1">
                <a:extLst>
                  <a:ext uri="{63B3BB69-23CF-44E3-9099-C40C66FF867C}">
                    <a14:compatExt spid="_x0000_s13261"/>
                  </a:ext>
                  <a:ext uri="{FF2B5EF4-FFF2-40B4-BE49-F238E27FC236}">
                    <a16:creationId xmlns:a16="http://schemas.microsoft.com/office/drawing/2014/main" id="{00000000-0008-0000-0000-0000CD330000}"/>
                  </a:ext>
                </a:extLst>
              </xdr:cNvPr>
              <xdr:cNvSpPr/>
            </xdr:nvSpPr>
            <xdr:spPr bwMode="auto">
              <a:xfrm>
                <a:off x="19397629" y="0"/>
                <a:ext cx="26925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62" name="Button 1998" hidden="1">
                <a:extLst>
                  <a:ext uri="{63B3BB69-23CF-44E3-9099-C40C66FF867C}">
                    <a14:compatExt spid="_x0000_s13262"/>
                  </a:ext>
                  <a:ext uri="{FF2B5EF4-FFF2-40B4-BE49-F238E27FC236}">
                    <a16:creationId xmlns:a16="http://schemas.microsoft.com/office/drawing/2014/main" id="{00000000-0008-0000-0000-0000CE330000}"/>
                  </a:ext>
                </a:extLst>
              </xdr:cNvPr>
              <xdr:cNvSpPr/>
            </xdr:nvSpPr>
            <xdr:spPr bwMode="auto">
              <a:xfrm>
                <a:off x="22127469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37</xdr:row>
          <xdr:rowOff>65316</xdr:rowOff>
        </xdr:from>
        <xdr:to>
          <xdr:col>39</xdr:col>
          <xdr:colOff>768433</xdr:colOff>
          <xdr:row>37</xdr:row>
          <xdr:rowOff>210096</xdr:rowOff>
        </xdr:to>
        <xdr:grpSp>
          <xdr:nvGrpSpPr>
            <xdr:cNvPr id="1292" name="그룹 1291">
              <a:extLst>
                <a:ext uri="{FF2B5EF4-FFF2-40B4-BE49-F238E27FC236}">
                  <a16:creationId xmlns:a16="http://schemas.microsoft.com/office/drawing/2014/main" id="{00000000-0008-0000-0000-00000C050000}"/>
                </a:ext>
              </a:extLst>
            </xdr:cNvPr>
            <xdr:cNvGrpSpPr/>
          </xdr:nvGrpSpPr>
          <xdr:grpSpPr>
            <a:xfrm>
              <a:off x="24593249" y="11698516"/>
              <a:ext cx="626917" cy="144780"/>
              <a:chOff x="19397629" y="0"/>
              <a:chExt cx="3037122" cy="0"/>
            </a:xfrm>
          </xdr:grpSpPr>
          <xdr:sp macro="" textlink="">
            <xdr:nvSpPr>
              <xdr:cNvPr id="13263" name="Button 1999" hidden="1">
                <a:extLst>
                  <a:ext uri="{63B3BB69-23CF-44E3-9099-C40C66FF867C}">
                    <a14:compatExt spid="_x0000_s13263"/>
                  </a:ext>
                  <a:ext uri="{FF2B5EF4-FFF2-40B4-BE49-F238E27FC236}">
                    <a16:creationId xmlns:a16="http://schemas.microsoft.com/office/drawing/2014/main" id="{00000000-0008-0000-0000-0000CF330000}"/>
                  </a:ext>
                </a:extLst>
              </xdr:cNvPr>
              <xdr:cNvSpPr/>
            </xdr:nvSpPr>
            <xdr:spPr bwMode="auto">
              <a:xfrm>
                <a:off x="19397629" y="0"/>
                <a:ext cx="26925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64" name="Button 2000" hidden="1">
                <a:extLst>
                  <a:ext uri="{63B3BB69-23CF-44E3-9099-C40C66FF867C}">
                    <a14:compatExt spid="_x0000_s13264"/>
                  </a:ext>
                  <a:ext uri="{FF2B5EF4-FFF2-40B4-BE49-F238E27FC236}">
                    <a16:creationId xmlns:a16="http://schemas.microsoft.com/office/drawing/2014/main" id="{00000000-0008-0000-0000-0000D0330000}"/>
                  </a:ext>
                </a:extLst>
              </xdr:cNvPr>
              <xdr:cNvSpPr/>
            </xdr:nvSpPr>
            <xdr:spPr bwMode="auto">
              <a:xfrm>
                <a:off x="22127469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38</xdr:row>
          <xdr:rowOff>65316</xdr:rowOff>
        </xdr:from>
        <xdr:to>
          <xdr:col>39</xdr:col>
          <xdr:colOff>768433</xdr:colOff>
          <xdr:row>38</xdr:row>
          <xdr:rowOff>232956</xdr:rowOff>
        </xdr:to>
        <xdr:grpSp>
          <xdr:nvGrpSpPr>
            <xdr:cNvPr id="1295" name="그룹 1294">
              <a:extLst>
                <a:ext uri="{FF2B5EF4-FFF2-40B4-BE49-F238E27FC236}">
                  <a16:creationId xmlns:a16="http://schemas.microsoft.com/office/drawing/2014/main" id="{00000000-0008-0000-0000-00000F050000}"/>
                </a:ext>
              </a:extLst>
            </xdr:cNvPr>
            <xdr:cNvGrpSpPr/>
          </xdr:nvGrpSpPr>
          <xdr:grpSpPr>
            <a:xfrm>
              <a:off x="24593249" y="11918649"/>
              <a:ext cx="626917" cy="167640"/>
              <a:chOff x="19397629" y="0"/>
              <a:chExt cx="3037122" cy="0"/>
            </a:xfrm>
          </xdr:grpSpPr>
          <xdr:sp macro="" textlink="">
            <xdr:nvSpPr>
              <xdr:cNvPr id="13265" name="Button 2001" hidden="1">
                <a:extLst>
                  <a:ext uri="{63B3BB69-23CF-44E3-9099-C40C66FF867C}">
                    <a14:compatExt spid="_x0000_s13265"/>
                  </a:ext>
                  <a:ext uri="{FF2B5EF4-FFF2-40B4-BE49-F238E27FC236}">
                    <a16:creationId xmlns:a16="http://schemas.microsoft.com/office/drawing/2014/main" id="{00000000-0008-0000-0000-0000D1330000}"/>
                  </a:ext>
                </a:extLst>
              </xdr:cNvPr>
              <xdr:cNvSpPr/>
            </xdr:nvSpPr>
            <xdr:spPr bwMode="auto">
              <a:xfrm>
                <a:off x="19397629" y="0"/>
                <a:ext cx="26925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66" name="Button 2002" hidden="1">
                <a:extLst>
                  <a:ext uri="{63B3BB69-23CF-44E3-9099-C40C66FF867C}">
                    <a14:compatExt spid="_x0000_s13266"/>
                  </a:ext>
                  <a:ext uri="{FF2B5EF4-FFF2-40B4-BE49-F238E27FC236}">
                    <a16:creationId xmlns:a16="http://schemas.microsoft.com/office/drawing/2014/main" id="{00000000-0008-0000-0000-0000D2330000}"/>
                  </a:ext>
                </a:extLst>
              </xdr:cNvPr>
              <xdr:cNvSpPr/>
            </xdr:nvSpPr>
            <xdr:spPr bwMode="auto">
              <a:xfrm>
                <a:off x="22127469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39</xdr:row>
          <xdr:rowOff>65316</xdr:rowOff>
        </xdr:from>
        <xdr:to>
          <xdr:col>39</xdr:col>
          <xdr:colOff>768433</xdr:colOff>
          <xdr:row>40</xdr:row>
          <xdr:rowOff>2</xdr:rowOff>
        </xdr:to>
        <xdr:grpSp>
          <xdr:nvGrpSpPr>
            <xdr:cNvPr id="1298" name="그룹 1297">
              <a:extLs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GrpSpPr/>
          </xdr:nvGrpSpPr>
          <xdr:grpSpPr>
            <a:xfrm>
              <a:off x="24593249" y="12291183"/>
              <a:ext cx="626917" cy="154819"/>
              <a:chOff x="19397629" y="0"/>
              <a:chExt cx="3037122" cy="0"/>
            </a:xfrm>
          </xdr:grpSpPr>
          <xdr:sp macro="" textlink="">
            <xdr:nvSpPr>
              <xdr:cNvPr id="13267" name="Button 2003" hidden="1">
                <a:extLst>
                  <a:ext uri="{63B3BB69-23CF-44E3-9099-C40C66FF867C}">
                    <a14:compatExt spid="_x0000_s13267"/>
                  </a:ext>
                  <a:ext uri="{FF2B5EF4-FFF2-40B4-BE49-F238E27FC236}">
                    <a16:creationId xmlns:a16="http://schemas.microsoft.com/office/drawing/2014/main" id="{00000000-0008-0000-0000-0000D3330000}"/>
                  </a:ext>
                </a:extLst>
              </xdr:cNvPr>
              <xdr:cNvSpPr/>
            </xdr:nvSpPr>
            <xdr:spPr bwMode="auto">
              <a:xfrm>
                <a:off x="19397629" y="0"/>
                <a:ext cx="26925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68" name="Button 2004" hidden="1">
                <a:extLst>
                  <a:ext uri="{63B3BB69-23CF-44E3-9099-C40C66FF867C}">
                    <a14:compatExt spid="_x0000_s13268"/>
                  </a:ext>
                  <a:ext uri="{FF2B5EF4-FFF2-40B4-BE49-F238E27FC236}">
                    <a16:creationId xmlns:a16="http://schemas.microsoft.com/office/drawing/2014/main" id="{00000000-0008-0000-0000-0000D4330000}"/>
                  </a:ext>
                </a:extLst>
              </xdr:cNvPr>
              <xdr:cNvSpPr/>
            </xdr:nvSpPr>
            <xdr:spPr bwMode="auto">
              <a:xfrm>
                <a:off x="22127469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40</xdr:row>
          <xdr:rowOff>65316</xdr:rowOff>
        </xdr:from>
        <xdr:to>
          <xdr:col>39</xdr:col>
          <xdr:colOff>768433</xdr:colOff>
          <xdr:row>41</xdr:row>
          <xdr:rowOff>2</xdr:rowOff>
        </xdr:to>
        <xdr:grpSp>
          <xdr:nvGrpSpPr>
            <xdr:cNvPr id="1301" name="그룹 1300">
              <a:extLs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GrpSpPr/>
          </xdr:nvGrpSpPr>
          <xdr:grpSpPr>
            <a:xfrm>
              <a:off x="24593249" y="12511316"/>
              <a:ext cx="626917" cy="154819"/>
              <a:chOff x="21808043" y="18909312"/>
              <a:chExt cx="626917" cy="167640"/>
            </a:xfrm>
          </xdr:grpSpPr>
          <xdr:sp macro="" textlink="">
            <xdr:nvSpPr>
              <xdr:cNvPr id="13269" name="Button 2005" hidden="1">
                <a:extLst>
                  <a:ext uri="{63B3BB69-23CF-44E3-9099-C40C66FF867C}">
                    <a14:compatExt spid="_x0000_s13269"/>
                  </a:ext>
                  <a:ext uri="{FF2B5EF4-FFF2-40B4-BE49-F238E27FC236}">
                    <a16:creationId xmlns:a16="http://schemas.microsoft.com/office/drawing/2014/main" id="{00000000-0008-0000-0000-0000D5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70" name="Button 2006" hidden="1">
                <a:extLst>
                  <a:ext uri="{63B3BB69-23CF-44E3-9099-C40C66FF867C}">
                    <a14:compatExt spid="_x0000_s13270"/>
                  </a:ext>
                  <a:ext uri="{FF2B5EF4-FFF2-40B4-BE49-F238E27FC236}">
                    <a16:creationId xmlns:a16="http://schemas.microsoft.com/office/drawing/2014/main" id="{00000000-0008-0000-0000-0000D6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41</xdr:row>
          <xdr:rowOff>65316</xdr:rowOff>
        </xdr:from>
        <xdr:to>
          <xdr:col>39</xdr:col>
          <xdr:colOff>768433</xdr:colOff>
          <xdr:row>41</xdr:row>
          <xdr:rowOff>232956</xdr:rowOff>
        </xdr:to>
        <xdr:grpSp>
          <xdr:nvGrpSpPr>
            <xdr:cNvPr id="1304" name="그룹 1303">
              <a:extLs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GrpSpPr/>
          </xdr:nvGrpSpPr>
          <xdr:grpSpPr>
            <a:xfrm>
              <a:off x="24593249" y="127314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71" name="Button 2007" hidden="1">
                <a:extLst>
                  <a:ext uri="{63B3BB69-23CF-44E3-9099-C40C66FF867C}">
                    <a14:compatExt spid="_x0000_s13271"/>
                  </a:ext>
                  <a:ext uri="{FF2B5EF4-FFF2-40B4-BE49-F238E27FC236}">
                    <a16:creationId xmlns:a16="http://schemas.microsoft.com/office/drawing/2014/main" id="{00000000-0008-0000-0000-0000D7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72" name="Button 2008" hidden="1">
                <a:extLst>
                  <a:ext uri="{63B3BB69-23CF-44E3-9099-C40C66FF867C}">
                    <a14:compatExt spid="_x0000_s13272"/>
                  </a:ext>
                  <a:ext uri="{FF2B5EF4-FFF2-40B4-BE49-F238E27FC236}">
                    <a16:creationId xmlns:a16="http://schemas.microsoft.com/office/drawing/2014/main" id="{00000000-0008-0000-0000-0000D8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42</xdr:row>
          <xdr:rowOff>65316</xdr:rowOff>
        </xdr:from>
        <xdr:to>
          <xdr:col>39</xdr:col>
          <xdr:colOff>768433</xdr:colOff>
          <xdr:row>43</xdr:row>
          <xdr:rowOff>1</xdr:rowOff>
        </xdr:to>
        <xdr:grpSp>
          <xdr:nvGrpSpPr>
            <xdr:cNvPr id="1310" name="그룹 1309">
              <a:extLst>
                <a:ext uri="{FF2B5EF4-FFF2-40B4-BE49-F238E27FC236}">
                  <a16:creationId xmlns:a16="http://schemas.microsoft.com/office/drawing/2014/main" id="{00000000-0008-0000-0000-00001E050000}"/>
                </a:ext>
              </a:extLst>
            </xdr:cNvPr>
            <xdr:cNvGrpSpPr/>
          </xdr:nvGrpSpPr>
          <xdr:grpSpPr>
            <a:xfrm>
              <a:off x="24593249" y="13036249"/>
              <a:ext cx="626917" cy="154819"/>
              <a:chOff x="19397629" y="0"/>
              <a:chExt cx="3037122" cy="0"/>
            </a:xfrm>
          </xdr:grpSpPr>
          <xdr:sp macro="" textlink="">
            <xdr:nvSpPr>
              <xdr:cNvPr id="13275" name="Button 2011" hidden="1">
                <a:extLst>
                  <a:ext uri="{63B3BB69-23CF-44E3-9099-C40C66FF867C}">
                    <a14:compatExt spid="_x0000_s13275"/>
                  </a:ext>
                  <a:ext uri="{FF2B5EF4-FFF2-40B4-BE49-F238E27FC236}">
                    <a16:creationId xmlns:a16="http://schemas.microsoft.com/office/drawing/2014/main" id="{00000000-0008-0000-0000-0000DB330000}"/>
                  </a:ext>
                </a:extLst>
              </xdr:cNvPr>
              <xdr:cNvSpPr/>
            </xdr:nvSpPr>
            <xdr:spPr bwMode="auto">
              <a:xfrm>
                <a:off x="19397629" y="0"/>
                <a:ext cx="26925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76" name="Button 2012" hidden="1">
                <a:extLst>
                  <a:ext uri="{63B3BB69-23CF-44E3-9099-C40C66FF867C}">
                    <a14:compatExt spid="_x0000_s13276"/>
                  </a:ext>
                  <a:ext uri="{FF2B5EF4-FFF2-40B4-BE49-F238E27FC236}">
                    <a16:creationId xmlns:a16="http://schemas.microsoft.com/office/drawing/2014/main" id="{00000000-0008-0000-0000-0000DC330000}"/>
                  </a:ext>
                </a:extLst>
              </xdr:cNvPr>
              <xdr:cNvSpPr/>
            </xdr:nvSpPr>
            <xdr:spPr bwMode="auto">
              <a:xfrm>
                <a:off x="22127469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43</xdr:row>
          <xdr:rowOff>65316</xdr:rowOff>
        </xdr:from>
        <xdr:to>
          <xdr:col>39</xdr:col>
          <xdr:colOff>768433</xdr:colOff>
          <xdr:row>44</xdr:row>
          <xdr:rowOff>1091</xdr:rowOff>
        </xdr:to>
        <xdr:grpSp>
          <xdr:nvGrpSpPr>
            <xdr:cNvPr id="1313" name="그룹 1312">
              <a:extLst>
                <a:ext uri="{FF2B5EF4-FFF2-40B4-BE49-F238E27FC236}">
                  <a16:creationId xmlns:a16="http://schemas.microsoft.com/office/drawing/2014/main" id="{00000000-0008-0000-0000-000021050000}"/>
                </a:ext>
              </a:extLst>
            </xdr:cNvPr>
            <xdr:cNvGrpSpPr/>
          </xdr:nvGrpSpPr>
          <xdr:grpSpPr>
            <a:xfrm>
              <a:off x="24593249" y="13256383"/>
              <a:ext cx="626917" cy="122041"/>
              <a:chOff x="19397629" y="0"/>
              <a:chExt cx="3037122" cy="0"/>
            </a:xfrm>
          </xdr:grpSpPr>
          <xdr:sp macro="" textlink="">
            <xdr:nvSpPr>
              <xdr:cNvPr id="13277" name="Button 2013" hidden="1">
                <a:extLst>
                  <a:ext uri="{63B3BB69-23CF-44E3-9099-C40C66FF867C}">
                    <a14:compatExt spid="_x0000_s13277"/>
                  </a:ext>
                  <a:ext uri="{FF2B5EF4-FFF2-40B4-BE49-F238E27FC236}">
                    <a16:creationId xmlns:a16="http://schemas.microsoft.com/office/drawing/2014/main" id="{00000000-0008-0000-0000-0000DD330000}"/>
                  </a:ext>
                </a:extLst>
              </xdr:cNvPr>
              <xdr:cNvSpPr/>
            </xdr:nvSpPr>
            <xdr:spPr bwMode="auto">
              <a:xfrm>
                <a:off x="19397629" y="0"/>
                <a:ext cx="26925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78" name="Button 2014" hidden="1">
                <a:extLst>
                  <a:ext uri="{63B3BB69-23CF-44E3-9099-C40C66FF867C}">
                    <a14:compatExt spid="_x0000_s13278"/>
                  </a:ext>
                  <a:ext uri="{FF2B5EF4-FFF2-40B4-BE49-F238E27FC236}">
                    <a16:creationId xmlns:a16="http://schemas.microsoft.com/office/drawing/2014/main" id="{00000000-0008-0000-0000-0000DE330000}"/>
                  </a:ext>
                </a:extLst>
              </xdr:cNvPr>
              <xdr:cNvSpPr/>
            </xdr:nvSpPr>
            <xdr:spPr bwMode="auto">
              <a:xfrm>
                <a:off x="22127469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44</xdr:row>
          <xdr:rowOff>65316</xdr:rowOff>
        </xdr:from>
        <xdr:to>
          <xdr:col>39</xdr:col>
          <xdr:colOff>768433</xdr:colOff>
          <xdr:row>45</xdr:row>
          <xdr:rowOff>1090</xdr:rowOff>
        </xdr:to>
        <xdr:grpSp>
          <xdr:nvGrpSpPr>
            <xdr:cNvPr id="1316" name="그룹 1315">
              <a:extLst>
                <a:ext uri="{FF2B5EF4-FFF2-40B4-BE49-F238E27FC236}">
                  <a16:creationId xmlns:a16="http://schemas.microsoft.com/office/drawing/2014/main" id="{00000000-0008-0000-0000-000024050000}"/>
                </a:ext>
              </a:extLst>
            </xdr:cNvPr>
            <xdr:cNvGrpSpPr/>
          </xdr:nvGrpSpPr>
          <xdr:grpSpPr>
            <a:xfrm>
              <a:off x="24593249" y="13442649"/>
              <a:ext cx="626917" cy="122041"/>
              <a:chOff x="19397629" y="0"/>
              <a:chExt cx="3037122" cy="0"/>
            </a:xfrm>
          </xdr:grpSpPr>
          <xdr:sp macro="" textlink="">
            <xdr:nvSpPr>
              <xdr:cNvPr id="13279" name="Button 2015" hidden="1">
                <a:extLst>
                  <a:ext uri="{63B3BB69-23CF-44E3-9099-C40C66FF867C}">
                    <a14:compatExt spid="_x0000_s13279"/>
                  </a:ext>
                  <a:ext uri="{FF2B5EF4-FFF2-40B4-BE49-F238E27FC236}">
                    <a16:creationId xmlns:a16="http://schemas.microsoft.com/office/drawing/2014/main" id="{00000000-0008-0000-0000-0000DF330000}"/>
                  </a:ext>
                </a:extLst>
              </xdr:cNvPr>
              <xdr:cNvSpPr/>
            </xdr:nvSpPr>
            <xdr:spPr bwMode="auto">
              <a:xfrm>
                <a:off x="19397629" y="0"/>
                <a:ext cx="26925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80" name="Button 2016" hidden="1">
                <a:extLst>
                  <a:ext uri="{63B3BB69-23CF-44E3-9099-C40C66FF867C}">
                    <a14:compatExt spid="_x0000_s13280"/>
                  </a:ext>
                  <a:ext uri="{FF2B5EF4-FFF2-40B4-BE49-F238E27FC236}">
                    <a16:creationId xmlns:a16="http://schemas.microsoft.com/office/drawing/2014/main" id="{00000000-0008-0000-0000-0000E0330000}"/>
                  </a:ext>
                </a:extLst>
              </xdr:cNvPr>
              <xdr:cNvSpPr/>
            </xdr:nvSpPr>
            <xdr:spPr bwMode="auto">
              <a:xfrm>
                <a:off x="22127469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45</xdr:row>
          <xdr:rowOff>65316</xdr:rowOff>
        </xdr:from>
        <xdr:to>
          <xdr:col>39</xdr:col>
          <xdr:colOff>768433</xdr:colOff>
          <xdr:row>46</xdr:row>
          <xdr:rowOff>1090</xdr:rowOff>
        </xdr:to>
        <xdr:grpSp>
          <xdr:nvGrpSpPr>
            <xdr:cNvPr id="1319" name="그룹 1318">
              <a:extLst>
                <a:ext uri="{FF2B5EF4-FFF2-40B4-BE49-F238E27FC236}">
                  <a16:creationId xmlns:a16="http://schemas.microsoft.com/office/drawing/2014/main" id="{00000000-0008-0000-0000-000027050000}"/>
                </a:ext>
              </a:extLst>
            </xdr:cNvPr>
            <xdr:cNvGrpSpPr/>
          </xdr:nvGrpSpPr>
          <xdr:grpSpPr>
            <a:xfrm>
              <a:off x="24593249" y="13628916"/>
              <a:ext cx="626917" cy="122041"/>
              <a:chOff x="19397629" y="0"/>
              <a:chExt cx="3037122" cy="0"/>
            </a:xfrm>
          </xdr:grpSpPr>
          <xdr:sp macro="" textlink="">
            <xdr:nvSpPr>
              <xdr:cNvPr id="13281" name="Button 2017" hidden="1">
                <a:extLst>
                  <a:ext uri="{63B3BB69-23CF-44E3-9099-C40C66FF867C}">
                    <a14:compatExt spid="_x0000_s13281"/>
                  </a:ext>
                  <a:ext uri="{FF2B5EF4-FFF2-40B4-BE49-F238E27FC236}">
                    <a16:creationId xmlns:a16="http://schemas.microsoft.com/office/drawing/2014/main" id="{00000000-0008-0000-0000-0000E1330000}"/>
                  </a:ext>
                </a:extLst>
              </xdr:cNvPr>
              <xdr:cNvSpPr/>
            </xdr:nvSpPr>
            <xdr:spPr bwMode="auto">
              <a:xfrm>
                <a:off x="19397629" y="0"/>
                <a:ext cx="26925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82" name="Button 2018" hidden="1">
                <a:extLst>
                  <a:ext uri="{63B3BB69-23CF-44E3-9099-C40C66FF867C}">
                    <a14:compatExt spid="_x0000_s13282"/>
                  </a:ext>
                  <a:ext uri="{FF2B5EF4-FFF2-40B4-BE49-F238E27FC236}">
                    <a16:creationId xmlns:a16="http://schemas.microsoft.com/office/drawing/2014/main" id="{00000000-0008-0000-0000-0000E2330000}"/>
                  </a:ext>
                </a:extLst>
              </xdr:cNvPr>
              <xdr:cNvSpPr/>
            </xdr:nvSpPr>
            <xdr:spPr bwMode="auto">
              <a:xfrm>
                <a:off x="22127469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46</xdr:row>
          <xdr:rowOff>65316</xdr:rowOff>
        </xdr:from>
        <xdr:to>
          <xdr:col>39</xdr:col>
          <xdr:colOff>768433</xdr:colOff>
          <xdr:row>47</xdr:row>
          <xdr:rowOff>1090</xdr:rowOff>
        </xdr:to>
        <xdr:grpSp>
          <xdr:nvGrpSpPr>
            <xdr:cNvPr id="1322" name="그룹 1321">
              <a:extLst>
                <a:ext uri="{FF2B5EF4-FFF2-40B4-BE49-F238E27FC236}">
                  <a16:creationId xmlns:a16="http://schemas.microsoft.com/office/drawing/2014/main" id="{00000000-0008-0000-0000-00002A050000}"/>
                </a:ext>
              </a:extLst>
            </xdr:cNvPr>
            <xdr:cNvGrpSpPr/>
          </xdr:nvGrpSpPr>
          <xdr:grpSpPr>
            <a:xfrm>
              <a:off x="24593249" y="13815183"/>
              <a:ext cx="626917" cy="122040"/>
              <a:chOff x="21808043" y="18909312"/>
              <a:chExt cx="626917" cy="167640"/>
            </a:xfrm>
          </xdr:grpSpPr>
          <xdr:sp macro="" textlink="">
            <xdr:nvSpPr>
              <xdr:cNvPr id="13283" name="Button 2019" hidden="1">
                <a:extLst>
                  <a:ext uri="{63B3BB69-23CF-44E3-9099-C40C66FF867C}">
                    <a14:compatExt spid="_x0000_s13283"/>
                  </a:ext>
                  <a:ext uri="{FF2B5EF4-FFF2-40B4-BE49-F238E27FC236}">
                    <a16:creationId xmlns:a16="http://schemas.microsoft.com/office/drawing/2014/main" id="{00000000-0008-0000-0000-0000E3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84" name="Button 2020" hidden="1">
                <a:extLst>
                  <a:ext uri="{63B3BB69-23CF-44E3-9099-C40C66FF867C}">
                    <a14:compatExt spid="_x0000_s13284"/>
                  </a:ext>
                  <a:ext uri="{FF2B5EF4-FFF2-40B4-BE49-F238E27FC236}">
                    <a16:creationId xmlns:a16="http://schemas.microsoft.com/office/drawing/2014/main" id="{00000000-0008-0000-0000-0000E4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47</xdr:row>
          <xdr:rowOff>65316</xdr:rowOff>
        </xdr:from>
        <xdr:to>
          <xdr:col>39</xdr:col>
          <xdr:colOff>768433</xdr:colOff>
          <xdr:row>47</xdr:row>
          <xdr:rowOff>232956</xdr:rowOff>
        </xdr:to>
        <xdr:grpSp>
          <xdr:nvGrpSpPr>
            <xdr:cNvPr id="1325" name="그룹 1324">
              <a:extLst>
                <a:ext uri="{FF2B5EF4-FFF2-40B4-BE49-F238E27FC236}">
                  <a16:creationId xmlns:a16="http://schemas.microsoft.com/office/drawing/2014/main" id="{00000000-0008-0000-0000-00002D050000}"/>
                </a:ext>
              </a:extLst>
            </xdr:cNvPr>
            <xdr:cNvGrpSpPr/>
          </xdr:nvGrpSpPr>
          <xdr:grpSpPr>
            <a:xfrm>
              <a:off x="24593249" y="140014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85" name="Button 2021" hidden="1">
                <a:extLst>
                  <a:ext uri="{63B3BB69-23CF-44E3-9099-C40C66FF867C}">
                    <a14:compatExt spid="_x0000_s13285"/>
                  </a:ext>
                  <a:ext uri="{FF2B5EF4-FFF2-40B4-BE49-F238E27FC236}">
                    <a16:creationId xmlns:a16="http://schemas.microsoft.com/office/drawing/2014/main" id="{00000000-0008-0000-0000-0000E5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86" name="Button 2022" hidden="1">
                <a:extLst>
                  <a:ext uri="{63B3BB69-23CF-44E3-9099-C40C66FF867C}">
                    <a14:compatExt spid="_x0000_s13286"/>
                  </a:ext>
                  <a:ext uri="{FF2B5EF4-FFF2-40B4-BE49-F238E27FC236}">
                    <a16:creationId xmlns:a16="http://schemas.microsoft.com/office/drawing/2014/main" id="{00000000-0008-0000-0000-0000E6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48</xdr:row>
          <xdr:rowOff>65316</xdr:rowOff>
        </xdr:from>
        <xdr:to>
          <xdr:col>39</xdr:col>
          <xdr:colOff>768433</xdr:colOff>
          <xdr:row>48</xdr:row>
          <xdr:rowOff>232956</xdr:rowOff>
        </xdr:to>
        <xdr:grpSp>
          <xdr:nvGrpSpPr>
            <xdr:cNvPr id="1328" name="그룹 1327">
              <a:extLst>
                <a:ext uri="{FF2B5EF4-FFF2-40B4-BE49-F238E27FC236}">
                  <a16:creationId xmlns:a16="http://schemas.microsoft.com/office/drawing/2014/main" id="{00000000-0008-0000-0000-000030050000}"/>
                </a:ext>
              </a:extLst>
            </xdr:cNvPr>
            <xdr:cNvGrpSpPr/>
          </xdr:nvGrpSpPr>
          <xdr:grpSpPr>
            <a:xfrm>
              <a:off x="24593249" y="143062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87" name="Button 2023" hidden="1">
                <a:extLst>
                  <a:ext uri="{63B3BB69-23CF-44E3-9099-C40C66FF867C}">
                    <a14:compatExt spid="_x0000_s13287"/>
                  </a:ext>
                  <a:ext uri="{FF2B5EF4-FFF2-40B4-BE49-F238E27FC236}">
                    <a16:creationId xmlns:a16="http://schemas.microsoft.com/office/drawing/2014/main" id="{00000000-0008-0000-0000-0000E7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88" name="Button 2024" hidden="1">
                <a:extLst>
                  <a:ext uri="{63B3BB69-23CF-44E3-9099-C40C66FF867C}">
                    <a14:compatExt spid="_x0000_s13288"/>
                  </a:ext>
                  <a:ext uri="{FF2B5EF4-FFF2-40B4-BE49-F238E27FC236}">
                    <a16:creationId xmlns:a16="http://schemas.microsoft.com/office/drawing/2014/main" id="{00000000-0008-0000-0000-0000E8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49</xdr:row>
          <xdr:rowOff>65316</xdr:rowOff>
        </xdr:from>
        <xdr:to>
          <xdr:col>39</xdr:col>
          <xdr:colOff>768433</xdr:colOff>
          <xdr:row>49</xdr:row>
          <xdr:rowOff>232956</xdr:rowOff>
        </xdr:to>
        <xdr:grpSp>
          <xdr:nvGrpSpPr>
            <xdr:cNvPr id="1331" name="그룹 1330">
              <a:extLst>
                <a:ext uri="{FF2B5EF4-FFF2-40B4-BE49-F238E27FC236}">
                  <a16:creationId xmlns:a16="http://schemas.microsoft.com/office/drawing/2014/main" id="{00000000-0008-0000-0000-000033050000}"/>
                </a:ext>
              </a:extLst>
            </xdr:cNvPr>
            <xdr:cNvGrpSpPr/>
          </xdr:nvGrpSpPr>
          <xdr:grpSpPr>
            <a:xfrm>
              <a:off x="24593249" y="146110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89" name="Button 2025" hidden="1">
                <a:extLst>
                  <a:ext uri="{63B3BB69-23CF-44E3-9099-C40C66FF867C}">
                    <a14:compatExt spid="_x0000_s13289"/>
                  </a:ext>
                  <a:ext uri="{FF2B5EF4-FFF2-40B4-BE49-F238E27FC236}">
                    <a16:creationId xmlns:a16="http://schemas.microsoft.com/office/drawing/2014/main" id="{00000000-0008-0000-0000-0000E9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90" name="Button 2026" hidden="1">
                <a:extLst>
                  <a:ext uri="{63B3BB69-23CF-44E3-9099-C40C66FF867C}">
                    <a14:compatExt spid="_x0000_s13290"/>
                  </a:ext>
                  <a:ext uri="{FF2B5EF4-FFF2-40B4-BE49-F238E27FC236}">
                    <a16:creationId xmlns:a16="http://schemas.microsoft.com/office/drawing/2014/main" id="{00000000-0008-0000-0000-0000EA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50</xdr:row>
          <xdr:rowOff>65316</xdr:rowOff>
        </xdr:from>
        <xdr:to>
          <xdr:col>39</xdr:col>
          <xdr:colOff>768433</xdr:colOff>
          <xdr:row>50</xdr:row>
          <xdr:rowOff>232956</xdr:rowOff>
        </xdr:to>
        <xdr:grpSp>
          <xdr:nvGrpSpPr>
            <xdr:cNvPr id="1334" name="그룹 1333">
              <a:extLst>
                <a:ext uri="{FF2B5EF4-FFF2-40B4-BE49-F238E27FC236}">
                  <a16:creationId xmlns:a16="http://schemas.microsoft.com/office/drawing/2014/main" id="{00000000-0008-0000-0000-000036050000}"/>
                </a:ext>
              </a:extLst>
            </xdr:cNvPr>
            <xdr:cNvGrpSpPr/>
          </xdr:nvGrpSpPr>
          <xdr:grpSpPr>
            <a:xfrm>
              <a:off x="24593249" y="149158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91" name="Button 2027" hidden="1">
                <a:extLst>
                  <a:ext uri="{63B3BB69-23CF-44E3-9099-C40C66FF867C}">
                    <a14:compatExt spid="_x0000_s13291"/>
                  </a:ext>
                  <a:ext uri="{FF2B5EF4-FFF2-40B4-BE49-F238E27FC236}">
                    <a16:creationId xmlns:a16="http://schemas.microsoft.com/office/drawing/2014/main" id="{00000000-0008-0000-0000-0000EB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92" name="Button 2028" hidden="1">
                <a:extLst>
                  <a:ext uri="{63B3BB69-23CF-44E3-9099-C40C66FF867C}">
                    <a14:compatExt spid="_x0000_s13292"/>
                  </a:ext>
                  <a:ext uri="{FF2B5EF4-FFF2-40B4-BE49-F238E27FC236}">
                    <a16:creationId xmlns:a16="http://schemas.microsoft.com/office/drawing/2014/main" id="{00000000-0008-0000-0000-0000EC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51</xdr:row>
          <xdr:rowOff>65316</xdr:rowOff>
        </xdr:from>
        <xdr:to>
          <xdr:col>39</xdr:col>
          <xdr:colOff>768433</xdr:colOff>
          <xdr:row>51</xdr:row>
          <xdr:rowOff>232956</xdr:rowOff>
        </xdr:to>
        <xdr:grpSp>
          <xdr:nvGrpSpPr>
            <xdr:cNvPr id="1337" name="그룹 1336">
              <a:extLs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GrpSpPr/>
          </xdr:nvGrpSpPr>
          <xdr:grpSpPr>
            <a:xfrm>
              <a:off x="24593249" y="152206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93" name="Button 2029" hidden="1">
                <a:extLst>
                  <a:ext uri="{63B3BB69-23CF-44E3-9099-C40C66FF867C}">
                    <a14:compatExt spid="_x0000_s13293"/>
                  </a:ext>
                  <a:ext uri="{FF2B5EF4-FFF2-40B4-BE49-F238E27FC236}">
                    <a16:creationId xmlns:a16="http://schemas.microsoft.com/office/drawing/2014/main" id="{00000000-0008-0000-0000-0000ED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94" name="Button 2030" hidden="1">
                <a:extLst>
                  <a:ext uri="{63B3BB69-23CF-44E3-9099-C40C66FF867C}">
                    <a14:compatExt spid="_x0000_s13294"/>
                  </a:ext>
                  <a:ext uri="{FF2B5EF4-FFF2-40B4-BE49-F238E27FC236}">
                    <a16:creationId xmlns:a16="http://schemas.microsoft.com/office/drawing/2014/main" id="{00000000-0008-0000-0000-0000EE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52</xdr:row>
          <xdr:rowOff>65316</xdr:rowOff>
        </xdr:from>
        <xdr:to>
          <xdr:col>39</xdr:col>
          <xdr:colOff>768433</xdr:colOff>
          <xdr:row>52</xdr:row>
          <xdr:rowOff>232956</xdr:rowOff>
        </xdr:to>
        <xdr:grpSp>
          <xdr:nvGrpSpPr>
            <xdr:cNvPr id="1341" name="그룹 1340">
              <a:extLst>
                <a:ext uri="{FF2B5EF4-FFF2-40B4-BE49-F238E27FC236}">
                  <a16:creationId xmlns:a16="http://schemas.microsoft.com/office/drawing/2014/main" id="{00000000-0008-0000-0000-00003D050000}"/>
                </a:ext>
              </a:extLst>
            </xdr:cNvPr>
            <xdr:cNvGrpSpPr/>
          </xdr:nvGrpSpPr>
          <xdr:grpSpPr>
            <a:xfrm>
              <a:off x="24593249" y="155254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95" name="Button 2031" hidden="1">
                <a:extLst>
                  <a:ext uri="{63B3BB69-23CF-44E3-9099-C40C66FF867C}">
                    <a14:compatExt spid="_x0000_s13295"/>
                  </a:ext>
                  <a:ext uri="{FF2B5EF4-FFF2-40B4-BE49-F238E27FC236}">
                    <a16:creationId xmlns:a16="http://schemas.microsoft.com/office/drawing/2014/main" id="{00000000-0008-0000-0000-0000EF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96" name="Button 2032" hidden="1">
                <a:extLst>
                  <a:ext uri="{63B3BB69-23CF-44E3-9099-C40C66FF867C}">
                    <a14:compatExt spid="_x0000_s13296"/>
                  </a:ext>
                  <a:ext uri="{FF2B5EF4-FFF2-40B4-BE49-F238E27FC236}">
                    <a16:creationId xmlns:a16="http://schemas.microsoft.com/office/drawing/2014/main" id="{00000000-0008-0000-0000-0000F0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53</xdr:row>
          <xdr:rowOff>65316</xdr:rowOff>
        </xdr:from>
        <xdr:to>
          <xdr:col>39</xdr:col>
          <xdr:colOff>768433</xdr:colOff>
          <xdr:row>53</xdr:row>
          <xdr:rowOff>232956</xdr:rowOff>
        </xdr:to>
        <xdr:grpSp>
          <xdr:nvGrpSpPr>
            <xdr:cNvPr id="1343" name="그룹 1342">
              <a:extLs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GrpSpPr/>
          </xdr:nvGrpSpPr>
          <xdr:grpSpPr>
            <a:xfrm>
              <a:off x="24593249" y="158302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97" name="Button 2033" hidden="1">
                <a:extLst>
                  <a:ext uri="{63B3BB69-23CF-44E3-9099-C40C66FF867C}">
                    <a14:compatExt spid="_x0000_s13297"/>
                  </a:ext>
                  <a:ext uri="{FF2B5EF4-FFF2-40B4-BE49-F238E27FC236}">
                    <a16:creationId xmlns:a16="http://schemas.microsoft.com/office/drawing/2014/main" id="{00000000-0008-0000-0000-0000F1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298" name="Button 2034" hidden="1">
                <a:extLst>
                  <a:ext uri="{63B3BB69-23CF-44E3-9099-C40C66FF867C}">
                    <a14:compatExt spid="_x0000_s13298"/>
                  </a:ext>
                  <a:ext uri="{FF2B5EF4-FFF2-40B4-BE49-F238E27FC236}">
                    <a16:creationId xmlns:a16="http://schemas.microsoft.com/office/drawing/2014/main" id="{00000000-0008-0000-0000-0000F2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54</xdr:row>
          <xdr:rowOff>65316</xdr:rowOff>
        </xdr:from>
        <xdr:to>
          <xdr:col>39</xdr:col>
          <xdr:colOff>768433</xdr:colOff>
          <xdr:row>54</xdr:row>
          <xdr:rowOff>232956</xdr:rowOff>
        </xdr:to>
        <xdr:grpSp>
          <xdr:nvGrpSpPr>
            <xdr:cNvPr id="1346" name="그룹 1345">
              <a:extLst>
                <a:ext uri="{FF2B5EF4-FFF2-40B4-BE49-F238E27FC236}">
                  <a16:creationId xmlns:a16="http://schemas.microsoft.com/office/drawing/2014/main" id="{00000000-0008-0000-0000-000042050000}"/>
                </a:ext>
              </a:extLst>
            </xdr:cNvPr>
            <xdr:cNvGrpSpPr/>
          </xdr:nvGrpSpPr>
          <xdr:grpSpPr>
            <a:xfrm>
              <a:off x="24593249" y="161350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99" name="Button 2035" hidden="1">
                <a:extLst>
                  <a:ext uri="{63B3BB69-23CF-44E3-9099-C40C66FF867C}">
                    <a14:compatExt spid="_x0000_s13299"/>
                  </a:ext>
                  <a:ext uri="{FF2B5EF4-FFF2-40B4-BE49-F238E27FC236}">
                    <a16:creationId xmlns:a16="http://schemas.microsoft.com/office/drawing/2014/main" id="{00000000-0008-0000-0000-0000F3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300" name="Button 2036" hidden="1">
                <a:extLst>
                  <a:ext uri="{63B3BB69-23CF-44E3-9099-C40C66FF867C}">
                    <a14:compatExt spid="_x0000_s13300"/>
                  </a:ext>
                  <a:ext uri="{FF2B5EF4-FFF2-40B4-BE49-F238E27FC236}">
                    <a16:creationId xmlns:a16="http://schemas.microsoft.com/office/drawing/2014/main" id="{00000000-0008-0000-0000-0000F4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55</xdr:row>
          <xdr:rowOff>65316</xdr:rowOff>
        </xdr:from>
        <xdr:to>
          <xdr:col>39</xdr:col>
          <xdr:colOff>768433</xdr:colOff>
          <xdr:row>55</xdr:row>
          <xdr:rowOff>232956</xdr:rowOff>
        </xdr:to>
        <xdr:grpSp>
          <xdr:nvGrpSpPr>
            <xdr:cNvPr id="1349" name="그룹 1348">
              <a:extLst>
                <a:ext uri="{FF2B5EF4-FFF2-40B4-BE49-F238E27FC236}">
                  <a16:creationId xmlns:a16="http://schemas.microsoft.com/office/drawing/2014/main" id="{00000000-0008-0000-0000-000045050000}"/>
                </a:ext>
              </a:extLst>
            </xdr:cNvPr>
            <xdr:cNvGrpSpPr/>
          </xdr:nvGrpSpPr>
          <xdr:grpSpPr>
            <a:xfrm>
              <a:off x="24593249" y="164398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301" name="Button 2037" hidden="1">
                <a:extLst>
                  <a:ext uri="{63B3BB69-23CF-44E3-9099-C40C66FF867C}">
                    <a14:compatExt spid="_x0000_s13301"/>
                  </a:ext>
                  <a:ext uri="{FF2B5EF4-FFF2-40B4-BE49-F238E27FC236}">
                    <a16:creationId xmlns:a16="http://schemas.microsoft.com/office/drawing/2014/main" id="{00000000-0008-0000-0000-0000F5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302" name="Button 2038" hidden="1">
                <a:extLst>
                  <a:ext uri="{63B3BB69-23CF-44E3-9099-C40C66FF867C}">
                    <a14:compatExt spid="_x0000_s13302"/>
                  </a:ext>
                  <a:ext uri="{FF2B5EF4-FFF2-40B4-BE49-F238E27FC236}">
                    <a16:creationId xmlns:a16="http://schemas.microsoft.com/office/drawing/2014/main" id="{00000000-0008-0000-0000-0000F6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56</xdr:row>
          <xdr:rowOff>65316</xdr:rowOff>
        </xdr:from>
        <xdr:to>
          <xdr:col>39</xdr:col>
          <xdr:colOff>768433</xdr:colOff>
          <xdr:row>56</xdr:row>
          <xdr:rowOff>232956</xdr:rowOff>
        </xdr:to>
        <xdr:grpSp>
          <xdr:nvGrpSpPr>
            <xdr:cNvPr id="1352" name="그룹 1351">
              <a:extLst>
                <a:ext uri="{FF2B5EF4-FFF2-40B4-BE49-F238E27FC236}">
                  <a16:creationId xmlns:a16="http://schemas.microsoft.com/office/drawing/2014/main" id="{00000000-0008-0000-0000-000048050000}"/>
                </a:ext>
              </a:extLst>
            </xdr:cNvPr>
            <xdr:cNvGrpSpPr/>
          </xdr:nvGrpSpPr>
          <xdr:grpSpPr>
            <a:xfrm>
              <a:off x="24593249" y="167446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303" name="Button 2039" hidden="1">
                <a:extLst>
                  <a:ext uri="{63B3BB69-23CF-44E3-9099-C40C66FF867C}">
                    <a14:compatExt spid="_x0000_s13303"/>
                  </a:ext>
                  <a:ext uri="{FF2B5EF4-FFF2-40B4-BE49-F238E27FC236}">
                    <a16:creationId xmlns:a16="http://schemas.microsoft.com/office/drawing/2014/main" id="{00000000-0008-0000-0000-0000F7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304" name="Button 2040" hidden="1">
                <a:extLst>
                  <a:ext uri="{63B3BB69-23CF-44E3-9099-C40C66FF867C}">
                    <a14:compatExt spid="_x0000_s13304"/>
                  </a:ext>
                  <a:ext uri="{FF2B5EF4-FFF2-40B4-BE49-F238E27FC236}">
                    <a16:creationId xmlns:a16="http://schemas.microsoft.com/office/drawing/2014/main" id="{00000000-0008-0000-0000-0000F8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57</xdr:row>
          <xdr:rowOff>65316</xdr:rowOff>
        </xdr:from>
        <xdr:to>
          <xdr:col>39</xdr:col>
          <xdr:colOff>768433</xdr:colOff>
          <xdr:row>57</xdr:row>
          <xdr:rowOff>232956</xdr:rowOff>
        </xdr:to>
        <xdr:grpSp>
          <xdr:nvGrpSpPr>
            <xdr:cNvPr id="1356" name="그룹 1355">
              <a:extLst>
                <a:ext uri="{FF2B5EF4-FFF2-40B4-BE49-F238E27FC236}">
                  <a16:creationId xmlns:a16="http://schemas.microsoft.com/office/drawing/2014/main" id="{00000000-0008-0000-0000-00004C050000}"/>
                </a:ext>
              </a:extLst>
            </xdr:cNvPr>
            <xdr:cNvGrpSpPr/>
          </xdr:nvGrpSpPr>
          <xdr:grpSpPr>
            <a:xfrm>
              <a:off x="24593249" y="170494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305" name="Button 2041" hidden="1">
                <a:extLst>
                  <a:ext uri="{63B3BB69-23CF-44E3-9099-C40C66FF867C}">
                    <a14:compatExt spid="_x0000_s13305"/>
                  </a:ext>
                  <a:ext uri="{FF2B5EF4-FFF2-40B4-BE49-F238E27FC236}">
                    <a16:creationId xmlns:a16="http://schemas.microsoft.com/office/drawing/2014/main" id="{00000000-0008-0000-0000-0000F9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306" name="Button 2042" hidden="1">
                <a:extLst>
                  <a:ext uri="{63B3BB69-23CF-44E3-9099-C40C66FF867C}">
                    <a14:compatExt spid="_x0000_s13306"/>
                  </a:ext>
                  <a:ext uri="{FF2B5EF4-FFF2-40B4-BE49-F238E27FC236}">
                    <a16:creationId xmlns:a16="http://schemas.microsoft.com/office/drawing/2014/main" id="{00000000-0008-0000-0000-0000FA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58</xdr:row>
          <xdr:rowOff>65316</xdr:rowOff>
        </xdr:from>
        <xdr:to>
          <xdr:col>39</xdr:col>
          <xdr:colOff>768433</xdr:colOff>
          <xdr:row>58</xdr:row>
          <xdr:rowOff>232956</xdr:rowOff>
        </xdr:to>
        <xdr:grpSp>
          <xdr:nvGrpSpPr>
            <xdr:cNvPr id="1358" name="그룹 1357">
              <a:extLst>
                <a:ext uri="{FF2B5EF4-FFF2-40B4-BE49-F238E27FC236}">
                  <a16:creationId xmlns:a16="http://schemas.microsoft.com/office/drawing/2014/main" id="{00000000-0008-0000-0000-00004E050000}"/>
                </a:ext>
              </a:extLst>
            </xdr:cNvPr>
            <xdr:cNvGrpSpPr/>
          </xdr:nvGrpSpPr>
          <xdr:grpSpPr>
            <a:xfrm>
              <a:off x="24593249" y="173542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307" name="Button 2043" hidden="1">
                <a:extLst>
                  <a:ext uri="{63B3BB69-23CF-44E3-9099-C40C66FF867C}">
                    <a14:compatExt spid="_x0000_s13307"/>
                  </a:ext>
                  <a:ext uri="{FF2B5EF4-FFF2-40B4-BE49-F238E27FC236}">
                    <a16:creationId xmlns:a16="http://schemas.microsoft.com/office/drawing/2014/main" id="{00000000-0008-0000-0000-0000FB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308" name="Button 2044" hidden="1">
                <a:extLst>
                  <a:ext uri="{63B3BB69-23CF-44E3-9099-C40C66FF867C}">
                    <a14:compatExt spid="_x0000_s13308"/>
                  </a:ext>
                  <a:ext uri="{FF2B5EF4-FFF2-40B4-BE49-F238E27FC236}">
                    <a16:creationId xmlns:a16="http://schemas.microsoft.com/office/drawing/2014/main" id="{00000000-0008-0000-0000-0000FC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59</xdr:row>
          <xdr:rowOff>65316</xdr:rowOff>
        </xdr:from>
        <xdr:to>
          <xdr:col>39</xdr:col>
          <xdr:colOff>768433</xdr:colOff>
          <xdr:row>59</xdr:row>
          <xdr:rowOff>232956</xdr:rowOff>
        </xdr:to>
        <xdr:grpSp>
          <xdr:nvGrpSpPr>
            <xdr:cNvPr id="1361" name="그룹 1360">
              <a:extLst>
                <a:ext uri="{FF2B5EF4-FFF2-40B4-BE49-F238E27FC236}">
                  <a16:creationId xmlns:a16="http://schemas.microsoft.com/office/drawing/2014/main" id="{00000000-0008-0000-0000-000051050000}"/>
                </a:ext>
              </a:extLst>
            </xdr:cNvPr>
            <xdr:cNvGrpSpPr/>
          </xdr:nvGrpSpPr>
          <xdr:grpSpPr>
            <a:xfrm>
              <a:off x="24593249" y="176590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309" name="Button 2045" hidden="1">
                <a:extLst>
                  <a:ext uri="{63B3BB69-23CF-44E3-9099-C40C66FF867C}">
                    <a14:compatExt spid="_x0000_s13309"/>
                  </a:ext>
                  <a:ext uri="{FF2B5EF4-FFF2-40B4-BE49-F238E27FC236}">
                    <a16:creationId xmlns:a16="http://schemas.microsoft.com/office/drawing/2014/main" id="{00000000-0008-0000-0000-0000FD33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3310" name="Button 2046" hidden="1">
                <a:extLst>
                  <a:ext uri="{63B3BB69-23CF-44E3-9099-C40C66FF867C}">
                    <a14:compatExt spid="_x0000_s13310"/>
                  </a:ext>
                  <a:ext uri="{FF2B5EF4-FFF2-40B4-BE49-F238E27FC236}">
                    <a16:creationId xmlns:a16="http://schemas.microsoft.com/office/drawing/2014/main" id="{00000000-0008-0000-0000-0000FE33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64</xdr:row>
          <xdr:rowOff>65316</xdr:rowOff>
        </xdr:from>
        <xdr:to>
          <xdr:col>39</xdr:col>
          <xdr:colOff>768433</xdr:colOff>
          <xdr:row>64</xdr:row>
          <xdr:rowOff>232956</xdr:rowOff>
        </xdr:to>
        <xdr:grpSp>
          <xdr:nvGrpSpPr>
            <xdr:cNvPr id="1364" name="그룹 1363">
              <a:extLst>
                <a:ext uri="{FF2B5EF4-FFF2-40B4-BE49-F238E27FC236}">
                  <a16:creationId xmlns:a16="http://schemas.microsoft.com/office/drawing/2014/main" id="{00000000-0008-0000-0000-000054050000}"/>
                </a:ext>
              </a:extLst>
            </xdr:cNvPr>
            <xdr:cNvGrpSpPr/>
          </xdr:nvGrpSpPr>
          <xdr:grpSpPr>
            <a:xfrm>
              <a:off x="24593249" y="19183049"/>
              <a:ext cx="626917" cy="167640"/>
              <a:chOff x="18625232" y="0"/>
              <a:chExt cx="3809643" cy="167640"/>
            </a:xfrm>
          </xdr:grpSpPr>
          <xdr:sp macro="" textlink="">
            <xdr:nvSpPr>
              <xdr:cNvPr id="13311" name="Button 2047" hidden="1">
                <a:extLst>
                  <a:ext uri="{63B3BB69-23CF-44E3-9099-C40C66FF867C}">
                    <a14:compatExt spid="_x0000_s13311"/>
                  </a:ext>
                  <a:ext uri="{FF2B5EF4-FFF2-40B4-BE49-F238E27FC236}">
                    <a16:creationId xmlns:a16="http://schemas.microsoft.com/office/drawing/2014/main" id="{00000000-0008-0000-0000-0000FF330000}"/>
                  </a:ext>
                </a:extLst>
              </xdr:cNvPr>
              <xdr:cNvSpPr/>
            </xdr:nvSpPr>
            <xdr:spPr bwMode="auto">
              <a:xfrm>
                <a:off x="18625232" y="167640"/>
                <a:ext cx="269266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32" name="Button 2048" hidden="1">
                <a:extLst>
                  <a:ext uri="{63B3BB69-23CF-44E3-9099-C40C66FF867C}">
                    <a14:compatExt spid="_x0000_s18432"/>
                  </a:ext>
                  <a:ext uri="{FF2B5EF4-FFF2-40B4-BE49-F238E27FC236}">
                    <a16:creationId xmlns:a16="http://schemas.microsoft.com/office/drawing/2014/main" id="{00000000-0008-0000-0000-000000480000}"/>
                  </a:ext>
                </a:extLst>
              </xdr:cNvPr>
              <xdr:cNvSpPr/>
            </xdr:nvSpPr>
            <xdr:spPr bwMode="auto">
              <a:xfrm>
                <a:off x="22127592" y="0"/>
                <a:ext cx="30728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65</xdr:row>
          <xdr:rowOff>65316</xdr:rowOff>
        </xdr:from>
        <xdr:to>
          <xdr:col>39</xdr:col>
          <xdr:colOff>768433</xdr:colOff>
          <xdr:row>65</xdr:row>
          <xdr:rowOff>232956</xdr:rowOff>
        </xdr:to>
        <xdr:grpSp>
          <xdr:nvGrpSpPr>
            <xdr:cNvPr id="1367" name="그룹 1366">
              <a:extLst>
                <a:ext uri="{FF2B5EF4-FFF2-40B4-BE49-F238E27FC236}">
                  <a16:creationId xmlns:a16="http://schemas.microsoft.com/office/drawing/2014/main" id="{00000000-0008-0000-0000-000057050000}"/>
                </a:ext>
              </a:extLst>
            </xdr:cNvPr>
            <xdr:cNvGrpSpPr/>
          </xdr:nvGrpSpPr>
          <xdr:grpSpPr>
            <a:xfrm>
              <a:off x="24593249" y="19487849"/>
              <a:ext cx="626917" cy="167640"/>
              <a:chOff x="18625232" y="0"/>
              <a:chExt cx="3809643" cy="167640"/>
            </a:xfrm>
          </xdr:grpSpPr>
          <xdr:sp macro="" textlink="">
            <xdr:nvSpPr>
              <xdr:cNvPr id="18433" name="Button 2049" hidden="1">
                <a:extLst>
                  <a:ext uri="{63B3BB69-23CF-44E3-9099-C40C66FF867C}">
                    <a14:compatExt spid="_x0000_s18433"/>
                  </a:ext>
                  <a:ext uri="{FF2B5EF4-FFF2-40B4-BE49-F238E27FC236}">
                    <a16:creationId xmlns:a16="http://schemas.microsoft.com/office/drawing/2014/main" id="{00000000-0008-0000-0000-000001480000}"/>
                  </a:ext>
                </a:extLst>
              </xdr:cNvPr>
              <xdr:cNvSpPr/>
            </xdr:nvSpPr>
            <xdr:spPr bwMode="auto">
              <a:xfrm>
                <a:off x="18625232" y="167640"/>
                <a:ext cx="269266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34" name="Button 2050" hidden="1">
                <a:extLst>
                  <a:ext uri="{63B3BB69-23CF-44E3-9099-C40C66FF867C}">
                    <a14:compatExt spid="_x0000_s18434"/>
                  </a:ext>
                  <a:ext uri="{FF2B5EF4-FFF2-40B4-BE49-F238E27FC236}">
                    <a16:creationId xmlns:a16="http://schemas.microsoft.com/office/drawing/2014/main" id="{00000000-0008-0000-0000-000002480000}"/>
                  </a:ext>
                </a:extLst>
              </xdr:cNvPr>
              <xdr:cNvSpPr/>
            </xdr:nvSpPr>
            <xdr:spPr bwMode="auto">
              <a:xfrm>
                <a:off x="22127592" y="0"/>
                <a:ext cx="30728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66</xdr:row>
          <xdr:rowOff>65316</xdr:rowOff>
        </xdr:from>
        <xdr:to>
          <xdr:col>39</xdr:col>
          <xdr:colOff>768433</xdr:colOff>
          <xdr:row>66</xdr:row>
          <xdr:rowOff>232956</xdr:rowOff>
        </xdr:to>
        <xdr:grpSp>
          <xdr:nvGrpSpPr>
            <xdr:cNvPr id="1371" name="그룹 1370">
              <a:extLst>
                <a:ext uri="{FF2B5EF4-FFF2-40B4-BE49-F238E27FC236}">
                  <a16:creationId xmlns:a16="http://schemas.microsoft.com/office/drawing/2014/main" id="{00000000-0008-0000-0000-00005B050000}"/>
                </a:ext>
              </a:extLst>
            </xdr:cNvPr>
            <xdr:cNvGrpSpPr/>
          </xdr:nvGrpSpPr>
          <xdr:grpSpPr>
            <a:xfrm>
              <a:off x="24593249" y="19792649"/>
              <a:ext cx="626917" cy="167640"/>
              <a:chOff x="18625232" y="0"/>
              <a:chExt cx="3809643" cy="167640"/>
            </a:xfrm>
          </xdr:grpSpPr>
          <xdr:sp macro="" textlink="">
            <xdr:nvSpPr>
              <xdr:cNvPr id="18435" name="Button 2051" hidden="1">
                <a:extLst>
                  <a:ext uri="{63B3BB69-23CF-44E3-9099-C40C66FF867C}">
                    <a14:compatExt spid="_x0000_s18435"/>
                  </a:ext>
                  <a:ext uri="{FF2B5EF4-FFF2-40B4-BE49-F238E27FC236}">
                    <a16:creationId xmlns:a16="http://schemas.microsoft.com/office/drawing/2014/main" id="{00000000-0008-0000-0000-000003480000}"/>
                  </a:ext>
                </a:extLst>
              </xdr:cNvPr>
              <xdr:cNvSpPr/>
            </xdr:nvSpPr>
            <xdr:spPr bwMode="auto">
              <a:xfrm>
                <a:off x="18625232" y="167640"/>
                <a:ext cx="269266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36" name="Button 2052" hidden="1">
                <a:extLst>
                  <a:ext uri="{63B3BB69-23CF-44E3-9099-C40C66FF867C}">
                    <a14:compatExt spid="_x0000_s18436"/>
                  </a:ext>
                  <a:ext uri="{FF2B5EF4-FFF2-40B4-BE49-F238E27FC236}">
                    <a16:creationId xmlns:a16="http://schemas.microsoft.com/office/drawing/2014/main" id="{00000000-0008-0000-0000-000004480000}"/>
                  </a:ext>
                </a:extLst>
              </xdr:cNvPr>
              <xdr:cNvSpPr/>
            </xdr:nvSpPr>
            <xdr:spPr bwMode="auto">
              <a:xfrm>
                <a:off x="22127592" y="0"/>
                <a:ext cx="30728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67</xdr:row>
          <xdr:rowOff>65316</xdr:rowOff>
        </xdr:from>
        <xdr:to>
          <xdr:col>39</xdr:col>
          <xdr:colOff>768433</xdr:colOff>
          <xdr:row>67</xdr:row>
          <xdr:rowOff>232956</xdr:rowOff>
        </xdr:to>
        <xdr:grpSp>
          <xdr:nvGrpSpPr>
            <xdr:cNvPr id="1373" name="그룹 1372">
              <a:extLst>
                <a:ext uri="{FF2B5EF4-FFF2-40B4-BE49-F238E27FC236}">
                  <a16:creationId xmlns:a16="http://schemas.microsoft.com/office/drawing/2014/main" id="{00000000-0008-0000-0000-00005D050000}"/>
                </a:ext>
              </a:extLst>
            </xdr:cNvPr>
            <xdr:cNvGrpSpPr/>
          </xdr:nvGrpSpPr>
          <xdr:grpSpPr>
            <a:xfrm>
              <a:off x="24593249" y="20097449"/>
              <a:ext cx="626917" cy="167640"/>
              <a:chOff x="18625232" y="0"/>
              <a:chExt cx="3809643" cy="167640"/>
            </a:xfrm>
          </xdr:grpSpPr>
          <xdr:sp macro="" textlink="">
            <xdr:nvSpPr>
              <xdr:cNvPr id="18437" name="Button 2053" hidden="1">
                <a:extLst>
                  <a:ext uri="{63B3BB69-23CF-44E3-9099-C40C66FF867C}">
                    <a14:compatExt spid="_x0000_s18437"/>
                  </a:ext>
                  <a:ext uri="{FF2B5EF4-FFF2-40B4-BE49-F238E27FC236}">
                    <a16:creationId xmlns:a16="http://schemas.microsoft.com/office/drawing/2014/main" id="{00000000-0008-0000-0000-000005480000}"/>
                  </a:ext>
                </a:extLst>
              </xdr:cNvPr>
              <xdr:cNvSpPr/>
            </xdr:nvSpPr>
            <xdr:spPr bwMode="auto">
              <a:xfrm>
                <a:off x="18625232" y="167640"/>
                <a:ext cx="269266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38" name="Button 2054" hidden="1">
                <a:extLst>
                  <a:ext uri="{63B3BB69-23CF-44E3-9099-C40C66FF867C}">
                    <a14:compatExt spid="_x0000_s18438"/>
                  </a:ext>
                  <a:ext uri="{FF2B5EF4-FFF2-40B4-BE49-F238E27FC236}">
                    <a16:creationId xmlns:a16="http://schemas.microsoft.com/office/drawing/2014/main" id="{00000000-0008-0000-0000-000006480000}"/>
                  </a:ext>
                </a:extLst>
              </xdr:cNvPr>
              <xdr:cNvSpPr/>
            </xdr:nvSpPr>
            <xdr:spPr bwMode="auto">
              <a:xfrm>
                <a:off x="22127592" y="0"/>
                <a:ext cx="30728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68</xdr:row>
          <xdr:rowOff>65316</xdr:rowOff>
        </xdr:from>
        <xdr:to>
          <xdr:col>39</xdr:col>
          <xdr:colOff>768433</xdr:colOff>
          <xdr:row>68</xdr:row>
          <xdr:rowOff>232956</xdr:rowOff>
        </xdr:to>
        <xdr:grpSp>
          <xdr:nvGrpSpPr>
            <xdr:cNvPr id="1376" name="그룹 1375">
              <a:extLst>
                <a:ext uri="{FF2B5EF4-FFF2-40B4-BE49-F238E27FC236}">
                  <a16:creationId xmlns:a16="http://schemas.microsoft.com/office/drawing/2014/main" id="{00000000-0008-0000-0000-000060050000}"/>
                </a:ext>
              </a:extLst>
            </xdr:cNvPr>
            <xdr:cNvGrpSpPr/>
          </xdr:nvGrpSpPr>
          <xdr:grpSpPr>
            <a:xfrm>
              <a:off x="24593249" y="20402249"/>
              <a:ext cx="626917" cy="167640"/>
              <a:chOff x="18625232" y="0"/>
              <a:chExt cx="3809643" cy="167640"/>
            </a:xfrm>
          </xdr:grpSpPr>
          <xdr:sp macro="" textlink="">
            <xdr:nvSpPr>
              <xdr:cNvPr id="18439" name="Button 2055" hidden="1">
                <a:extLst>
                  <a:ext uri="{63B3BB69-23CF-44E3-9099-C40C66FF867C}">
                    <a14:compatExt spid="_x0000_s18439"/>
                  </a:ext>
                  <a:ext uri="{FF2B5EF4-FFF2-40B4-BE49-F238E27FC236}">
                    <a16:creationId xmlns:a16="http://schemas.microsoft.com/office/drawing/2014/main" id="{00000000-0008-0000-0000-000007480000}"/>
                  </a:ext>
                </a:extLst>
              </xdr:cNvPr>
              <xdr:cNvSpPr/>
            </xdr:nvSpPr>
            <xdr:spPr bwMode="auto">
              <a:xfrm>
                <a:off x="18625232" y="167640"/>
                <a:ext cx="269266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40" name="Button 2056" hidden="1">
                <a:extLst>
                  <a:ext uri="{63B3BB69-23CF-44E3-9099-C40C66FF867C}">
                    <a14:compatExt spid="_x0000_s18440"/>
                  </a:ext>
                  <a:ext uri="{FF2B5EF4-FFF2-40B4-BE49-F238E27FC236}">
                    <a16:creationId xmlns:a16="http://schemas.microsoft.com/office/drawing/2014/main" id="{00000000-0008-0000-0000-000008480000}"/>
                  </a:ext>
                </a:extLst>
              </xdr:cNvPr>
              <xdr:cNvSpPr/>
            </xdr:nvSpPr>
            <xdr:spPr bwMode="auto">
              <a:xfrm>
                <a:off x="22127592" y="0"/>
                <a:ext cx="30728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69</xdr:row>
          <xdr:rowOff>65316</xdr:rowOff>
        </xdr:from>
        <xdr:to>
          <xdr:col>39</xdr:col>
          <xdr:colOff>768433</xdr:colOff>
          <xdr:row>69</xdr:row>
          <xdr:rowOff>232956</xdr:rowOff>
        </xdr:to>
        <xdr:grpSp>
          <xdr:nvGrpSpPr>
            <xdr:cNvPr id="1379" name="그룹 1378">
              <a:extLst>
                <a:ext uri="{FF2B5EF4-FFF2-40B4-BE49-F238E27FC236}">
                  <a16:creationId xmlns:a16="http://schemas.microsoft.com/office/drawing/2014/main" id="{00000000-0008-0000-0000-000063050000}"/>
                </a:ext>
              </a:extLst>
            </xdr:cNvPr>
            <xdr:cNvGrpSpPr/>
          </xdr:nvGrpSpPr>
          <xdr:grpSpPr>
            <a:xfrm>
              <a:off x="24593249" y="20707049"/>
              <a:ext cx="626917" cy="167640"/>
              <a:chOff x="18625232" y="0"/>
              <a:chExt cx="3809643" cy="167640"/>
            </a:xfrm>
          </xdr:grpSpPr>
          <xdr:sp macro="" textlink="">
            <xdr:nvSpPr>
              <xdr:cNvPr id="18441" name="Button 2057" hidden="1">
                <a:extLst>
                  <a:ext uri="{63B3BB69-23CF-44E3-9099-C40C66FF867C}">
                    <a14:compatExt spid="_x0000_s18441"/>
                  </a:ext>
                  <a:ext uri="{FF2B5EF4-FFF2-40B4-BE49-F238E27FC236}">
                    <a16:creationId xmlns:a16="http://schemas.microsoft.com/office/drawing/2014/main" id="{00000000-0008-0000-0000-000009480000}"/>
                  </a:ext>
                </a:extLst>
              </xdr:cNvPr>
              <xdr:cNvSpPr/>
            </xdr:nvSpPr>
            <xdr:spPr bwMode="auto">
              <a:xfrm>
                <a:off x="18625232" y="167640"/>
                <a:ext cx="269266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42" name="Button 2058" hidden="1">
                <a:extLst>
                  <a:ext uri="{63B3BB69-23CF-44E3-9099-C40C66FF867C}">
                    <a14:compatExt spid="_x0000_s18442"/>
                  </a:ext>
                  <a:ext uri="{FF2B5EF4-FFF2-40B4-BE49-F238E27FC236}">
                    <a16:creationId xmlns:a16="http://schemas.microsoft.com/office/drawing/2014/main" id="{00000000-0008-0000-0000-00000A480000}"/>
                  </a:ext>
                </a:extLst>
              </xdr:cNvPr>
              <xdr:cNvSpPr/>
            </xdr:nvSpPr>
            <xdr:spPr bwMode="auto">
              <a:xfrm>
                <a:off x="22127592" y="0"/>
                <a:ext cx="30728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70</xdr:row>
          <xdr:rowOff>65316</xdr:rowOff>
        </xdr:from>
        <xdr:to>
          <xdr:col>39</xdr:col>
          <xdr:colOff>768433</xdr:colOff>
          <xdr:row>70</xdr:row>
          <xdr:rowOff>232956</xdr:rowOff>
        </xdr:to>
        <xdr:grpSp>
          <xdr:nvGrpSpPr>
            <xdr:cNvPr id="1382" name="그룹 1381">
              <a:extLst>
                <a:ext uri="{FF2B5EF4-FFF2-40B4-BE49-F238E27FC236}">
                  <a16:creationId xmlns:a16="http://schemas.microsoft.com/office/drawing/2014/main" id="{00000000-0008-0000-0000-000066050000}"/>
                </a:ext>
              </a:extLst>
            </xdr:cNvPr>
            <xdr:cNvGrpSpPr/>
          </xdr:nvGrpSpPr>
          <xdr:grpSpPr>
            <a:xfrm>
              <a:off x="24593249" y="21011849"/>
              <a:ext cx="626917" cy="167640"/>
              <a:chOff x="18625232" y="0"/>
              <a:chExt cx="3809643" cy="167640"/>
            </a:xfrm>
          </xdr:grpSpPr>
          <xdr:sp macro="" textlink="">
            <xdr:nvSpPr>
              <xdr:cNvPr id="18443" name="Button 2059" hidden="1">
                <a:extLst>
                  <a:ext uri="{63B3BB69-23CF-44E3-9099-C40C66FF867C}">
                    <a14:compatExt spid="_x0000_s18443"/>
                  </a:ext>
                  <a:ext uri="{FF2B5EF4-FFF2-40B4-BE49-F238E27FC236}">
                    <a16:creationId xmlns:a16="http://schemas.microsoft.com/office/drawing/2014/main" id="{00000000-0008-0000-0000-00000B480000}"/>
                  </a:ext>
                </a:extLst>
              </xdr:cNvPr>
              <xdr:cNvSpPr/>
            </xdr:nvSpPr>
            <xdr:spPr bwMode="auto">
              <a:xfrm>
                <a:off x="18625232" y="167640"/>
                <a:ext cx="269266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44" name="Button 2060" hidden="1">
                <a:extLst>
                  <a:ext uri="{63B3BB69-23CF-44E3-9099-C40C66FF867C}">
                    <a14:compatExt spid="_x0000_s18444"/>
                  </a:ext>
                  <a:ext uri="{FF2B5EF4-FFF2-40B4-BE49-F238E27FC236}">
                    <a16:creationId xmlns:a16="http://schemas.microsoft.com/office/drawing/2014/main" id="{00000000-0008-0000-0000-00000C480000}"/>
                  </a:ext>
                </a:extLst>
              </xdr:cNvPr>
              <xdr:cNvSpPr/>
            </xdr:nvSpPr>
            <xdr:spPr bwMode="auto">
              <a:xfrm>
                <a:off x="22127592" y="0"/>
                <a:ext cx="30728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71</xdr:row>
          <xdr:rowOff>65316</xdr:rowOff>
        </xdr:from>
        <xdr:to>
          <xdr:col>39</xdr:col>
          <xdr:colOff>768433</xdr:colOff>
          <xdr:row>71</xdr:row>
          <xdr:rowOff>232956</xdr:rowOff>
        </xdr:to>
        <xdr:grpSp>
          <xdr:nvGrpSpPr>
            <xdr:cNvPr id="1386" name="그룹 1385">
              <a:extLst>
                <a:ext uri="{FF2B5EF4-FFF2-40B4-BE49-F238E27FC236}">
                  <a16:creationId xmlns:a16="http://schemas.microsoft.com/office/drawing/2014/main" id="{00000000-0008-0000-0000-00006A050000}"/>
                </a:ext>
              </a:extLst>
            </xdr:cNvPr>
            <xdr:cNvGrpSpPr/>
          </xdr:nvGrpSpPr>
          <xdr:grpSpPr>
            <a:xfrm>
              <a:off x="24593249" y="21316649"/>
              <a:ext cx="626917" cy="167640"/>
              <a:chOff x="18625232" y="0"/>
              <a:chExt cx="3809643" cy="167640"/>
            </a:xfrm>
          </xdr:grpSpPr>
          <xdr:sp macro="" textlink="">
            <xdr:nvSpPr>
              <xdr:cNvPr id="18445" name="Button 2061" hidden="1">
                <a:extLst>
                  <a:ext uri="{63B3BB69-23CF-44E3-9099-C40C66FF867C}">
                    <a14:compatExt spid="_x0000_s18445"/>
                  </a:ext>
                  <a:ext uri="{FF2B5EF4-FFF2-40B4-BE49-F238E27FC236}">
                    <a16:creationId xmlns:a16="http://schemas.microsoft.com/office/drawing/2014/main" id="{00000000-0008-0000-0000-00000D480000}"/>
                  </a:ext>
                </a:extLst>
              </xdr:cNvPr>
              <xdr:cNvSpPr/>
            </xdr:nvSpPr>
            <xdr:spPr bwMode="auto">
              <a:xfrm>
                <a:off x="18625232" y="167640"/>
                <a:ext cx="269266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46" name="Button 2062" hidden="1">
                <a:extLst>
                  <a:ext uri="{63B3BB69-23CF-44E3-9099-C40C66FF867C}">
                    <a14:compatExt spid="_x0000_s18446"/>
                  </a:ext>
                  <a:ext uri="{FF2B5EF4-FFF2-40B4-BE49-F238E27FC236}">
                    <a16:creationId xmlns:a16="http://schemas.microsoft.com/office/drawing/2014/main" id="{00000000-0008-0000-0000-00000E480000}"/>
                  </a:ext>
                </a:extLst>
              </xdr:cNvPr>
              <xdr:cNvSpPr/>
            </xdr:nvSpPr>
            <xdr:spPr bwMode="auto">
              <a:xfrm>
                <a:off x="22127592" y="0"/>
                <a:ext cx="30728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72</xdr:row>
          <xdr:rowOff>65316</xdr:rowOff>
        </xdr:from>
        <xdr:to>
          <xdr:col>39</xdr:col>
          <xdr:colOff>768433</xdr:colOff>
          <xdr:row>72</xdr:row>
          <xdr:rowOff>232956</xdr:rowOff>
        </xdr:to>
        <xdr:grpSp>
          <xdr:nvGrpSpPr>
            <xdr:cNvPr id="1388" name="그룹 1387">
              <a:extLst>
                <a:ext uri="{FF2B5EF4-FFF2-40B4-BE49-F238E27FC236}">
                  <a16:creationId xmlns:a16="http://schemas.microsoft.com/office/drawing/2014/main" id="{00000000-0008-0000-0000-00006C050000}"/>
                </a:ext>
              </a:extLst>
            </xdr:cNvPr>
            <xdr:cNvGrpSpPr/>
          </xdr:nvGrpSpPr>
          <xdr:grpSpPr>
            <a:xfrm>
              <a:off x="24593249" y="22264916"/>
              <a:ext cx="626917" cy="167640"/>
              <a:chOff x="18625232" y="0"/>
              <a:chExt cx="3809643" cy="167640"/>
            </a:xfrm>
          </xdr:grpSpPr>
          <xdr:sp macro="" textlink="">
            <xdr:nvSpPr>
              <xdr:cNvPr id="18447" name="Button 2063" hidden="1">
                <a:extLst>
                  <a:ext uri="{63B3BB69-23CF-44E3-9099-C40C66FF867C}">
                    <a14:compatExt spid="_x0000_s18447"/>
                  </a:ext>
                  <a:ext uri="{FF2B5EF4-FFF2-40B4-BE49-F238E27FC236}">
                    <a16:creationId xmlns:a16="http://schemas.microsoft.com/office/drawing/2014/main" id="{00000000-0008-0000-0000-00000F480000}"/>
                  </a:ext>
                </a:extLst>
              </xdr:cNvPr>
              <xdr:cNvSpPr/>
            </xdr:nvSpPr>
            <xdr:spPr bwMode="auto">
              <a:xfrm>
                <a:off x="18625232" y="167640"/>
                <a:ext cx="269266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48" name="Button 2064" hidden="1">
                <a:extLst>
                  <a:ext uri="{63B3BB69-23CF-44E3-9099-C40C66FF867C}">
                    <a14:compatExt spid="_x0000_s18448"/>
                  </a:ext>
                  <a:ext uri="{FF2B5EF4-FFF2-40B4-BE49-F238E27FC236}">
                    <a16:creationId xmlns:a16="http://schemas.microsoft.com/office/drawing/2014/main" id="{00000000-0008-0000-0000-000010480000}"/>
                  </a:ext>
                </a:extLst>
              </xdr:cNvPr>
              <xdr:cNvSpPr/>
            </xdr:nvSpPr>
            <xdr:spPr bwMode="auto">
              <a:xfrm>
                <a:off x="22127592" y="0"/>
                <a:ext cx="30728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73</xdr:row>
          <xdr:rowOff>65316</xdr:rowOff>
        </xdr:from>
        <xdr:to>
          <xdr:col>39</xdr:col>
          <xdr:colOff>768433</xdr:colOff>
          <xdr:row>73</xdr:row>
          <xdr:rowOff>232956</xdr:rowOff>
        </xdr:to>
        <xdr:grpSp>
          <xdr:nvGrpSpPr>
            <xdr:cNvPr id="1391" name="그룹 1390">
              <a:extLst>
                <a:ext uri="{FF2B5EF4-FFF2-40B4-BE49-F238E27FC236}">
                  <a16:creationId xmlns:a16="http://schemas.microsoft.com/office/drawing/2014/main" id="{00000000-0008-0000-0000-00006F050000}"/>
                </a:ext>
              </a:extLst>
            </xdr:cNvPr>
            <xdr:cNvGrpSpPr/>
          </xdr:nvGrpSpPr>
          <xdr:grpSpPr>
            <a:xfrm>
              <a:off x="24593249" y="22569716"/>
              <a:ext cx="626917" cy="167640"/>
              <a:chOff x="18625232" y="0"/>
              <a:chExt cx="3809643" cy="167640"/>
            </a:xfrm>
          </xdr:grpSpPr>
          <xdr:sp macro="" textlink="">
            <xdr:nvSpPr>
              <xdr:cNvPr id="18449" name="Button 2065" hidden="1">
                <a:extLst>
                  <a:ext uri="{63B3BB69-23CF-44E3-9099-C40C66FF867C}">
                    <a14:compatExt spid="_x0000_s18449"/>
                  </a:ext>
                  <a:ext uri="{FF2B5EF4-FFF2-40B4-BE49-F238E27FC236}">
                    <a16:creationId xmlns:a16="http://schemas.microsoft.com/office/drawing/2014/main" id="{00000000-0008-0000-0000-000011480000}"/>
                  </a:ext>
                </a:extLst>
              </xdr:cNvPr>
              <xdr:cNvSpPr/>
            </xdr:nvSpPr>
            <xdr:spPr bwMode="auto">
              <a:xfrm>
                <a:off x="18625232" y="167640"/>
                <a:ext cx="269266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50" name="Button 2066" hidden="1">
                <a:extLst>
                  <a:ext uri="{63B3BB69-23CF-44E3-9099-C40C66FF867C}">
                    <a14:compatExt spid="_x0000_s18450"/>
                  </a:ext>
                  <a:ext uri="{FF2B5EF4-FFF2-40B4-BE49-F238E27FC236}">
                    <a16:creationId xmlns:a16="http://schemas.microsoft.com/office/drawing/2014/main" id="{00000000-0008-0000-0000-000012480000}"/>
                  </a:ext>
                </a:extLst>
              </xdr:cNvPr>
              <xdr:cNvSpPr/>
            </xdr:nvSpPr>
            <xdr:spPr bwMode="auto">
              <a:xfrm>
                <a:off x="22127592" y="0"/>
                <a:ext cx="30728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74</xdr:row>
          <xdr:rowOff>65316</xdr:rowOff>
        </xdr:from>
        <xdr:to>
          <xdr:col>39</xdr:col>
          <xdr:colOff>768433</xdr:colOff>
          <xdr:row>74</xdr:row>
          <xdr:rowOff>232956</xdr:rowOff>
        </xdr:to>
        <xdr:grpSp>
          <xdr:nvGrpSpPr>
            <xdr:cNvPr id="1394" name="그룹 1393">
              <a:extLst>
                <a:ext uri="{FF2B5EF4-FFF2-40B4-BE49-F238E27FC236}">
                  <a16:creationId xmlns:a16="http://schemas.microsoft.com/office/drawing/2014/main" id="{00000000-0008-0000-0000-000072050000}"/>
                </a:ext>
              </a:extLst>
            </xdr:cNvPr>
            <xdr:cNvGrpSpPr/>
          </xdr:nvGrpSpPr>
          <xdr:grpSpPr>
            <a:xfrm>
              <a:off x="24593249" y="23348649"/>
              <a:ext cx="626917" cy="167640"/>
              <a:chOff x="21096322" y="0"/>
              <a:chExt cx="1338713" cy="0"/>
            </a:xfrm>
          </xdr:grpSpPr>
          <xdr:sp macro="" textlink="">
            <xdr:nvSpPr>
              <xdr:cNvPr id="18451" name="Button 2067" hidden="1">
                <a:extLst>
                  <a:ext uri="{63B3BB69-23CF-44E3-9099-C40C66FF867C}">
                    <a14:compatExt spid="_x0000_s18451"/>
                  </a:ext>
                  <a:ext uri="{FF2B5EF4-FFF2-40B4-BE49-F238E27FC236}">
                    <a16:creationId xmlns:a16="http://schemas.microsoft.com/office/drawing/2014/main" id="{00000000-0008-0000-0000-000013480000}"/>
                  </a:ext>
                </a:extLst>
              </xdr:cNvPr>
              <xdr:cNvSpPr/>
            </xdr:nvSpPr>
            <xdr:spPr bwMode="auto">
              <a:xfrm>
                <a:off x="21096322" y="0"/>
                <a:ext cx="26926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52" name="Button 2068" hidden="1">
                <a:extLst>
                  <a:ext uri="{63B3BB69-23CF-44E3-9099-C40C66FF867C}">
                    <a14:compatExt spid="_x0000_s18452"/>
                  </a:ext>
                  <a:ext uri="{FF2B5EF4-FFF2-40B4-BE49-F238E27FC236}">
                    <a16:creationId xmlns:a16="http://schemas.microsoft.com/office/drawing/2014/main" id="{00000000-0008-0000-0000-000014480000}"/>
                  </a:ext>
                </a:extLst>
              </xdr:cNvPr>
              <xdr:cNvSpPr/>
            </xdr:nvSpPr>
            <xdr:spPr bwMode="auto">
              <a:xfrm>
                <a:off x="22127754" y="0"/>
                <a:ext cx="30728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76</xdr:row>
          <xdr:rowOff>65316</xdr:rowOff>
        </xdr:from>
        <xdr:to>
          <xdr:col>39</xdr:col>
          <xdr:colOff>768433</xdr:colOff>
          <xdr:row>76</xdr:row>
          <xdr:rowOff>232956</xdr:rowOff>
        </xdr:to>
        <xdr:grpSp>
          <xdr:nvGrpSpPr>
            <xdr:cNvPr id="1397" name="그룹 1396">
              <a:extLst>
                <a:ext uri="{FF2B5EF4-FFF2-40B4-BE49-F238E27FC236}">
                  <a16:creationId xmlns:a16="http://schemas.microsoft.com/office/drawing/2014/main" id="{00000000-0008-0000-0000-000075050000}"/>
                </a:ext>
              </a:extLst>
            </xdr:cNvPr>
            <xdr:cNvGrpSpPr/>
          </xdr:nvGrpSpPr>
          <xdr:grpSpPr>
            <a:xfrm>
              <a:off x="24593249" y="23958249"/>
              <a:ext cx="626917" cy="167640"/>
              <a:chOff x="21096322" y="0"/>
              <a:chExt cx="1338713" cy="0"/>
            </a:xfrm>
          </xdr:grpSpPr>
          <xdr:sp macro="" textlink="">
            <xdr:nvSpPr>
              <xdr:cNvPr id="18453" name="Button 2069" hidden="1">
                <a:extLst>
                  <a:ext uri="{63B3BB69-23CF-44E3-9099-C40C66FF867C}">
                    <a14:compatExt spid="_x0000_s18453"/>
                  </a:ext>
                  <a:ext uri="{FF2B5EF4-FFF2-40B4-BE49-F238E27FC236}">
                    <a16:creationId xmlns:a16="http://schemas.microsoft.com/office/drawing/2014/main" id="{00000000-0008-0000-0000-000015480000}"/>
                  </a:ext>
                </a:extLst>
              </xdr:cNvPr>
              <xdr:cNvSpPr/>
            </xdr:nvSpPr>
            <xdr:spPr bwMode="auto">
              <a:xfrm>
                <a:off x="21096322" y="0"/>
                <a:ext cx="26926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54" name="Button 2070" hidden="1">
                <a:extLst>
                  <a:ext uri="{63B3BB69-23CF-44E3-9099-C40C66FF867C}">
                    <a14:compatExt spid="_x0000_s18454"/>
                  </a:ext>
                  <a:ext uri="{FF2B5EF4-FFF2-40B4-BE49-F238E27FC236}">
                    <a16:creationId xmlns:a16="http://schemas.microsoft.com/office/drawing/2014/main" id="{00000000-0008-0000-0000-000016480000}"/>
                  </a:ext>
                </a:extLst>
              </xdr:cNvPr>
              <xdr:cNvSpPr/>
            </xdr:nvSpPr>
            <xdr:spPr bwMode="auto">
              <a:xfrm>
                <a:off x="22127754" y="0"/>
                <a:ext cx="30728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77</xdr:row>
          <xdr:rowOff>65316</xdr:rowOff>
        </xdr:from>
        <xdr:to>
          <xdr:col>39</xdr:col>
          <xdr:colOff>768433</xdr:colOff>
          <xdr:row>77</xdr:row>
          <xdr:rowOff>232956</xdr:rowOff>
        </xdr:to>
        <xdr:grpSp>
          <xdr:nvGrpSpPr>
            <xdr:cNvPr id="1401" name="그룹 1400">
              <a:extLst>
                <a:ext uri="{FF2B5EF4-FFF2-40B4-BE49-F238E27FC236}">
                  <a16:creationId xmlns:a16="http://schemas.microsoft.com/office/drawing/2014/main" id="{00000000-0008-0000-0000-000079050000}"/>
                </a:ext>
              </a:extLst>
            </xdr:cNvPr>
            <xdr:cNvGrpSpPr/>
          </xdr:nvGrpSpPr>
          <xdr:grpSpPr>
            <a:xfrm>
              <a:off x="24593249" y="24263049"/>
              <a:ext cx="626917" cy="167640"/>
              <a:chOff x="21096322" y="0"/>
              <a:chExt cx="1338713" cy="0"/>
            </a:xfrm>
          </xdr:grpSpPr>
          <xdr:sp macro="" textlink="">
            <xdr:nvSpPr>
              <xdr:cNvPr id="18455" name="Button 2071" hidden="1">
                <a:extLst>
                  <a:ext uri="{63B3BB69-23CF-44E3-9099-C40C66FF867C}">
                    <a14:compatExt spid="_x0000_s18455"/>
                  </a:ext>
                  <a:ext uri="{FF2B5EF4-FFF2-40B4-BE49-F238E27FC236}">
                    <a16:creationId xmlns:a16="http://schemas.microsoft.com/office/drawing/2014/main" id="{00000000-0008-0000-0000-000017480000}"/>
                  </a:ext>
                </a:extLst>
              </xdr:cNvPr>
              <xdr:cNvSpPr/>
            </xdr:nvSpPr>
            <xdr:spPr bwMode="auto">
              <a:xfrm>
                <a:off x="21096322" y="0"/>
                <a:ext cx="26926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56" name="Button 2072" hidden="1">
                <a:extLst>
                  <a:ext uri="{63B3BB69-23CF-44E3-9099-C40C66FF867C}">
                    <a14:compatExt spid="_x0000_s18456"/>
                  </a:ext>
                  <a:ext uri="{FF2B5EF4-FFF2-40B4-BE49-F238E27FC236}">
                    <a16:creationId xmlns:a16="http://schemas.microsoft.com/office/drawing/2014/main" id="{00000000-0008-0000-0000-000018480000}"/>
                  </a:ext>
                </a:extLst>
              </xdr:cNvPr>
              <xdr:cNvSpPr/>
            </xdr:nvSpPr>
            <xdr:spPr bwMode="auto">
              <a:xfrm>
                <a:off x="22127754" y="0"/>
                <a:ext cx="30728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78</xdr:row>
          <xdr:rowOff>65316</xdr:rowOff>
        </xdr:from>
        <xdr:to>
          <xdr:col>39</xdr:col>
          <xdr:colOff>768433</xdr:colOff>
          <xdr:row>78</xdr:row>
          <xdr:rowOff>232956</xdr:rowOff>
        </xdr:to>
        <xdr:grpSp>
          <xdr:nvGrpSpPr>
            <xdr:cNvPr id="1403" name="그룹 1402">
              <a:extLst>
                <a:ext uri="{FF2B5EF4-FFF2-40B4-BE49-F238E27FC236}">
                  <a16:creationId xmlns:a16="http://schemas.microsoft.com/office/drawing/2014/main" id="{00000000-0008-0000-0000-00007B050000}"/>
                </a:ext>
              </a:extLst>
            </xdr:cNvPr>
            <xdr:cNvGrpSpPr/>
          </xdr:nvGrpSpPr>
          <xdr:grpSpPr>
            <a:xfrm>
              <a:off x="24593249" y="24567849"/>
              <a:ext cx="626917" cy="167640"/>
              <a:chOff x="21096322" y="0"/>
              <a:chExt cx="1338713" cy="0"/>
            </a:xfrm>
          </xdr:grpSpPr>
          <xdr:sp macro="" textlink="">
            <xdr:nvSpPr>
              <xdr:cNvPr id="18457" name="Button 2073" hidden="1">
                <a:extLst>
                  <a:ext uri="{63B3BB69-23CF-44E3-9099-C40C66FF867C}">
                    <a14:compatExt spid="_x0000_s18457"/>
                  </a:ext>
                  <a:ext uri="{FF2B5EF4-FFF2-40B4-BE49-F238E27FC236}">
                    <a16:creationId xmlns:a16="http://schemas.microsoft.com/office/drawing/2014/main" id="{00000000-0008-0000-0000-000019480000}"/>
                  </a:ext>
                </a:extLst>
              </xdr:cNvPr>
              <xdr:cNvSpPr/>
            </xdr:nvSpPr>
            <xdr:spPr bwMode="auto">
              <a:xfrm>
                <a:off x="21096322" y="0"/>
                <a:ext cx="26926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58" name="Button 2074" hidden="1">
                <a:extLst>
                  <a:ext uri="{63B3BB69-23CF-44E3-9099-C40C66FF867C}">
                    <a14:compatExt spid="_x0000_s18458"/>
                  </a:ext>
                  <a:ext uri="{FF2B5EF4-FFF2-40B4-BE49-F238E27FC236}">
                    <a16:creationId xmlns:a16="http://schemas.microsoft.com/office/drawing/2014/main" id="{00000000-0008-0000-0000-00001A480000}"/>
                  </a:ext>
                </a:extLst>
              </xdr:cNvPr>
              <xdr:cNvSpPr/>
            </xdr:nvSpPr>
            <xdr:spPr bwMode="auto">
              <a:xfrm>
                <a:off x="22127754" y="0"/>
                <a:ext cx="30728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79</xdr:row>
          <xdr:rowOff>65316</xdr:rowOff>
        </xdr:from>
        <xdr:to>
          <xdr:col>39</xdr:col>
          <xdr:colOff>768433</xdr:colOff>
          <xdr:row>79</xdr:row>
          <xdr:rowOff>232956</xdr:rowOff>
        </xdr:to>
        <xdr:grpSp>
          <xdr:nvGrpSpPr>
            <xdr:cNvPr id="1409" name="그룹 1408">
              <a:extLst>
                <a:ext uri="{FF2B5EF4-FFF2-40B4-BE49-F238E27FC236}">
                  <a16:creationId xmlns:a16="http://schemas.microsoft.com/office/drawing/2014/main" id="{00000000-0008-0000-0000-000081050000}"/>
                </a:ext>
              </a:extLst>
            </xdr:cNvPr>
            <xdr:cNvGrpSpPr/>
          </xdr:nvGrpSpPr>
          <xdr:grpSpPr>
            <a:xfrm>
              <a:off x="24593249" y="24872649"/>
              <a:ext cx="626917" cy="167640"/>
              <a:chOff x="19397629" y="0"/>
              <a:chExt cx="3037122" cy="0"/>
            </a:xfrm>
          </xdr:grpSpPr>
          <xdr:sp macro="" textlink="">
            <xdr:nvSpPr>
              <xdr:cNvPr id="18461" name="Button 2077" hidden="1">
                <a:extLst>
                  <a:ext uri="{63B3BB69-23CF-44E3-9099-C40C66FF867C}">
                    <a14:compatExt spid="_x0000_s18461"/>
                  </a:ext>
                  <a:ext uri="{FF2B5EF4-FFF2-40B4-BE49-F238E27FC236}">
                    <a16:creationId xmlns:a16="http://schemas.microsoft.com/office/drawing/2014/main" id="{00000000-0008-0000-0000-00001D480000}"/>
                  </a:ext>
                </a:extLst>
              </xdr:cNvPr>
              <xdr:cNvSpPr/>
            </xdr:nvSpPr>
            <xdr:spPr bwMode="auto">
              <a:xfrm>
                <a:off x="19397629" y="0"/>
                <a:ext cx="26925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62" name="Button 2078" hidden="1">
                <a:extLst>
                  <a:ext uri="{63B3BB69-23CF-44E3-9099-C40C66FF867C}">
                    <a14:compatExt spid="_x0000_s18462"/>
                  </a:ext>
                  <a:ext uri="{FF2B5EF4-FFF2-40B4-BE49-F238E27FC236}">
                    <a16:creationId xmlns:a16="http://schemas.microsoft.com/office/drawing/2014/main" id="{00000000-0008-0000-0000-00001E480000}"/>
                  </a:ext>
                </a:extLst>
              </xdr:cNvPr>
              <xdr:cNvSpPr/>
            </xdr:nvSpPr>
            <xdr:spPr bwMode="auto">
              <a:xfrm>
                <a:off x="22127469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80</xdr:row>
          <xdr:rowOff>65316</xdr:rowOff>
        </xdr:from>
        <xdr:to>
          <xdr:col>39</xdr:col>
          <xdr:colOff>768433</xdr:colOff>
          <xdr:row>80</xdr:row>
          <xdr:rowOff>232956</xdr:rowOff>
        </xdr:to>
        <xdr:grpSp>
          <xdr:nvGrpSpPr>
            <xdr:cNvPr id="1412" name="그룹 1411">
              <a:extLst>
                <a:ext uri="{FF2B5EF4-FFF2-40B4-BE49-F238E27FC236}">
                  <a16:creationId xmlns:a16="http://schemas.microsoft.com/office/drawing/2014/main" id="{00000000-0008-0000-0000-000084050000}"/>
                </a:ext>
              </a:extLst>
            </xdr:cNvPr>
            <xdr:cNvGrpSpPr/>
          </xdr:nvGrpSpPr>
          <xdr:grpSpPr>
            <a:xfrm>
              <a:off x="24593249" y="25177449"/>
              <a:ext cx="626917" cy="167640"/>
              <a:chOff x="21096322" y="0"/>
              <a:chExt cx="1338713" cy="0"/>
            </a:xfrm>
          </xdr:grpSpPr>
          <xdr:sp macro="" textlink="">
            <xdr:nvSpPr>
              <xdr:cNvPr id="18463" name="Button 2079" hidden="1">
                <a:extLst>
                  <a:ext uri="{63B3BB69-23CF-44E3-9099-C40C66FF867C}">
                    <a14:compatExt spid="_x0000_s18463"/>
                  </a:ext>
                  <a:ext uri="{FF2B5EF4-FFF2-40B4-BE49-F238E27FC236}">
                    <a16:creationId xmlns:a16="http://schemas.microsoft.com/office/drawing/2014/main" id="{00000000-0008-0000-0000-00001F480000}"/>
                  </a:ext>
                </a:extLst>
              </xdr:cNvPr>
              <xdr:cNvSpPr/>
            </xdr:nvSpPr>
            <xdr:spPr bwMode="auto">
              <a:xfrm>
                <a:off x="21096322" y="0"/>
                <a:ext cx="26926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64" name="Button 2080" hidden="1">
                <a:extLst>
                  <a:ext uri="{63B3BB69-23CF-44E3-9099-C40C66FF867C}">
                    <a14:compatExt spid="_x0000_s18464"/>
                  </a:ext>
                  <a:ext uri="{FF2B5EF4-FFF2-40B4-BE49-F238E27FC236}">
                    <a16:creationId xmlns:a16="http://schemas.microsoft.com/office/drawing/2014/main" id="{00000000-0008-0000-0000-000020480000}"/>
                  </a:ext>
                </a:extLst>
              </xdr:cNvPr>
              <xdr:cNvSpPr/>
            </xdr:nvSpPr>
            <xdr:spPr bwMode="auto">
              <a:xfrm>
                <a:off x="22127754" y="0"/>
                <a:ext cx="30728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81</xdr:row>
          <xdr:rowOff>65316</xdr:rowOff>
        </xdr:from>
        <xdr:to>
          <xdr:col>39</xdr:col>
          <xdr:colOff>768433</xdr:colOff>
          <xdr:row>81</xdr:row>
          <xdr:rowOff>210096</xdr:rowOff>
        </xdr:to>
        <xdr:grpSp>
          <xdr:nvGrpSpPr>
            <xdr:cNvPr id="1415" name="그룹 1414">
              <a:extLst>
                <a:ext uri="{FF2B5EF4-FFF2-40B4-BE49-F238E27FC236}">
                  <a16:creationId xmlns:a16="http://schemas.microsoft.com/office/drawing/2014/main" id="{00000000-0008-0000-0000-000087050000}"/>
                </a:ext>
              </a:extLst>
            </xdr:cNvPr>
            <xdr:cNvGrpSpPr/>
          </xdr:nvGrpSpPr>
          <xdr:grpSpPr>
            <a:xfrm>
              <a:off x="24593249" y="25482249"/>
              <a:ext cx="626917" cy="144780"/>
              <a:chOff x="19397629" y="0"/>
              <a:chExt cx="3037122" cy="0"/>
            </a:xfrm>
          </xdr:grpSpPr>
          <xdr:sp macro="" textlink="">
            <xdr:nvSpPr>
              <xdr:cNvPr id="18465" name="Button 2081" hidden="1">
                <a:extLst>
                  <a:ext uri="{63B3BB69-23CF-44E3-9099-C40C66FF867C}">
                    <a14:compatExt spid="_x0000_s18465"/>
                  </a:ext>
                  <a:ext uri="{FF2B5EF4-FFF2-40B4-BE49-F238E27FC236}">
                    <a16:creationId xmlns:a16="http://schemas.microsoft.com/office/drawing/2014/main" id="{00000000-0008-0000-0000-000021480000}"/>
                  </a:ext>
                </a:extLst>
              </xdr:cNvPr>
              <xdr:cNvSpPr/>
            </xdr:nvSpPr>
            <xdr:spPr bwMode="auto">
              <a:xfrm>
                <a:off x="19397629" y="0"/>
                <a:ext cx="26925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66" name="Button 2082" hidden="1">
                <a:extLst>
                  <a:ext uri="{63B3BB69-23CF-44E3-9099-C40C66FF867C}">
                    <a14:compatExt spid="_x0000_s18466"/>
                  </a:ext>
                  <a:ext uri="{FF2B5EF4-FFF2-40B4-BE49-F238E27FC236}">
                    <a16:creationId xmlns:a16="http://schemas.microsoft.com/office/drawing/2014/main" id="{00000000-0008-0000-0000-000022480000}"/>
                  </a:ext>
                </a:extLst>
              </xdr:cNvPr>
              <xdr:cNvSpPr/>
            </xdr:nvSpPr>
            <xdr:spPr bwMode="auto">
              <a:xfrm>
                <a:off x="22127469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82</xdr:row>
          <xdr:rowOff>65316</xdr:rowOff>
        </xdr:from>
        <xdr:to>
          <xdr:col>39</xdr:col>
          <xdr:colOff>768433</xdr:colOff>
          <xdr:row>82</xdr:row>
          <xdr:rowOff>210096</xdr:rowOff>
        </xdr:to>
        <xdr:grpSp>
          <xdr:nvGrpSpPr>
            <xdr:cNvPr id="1418" name="그룹 1417">
              <a:extLst>
                <a:ext uri="{FF2B5EF4-FFF2-40B4-BE49-F238E27FC236}">
                  <a16:creationId xmlns:a16="http://schemas.microsoft.com/office/drawing/2014/main" id="{00000000-0008-0000-0000-00008A050000}"/>
                </a:ext>
              </a:extLst>
            </xdr:cNvPr>
            <xdr:cNvGrpSpPr/>
          </xdr:nvGrpSpPr>
          <xdr:grpSpPr>
            <a:xfrm>
              <a:off x="24593249" y="25702383"/>
              <a:ext cx="626917" cy="132080"/>
              <a:chOff x="19397629" y="0"/>
              <a:chExt cx="3037122" cy="0"/>
            </a:xfrm>
          </xdr:grpSpPr>
          <xdr:sp macro="" textlink="">
            <xdr:nvSpPr>
              <xdr:cNvPr id="18467" name="Button 2083" hidden="1">
                <a:extLst>
                  <a:ext uri="{63B3BB69-23CF-44E3-9099-C40C66FF867C}">
                    <a14:compatExt spid="_x0000_s18467"/>
                  </a:ext>
                  <a:ext uri="{FF2B5EF4-FFF2-40B4-BE49-F238E27FC236}">
                    <a16:creationId xmlns:a16="http://schemas.microsoft.com/office/drawing/2014/main" id="{00000000-0008-0000-0000-000023480000}"/>
                  </a:ext>
                </a:extLst>
              </xdr:cNvPr>
              <xdr:cNvSpPr/>
            </xdr:nvSpPr>
            <xdr:spPr bwMode="auto">
              <a:xfrm>
                <a:off x="19397629" y="0"/>
                <a:ext cx="26925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68" name="Button 2084" hidden="1">
                <a:extLst>
                  <a:ext uri="{63B3BB69-23CF-44E3-9099-C40C66FF867C}">
                    <a14:compatExt spid="_x0000_s18468"/>
                  </a:ext>
                  <a:ext uri="{FF2B5EF4-FFF2-40B4-BE49-F238E27FC236}">
                    <a16:creationId xmlns:a16="http://schemas.microsoft.com/office/drawing/2014/main" id="{00000000-0008-0000-0000-000024480000}"/>
                  </a:ext>
                </a:extLst>
              </xdr:cNvPr>
              <xdr:cNvSpPr/>
            </xdr:nvSpPr>
            <xdr:spPr bwMode="auto">
              <a:xfrm>
                <a:off x="22127469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83</xdr:row>
          <xdr:rowOff>65316</xdr:rowOff>
        </xdr:from>
        <xdr:to>
          <xdr:col>39</xdr:col>
          <xdr:colOff>768433</xdr:colOff>
          <xdr:row>83</xdr:row>
          <xdr:rowOff>232956</xdr:rowOff>
        </xdr:to>
        <xdr:grpSp>
          <xdr:nvGrpSpPr>
            <xdr:cNvPr id="1421" name="그룹 1420">
              <a:extLst>
                <a:ext uri="{FF2B5EF4-FFF2-40B4-BE49-F238E27FC236}">
                  <a16:creationId xmlns:a16="http://schemas.microsoft.com/office/drawing/2014/main" id="{00000000-0008-0000-0000-00008D050000}"/>
                </a:ext>
              </a:extLst>
            </xdr:cNvPr>
            <xdr:cNvGrpSpPr/>
          </xdr:nvGrpSpPr>
          <xdr:grpSpPr>
            <a:xfrm>
              <a:off x="24593249" y="259055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69" name="Button 2085" hidden="1">
                <a:extLst>
                  <a:ext uri="{63B3BB69-23CF-44E3-9099-C40C66FF867C}">
                    <a14:compatExt spid="_x0000_s18469"/>
                  </a:ext>
                  <a:ext uri="{FF2B5EF4-FFF2-40B4-BE49-F238E27FC236}">
                    <a16:creationId xmlns:a16="http://schemas.microsoft.com/office/drawing/2014/main" id="{00000000-0008-0000-0000-000025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70" name="Button 2086" hidden="1">
                <a:extLst>
                  <a:ext uri="{63B3BB69-23CF-44E3-9099-C40C66FF867C}">
                    <a14:compatExt spid="_x0000_s18470"/>
                  </a:ext>
                  <a:ext uri="{FF2B5EF4-FFF2-40B4-BE49-F238E27FC236}">
                    <a16:creationId xmlns:a16="http://schemas.microsoft.com/office/drawing/2014/main" id="{00000000-0008-0000-0000-000026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85</xdr:row>
          <xdr:rowOff>65316</xdr:rowOff>
        </xdr:from>
        <xdr:to>
          <xdr:col>39</xdr:col>
          <xdr:colOff>768433</xdr:colOff>
          <xdr:row>85</xdr:row>
          <xdr:rowOff>232956</xdr:rowOff>
        </xdr:to>
        <xdr:grpSp>
          <xdr:nvGrpSpPr>
            <xdr:cNvPr id="1424" name="그룹 1423">
              <a:extLst>
                <a:ext uri="{FF2B5EF4-FFF2-40B4-BE49-F238E27FC236}">
                  <a16:creationId xmlns:a16="http://schemas.microsoft.com/office/drawing/2014/main" id="{00000000-0008-0000-0000-000090050000}"/>
                </a:ext>
              </a:extLst>
            </xdr:cNvPr>
            <xdr:cNvGrpSpPr/>
          </xdr:nvGrpSpPr>
          <xdr:grpSpPr>
            <a:xfrm>
              <a:off x="24593249" y="26515183"/>
              <a:ext cx="626917" cy="167640"/>
              <a:chOff x="21096322" y="0"/>
              <a:chExt cx="1338713" cy="0"/>
            </a:xfrm>
          </xdr:grpSpPr>
          <xdr:sp macro="" textlink="">
            <xdr:nvSpPr>
              <xdr:cNvPr id="18471" name="Button 2087" hidden="1">
                <a:extLst>
                  <a:ext uri="{63B3BB69-23CF-44E3-9099-C40C66FF867C}">
                    <a14:compatExt spid="_x0000_s18471"/>
                  </a:ext>
                  <a:ext uri="{FF2B5EF4-FFF2-40B4-BE49-F238E27FC236}">
                    <a16:creationId xmlns:a16="http://schemas.microsoft.com/office/drawing/2014/main" id="{00000000-0008-0000-0000-000027480000}"/>
                  </a:ext>
                </a:extLst>
              </xdr:cNvPr>
              <xdr:cNvSpPr/>
            </xdr:nvSpPr>
            <xdr:spPr bwMode="auto">
              <a:xfrm>
                <a:off x="21096322" y="0"/>
                <a:ext cx="26926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72" name="Button 2088" hidden="1">
                <a:extLst>
                  <a:ext uri="{63B3BB69-23CF-44E3-9099-C40C66FF867C}">
                    <a14:compatExt spid="_x0000_s18472"/>
                  </a:ext>
                  <a:ext uri="{FF2B5EF4-FFF2-40B4-BE49-F238E27FC236}">
                    <a16:creationId xmlns:a16="http://schemas.microsoft.com/office/drawing/2014/main" id="{00000000-0008-0000-0000-000028480000}"/>
                  </a:ext>
                </a:extLst>
              </xdr:cNvPr>
              <xdr:cNvSpPr/>
            </xdr:nvSpPr>
            <xdr:spPr bwMode="auto">
              <a:xfrm>
                <a:off x="22127754" y="0"/>
                <a:ext cx="30728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86</xdr:row>
          <xdr:rowOff>65316</xdr:rowOff>
        </xdr:from>
        <xdr:to>
          <xdr:col>39</xdr:col>
          <xdr:colOff>768433</xdr:colOff>
          <xdr:row>86</xdr:row>
          <xdr:rowOff>232956</xdr:rowOff>
        </xdr:to>
        <xdr:grpSp>
          <xdr:nvGrpSpPr>
            <xdr:cNvPr id="1427" name="그룹 1426">
              <a:extLst>
                <a:ext uri="{FF2B5EF4-FFF2-40B4-BE49-F238E27FC236}">
                  <a16:creationId xmlns:a16="http://schemas.microsoft.com/office/drawing/2014/main" id="{00000000-0008-0000-0000-000093050000}"/>
                </a:ext>
              </a:extLst>
            </xdr:cNvPr>
            <xdr:cNvGrpSpPr/>
          </xdr:nvGrpSpPr>
          <xdr:grpSpPr>
            <a:xfrm>
              <a:off x="24593249" y="268199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73" name="Button 2089" hidden="1">
                <a:extLst>
                  <a:ext uri="{63B3BB69-23CF-44E3-9099-C40C66FF867C}">
                    <a14:compatExt spid="_x0000_s18473"/>
                  </a:ext>
                  <a:ext uri="{FF2B5EF4-FFF2-40B4-BE49-F238E27FC236}">
                    <a16:creationId xmlns:a16="http://schemas.microsoft.com/office/drawing/2014/main" id="{00000000-0008-0000-0000-000029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74" name="Button 2090" hidden="1">
                <a:extLst>
                  <a:ext uri="{63B3BB69-23CF-44E3-9099-C40C66FF867C}">
                    <a14:compatExt spid="_x0000_s18474"/>
                  </a:ext>
                  <a:ext uri="{FF2B5EF4-FFF2-40B4-BE49-F238E27FC236}">
                    <a16:creationId xmlns:a16="http://schemas.microsoft.com/office/drawing/2014/main" id="{00000000-0008-0000-0000-00002A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87</xdr:row>
          <xdr:rowOff>65316</xdr:rowOff>
        </xdr:from>
        <xdr:to>
          <xdr:col>39</xdr:col>
          <xdr:colOff>768433</xdr:colOff>
          <xdr:row>87</xdr:row>
          <xdr:rowOff>232956</xdr:rowOff>
        </xdr:to>
        <xdr:grpSp>
          <xdr:nvGrpSpPr>
            <xdr:cNvPr id="1430" name="그룹 1429">
              <a:extLst>
                <a:ext uri="{FF2B5EF4-FFF2-40B4-BE49-F238E27FC236}">
                  <a16:creationId xmlns:a16="http://schemas.microsoft.com/office/drawing/2014/main" id="{00000000-0008-0000-0000-000096050000}"/>
                </a:ext>
              </a:extLst>
            </xdr:cNvPr>
            <xdr:cNvGrpSpPr/>
          </xdr:nvGrpSpPr>
          <xdr:grpSpPr>
            <a:xfrm>
              <a:off x="24593249" y="271247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75" name="Button 2091" hidden="1">
                <a:extLst>
                  <a:ext uri="{63B3BB69-23CF-44E3-9099-C40C66FF867C}">
                    <a14:compatExt spid="_x0000_s18475"/>
                  </a:ext>
                  <a:ext uri="{FF2B5EF4-FFF2-40B4-BE49-F238E27FC236}">
                    <a16:creationId xmlns:a16="http://schemas.microsoft.com/office/drawing/2014/main" id="{00000000-0008-0000-0000-00002B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76" name="Button 2092" hidden="1">
                <a:extLst>
                  <a:ext uri="{63B3BB69-23CF-44E3-9099-C40C66FF867C}">
                    <a14:compatExt spid="_x0000_s18476"/>
                  </a:ext>
                  <a:ext uri="{FF2B5EF4-FFF2-40B4-BE49-F238E27FC236}">
                    <a16:creationId xmlns:a16="http://schemas.microsoft.com/office/drawing/2014/main" id="{00000000-0008-0000-0000-00002C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89</xdr:row>
          <xdr:rowOff>65316</xdr:rowOff>
        </xdr:from>
        <xdr:to>
          <xdr:col>39</xdr:col>
          <xdr:colOff>768433</xdr:colOff>
          <xdr:row>89</xdr:row>
          <xdr:rowOff>232956</xdr:rowOff>
        </xdr:to>
        <xdr:grpSp>
          <xdr:nvGrpSpPr>
            <xdr:cNvPr id="1433" name="그룹 1432">
              <a:extLst>
                <a:ext uri="{FF2B5EF4-FFF2-40B4-BE49-F238E27FC236}">
                  <a16:creationId xmlns:a16="http://schemas.microsoft.com/office/drawing/2014/main" id="{00000000-0008-0000-0000-000099050000}"/>
                </a:ext>
              </a:extLst>
            </xdr:cNvPr>
            <xdr:cNvGrpSpPr/>
          </xdr:nvGrpSpPr>
          <xdr:grpSpPr>
            <a:xfrm>
              <a:off x="24593249" y="277343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77" name="Button 2093" hidden="1">
                <a:extLst>
                  <a:ext uri="{63B3BB69-23CF-44E3-9099-C40C66FF867C}">
                    <a14:compatExt spid="_x0000_s18477"/>
                  </a:ext>
                  <a:ext uri="{FF2B5EF4-FFF2-40B4-BE49-F238E27FC236}">
                    <a16:creationId xmlns:a16="http://schemas.microsoft.com/office/drawing/2014/main" id="{00000000-0008-0000-0000-00002D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78" name="Button 2094" hidden="1">
                <a:extLst>
                  <a:ext uri="{63B3BB69-23CF-44E3-9099-C40C66FF867C}">
                    <a14:compatExt spid="_x0000_s18478"/>
                  </a:ext>
                  <a:ext uri="{FF2B5EF4-FFF2-40B4-BE49-F238E27FC236}">
                    <a16:creationId xmlns:a16="http://schemas.microsoft.com/office/drawing/2014/main" id="{00000000-0008-0000-0000-00002E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90</xdr:row>
          <xdr:rowOff>65316</xdr:rowOff>
        </xdr:from>
        <xdr:to>
          <xdr:col>39</xdr:col>
          <xdr:colOff>768433</xdr:colOff>
          <xdr:row>90</xdr:row>
          <xdr:rowOff>232956</xdr:rowOff>
        </xdr:to>
        <xdr:grpSp>
          <xdr:nvGrpSpPr>
            <xdr:cNvPr id="1436" name="그룹 1435">
              <a:extLst>
                <a:ext uri="{FF2B5EF4-FFF2-40B4-BE49-F238E27FC236}">
                  <a16:creationId xmlns:a16="http://schemas.microsoft.com/office/drawing/2014/main" id="{00000000-0008-0000-0000-00009C050000}"/>
                </a:ext>
              </a:extLst>
            </xdr:cNvPr>
            <xdr:cNvGrpSpPr/>
          </xdr:nvGrpSpPr>
          <xdr:grpSpPr>
            <a:xfrm>
              <a:off x="24593249" y="280391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79" name="Button 2095" hidden="1">
                <a:extLst>
                  <a:ext uri="{63B3BB69-23CF-44E3-9099-C40C66FF867C}">
                    <a14:compatExt spid="_x0000_s18479"/>
                  </a:ext>
                  <a:ext uri="{FF2B5EF4-FFF2-40B4-BE49-F238E27FC236}">
                    <a16:creationId xmlns:a16="http://schemas.microsoft.com/office/drawing/2014/main" id="{00000000-0008-0000-0000-00002F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80" name="Button 2096" hidden="1">
                <a:extLst>
                  <a:ext uri="{63B3BB69-23CF-44E3-9099-C40C66FF867C}">
                    <a14:compatExt spid="_x0000_s18480"/>
                  </a:ext>
                  <a:ext uri="{FF2B5EF4-FFF2-40B4-BE49-F238E27FC236}">
                    <a16:creationId xmlns:a16="http://schemas.microsoft.com/office/drawing/2014/main" id="{00000000-0008-0000-0000-000030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91</xdr:row>
          <xdr:rowOff>65316</xdr:rowOff>
        </xdr:from>
        <xdr:to>
          <xdr:col>39</xdr:col>
          <xdr:colOff>768433</xdr:colOff>
          <xdr:row>91</xdr:row>
          <xdr:rowOff>232956</xdr:rowOff>
        </xdr:to>
        <xdr:grpSp>
          <xdr:nvGrpSpPr>
            <xdr:cNvPr id="1439" name="그룹 1438">
              <a:extLst>
                <a:ext uri="{FF2B5EF4-FFF2-40B4-BE49-F238E27FC236}">
                  <a16:creationId xmlns:a16="http://schemas.microsoft.com/office/drawing/2014/main" id="{00000000-0008-0000-0000-00009F050000}"/>
                </a:ext>
              </a:extLst>
            </xdr:cNvPr>
            <xdr:cNvGrpSpPr/>
          </xdr:nvGrpSpPr>
          <xdr:grpSpPr>
            <a:xfrm>
              <a:off x="24593249" y="283439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81" name="Button 2097" hidden="1">
                <a:extLst>
                  <a:ext uri="{63B3BB69-23CF-44E3-9099-C40C66FF867C}">
                    <a14:compatExt spid="_x0000_s18481"/>
                  </a:ext>
                  <a:ext uri="{FF2B5EF4-FFF2-40B4-BE49-F238E27FC236}">
                    <a16:creationId xmlns:a16="http://schemas.microsoft.com/office/drawing/2014/main" id="{00000000-0008-0000-0000-000031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82" name="Button 2098" hidden="1">
                <a:extLst>
                  <a:ext uri="{63B3BB69-23CF-44E3-9099-C40C66FF867C}">
                    <a14:compatExt spid="_x0000_s18482"/>
                  </a:ext>
                  <a:ext uri="{FF2B5EF4-FFF2-40B4-BE49-F238E27FC236}">
                    <a16:creationId xmlns:a16="http://schemas.microsoft.com/office/drawing/2014/main" id="{00000000-0008-0000-0000-000032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92</xdr:row>
          <xdr:rowOff>65316</xdr:rowOff>
        </xdr:from>
        <xdr:to>
          <xdr:col>39</xdr:col>
          <xdr:colOff>768433</xdr:colOff>
          <xdr:row>92</xdr:row>
          <xdr:rowOff>232956</xdr:rowOff>
        </xdr:to>
        <xdr:grpSp>
          <xdr:nvGrpSpPr>
            <xdr:cNvPr id="1442" name="그룹 1441">
              <a:extLst>
                <a:ext uri="{FF2B5EF4-FFF2-40B4-BE49-F238E27FC236}">
                  <a16:creationId xmlns:a16="http://schemas.microsoft.com/office/drawing/2014/main" id="{00000000-0008-0000-0000-0000A2050000}"/>
                </a:ext>
              </a:extLst>
            </xdr:cNvPr>
            <xdr:cNvGrpSpPr/>
          </xdr:nvGrpSpPr>
          <xdr:grpSpPr>
            <a:xfrm>
              <a:off x="24593249" y="296986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83" name="Button 2099" hidden="1">
                <a:extLst>
                  <a:ext uri="{63B3BB69-23CF-44E3-9099-C40C66FF867C}">
                    <a14:compatExt spid="_x0000_s18483"/>
                  </a:ext>
                  <a:ext uri="{FF2B5EF4-FFF2-40B4-BE49-F238E27FC236}">
                    <a16:creationId xmlns:a16="http://schemas.microsoft.com/office/drawing/2014/main" id="{00000000-0008-0000-0000-000033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84" name="Button 2100" hidden="1">
                <a:extLst>
                  <a:ext uri="{63B3BB69-23CF-44E3-9099-C40C66FF867C}">
                    <a14:compatExt spid="_x0000_s18484"/>
                  </a:ext>
                  <a:ext uri="{FF2B5EF4-FFF2-40B4-BE49-F238E27FC236}">
                    <a16:creationId xmlns:a16="http://schemas.microsoft.com/office/drawing/2014/main" id="{00000000-0008-0000-0000-000034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93</xdr:row>
          <xdr:rowOff>65316</xdr:rowOff>
        </xdr:from>
        <xdr:to>
          <xdr:col>39</xdr:col>
          <xdr:colOff>768433</xdr:colOff>
          <xdr:row>93</xdr:row>
          <xdr:rowOff>232956</xdr:rowOff>
        </xdr:to>
        <xdr:grpSp>
          <xdr:nvGrpSpPr>
            <xdr:cNvPr id="1445" name="그룹 1444">
              <a:extLst>
                <a:ext uri="{FF2B5EF4-FFF2-40B4-BE49-F238E27FC236}">
                  <a16:creationId xmlns:a16="http://schemas.microsoft.com/office/drawing/2014/main" id="{00000000-0008-0000-0000-0000A5050000}"/>
                </a:ext>
              </a:extLst>
            </xdr:cNvPr>
            <xdr:cNvGrpSpPr/>
          </xdr:nvGrpSpPr>
          <xdr:grpSpPr>
            <a:xfrm>
              <a:off x="24593249" y="306807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85" name="Button 2101" hidden="1">
                <a:extLst>
                  <a:ext uri="{63B3BB69-23CF-44E3-9099-C40C66FF867C}">
                    <a14:compatExt spid="_x0000_s18485"/>
                  </a:ext>
                  <a:ext uri="{FF2B5EF4-FFF2-40B4-BE49-F238E27FC236}">
                    <a16:creationId xmlns:a16="http://schemas.microsoft.com/office/drawing/2014/main" id="{00000000-0008-0000-0000-000035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86" name="Button 2102" hidden="1">
                <a:extLst>
                  <a:ext uri="{63B3BB69-23CF-44E3-9099-C40C66FF867C}">
                    <a14:compatExt spid="_x0000_s18486"/>
                  </a:ext>
                  <a:ext uri="{FF2B5EF4-FFF2-40B4-BE49-F238E27FC236}">
                    <a16:creationId xmlns:a16="http://schemas.microsoft.com/office/drawing/2014/main" id="{00000000-0008-0000-0000-000036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94</xdr:row>
          <xdr:rowOff>65316</xdr:rowOff>
        </xdr:from>
        <xdr:to>
          <xdr:col>39</xdr:col>
          <xdr:colOff>768433</xdr:colOff>
          <xdr:row>94</xdr:row>
          <xdr:rowOff>232956</xdr:rowOff>
        </xdr:to>
        <xdr:grpSp>
          <xdr:nvGrpSpPr>
            <xdr:cNvPr id="1448" name="그룹 1447">
              <a:extLst>
                <a:ext uri="{FF2B5EF4-FFF2-40B4-BE49-F238E27FC236}">
                  <a16:creationId xmlns:a16="http://schemas.microsoft.com/office/drawing/2014/main" id="{00000000-0008-0000-0000-0000A8050000}"/>
                </a:ext>
              </a:extLst>
            </xdr:cNvPr>
            <xdr:cNvGrpSpPr/>
          </xdr:nvGrpSpPr>
          <xdr:grpSpPr>
            <a:xfrm>
              <a:off x="24593249" y="309855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87" name="Button 2103" hidden="1">
                <a:extLst>
                  <a:ext uri="{63B3BB69-23CF-44E3-9099-C40C66FF867C}">
                    <a14:compatExt spid="_x0000_s18487"/>
                  </a:ext>
                  <a:ext uri="{FF2B5EF4-FFF2-40B4-BE49-F238E27FC236}">
                    <a16:creationId xmlns:a16="http://schemas.microsoft.com/office/drawing/2014/main" id="{00000000-0008-0000-0000-000037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88" name="Button 2104" hidden="1">
                <a:extLst>
                  <a:ext uri="{63B3BB69-23CF-44E3-9099-C40C66FF867C}">
                    <a14:compatExt spid="_x0000_s18488"/>
                  </a:ext>
                  <a:ext uri="{FF2B5EF4-FFF2-40B4-BE49-F238E27FC236}">
                    <a16:creationId xmlns:a16="http://schemas.microsoft.com/office/drawing/2014/main" id="{00000000-0008-0000-0000-000038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95</xdr:row>
          <xdr:rowOff>65316</xdr:rowOff>
        </xdr:from>
        <xdr:to>
          <xdr:col>39</xdr:col>
          <xdr:colOff>768433</xdr:colOff>
          <xdr:row>95</xdr:row>
          <xdr:rowOff>232956</xdr:rowOff>
        </xdr:to>
        <xdr:grpSp>
          <xdr:nvGrpSpPr>
            <xdr:cNvPr id="1451" name="그룹 1450">
              <a:extLst>
                <a:ext uri="{FF2B5EF4-FFF2-40B4-BE49-F238E27FC236}">
                  <a16:creationId xmlns:a16="http://schemas.microsoft.com/office/drawing/2014/main" id="{00000000-0008-0000-0000-0000AB050000}"/>
                </a:ext>
              </a:extLst>
            </xdr:cNvPr>
            <xdr:cNvGrpSpPr/>
          </xdr:nvGrpSpPr>
          <xdr:grpSpPr>
            <a:xfrm>
              <a:off x="24593249" y="31290383"/>
              <a:ext cx="626917" cy="167640"/>
              <a:chOff x="21096322" y="0"/>
              <a:chExt cx="1338713" cy="0"/>
            </a:xfrm>
          </xdr:grpSpPr>
          <xdr:sp macro="" textlink="">
            <xdr:nvSpPr>
              <xdr:cNvPr id="18489" name="Button 2105" hidden="1">
                <a:extLst>
                  <a:ext uri="{63B3BB69-23CF-44E3-9099-C40C66FF867C}">
                    <a14:compatExt spid="_x0000_s18489"/>
                  </a:ext>
                  <a:ext uri="{FF2B5EF4-FFF2-40B4-BE49-F238E27FC236}">
                    <a16:creationId xmlns:a16="http://schemas.microsoft.com/office/drawing/2014/main" id="{00000000-0008-0000-0000-000039480000}"/>
                  </a:ext>
                </a:extLst>
              </xdr:cNvPr>
              <xdr:cNvSpPr/>
            </xdr:nvSpPr>
            <xdr:spPr bwMode="auto">
              <a:xfrm>
                <a:off x="21096322" y="0"/>
                <a:ext cx="26926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90" name="Button 2106" hidden="1">
                <a:extLst>
                  <a:ext uri="{63B3BB69-23CF-44E3-9099-C40C66FF867C}">
                    <a14:compatExt spid="_x0000_s18490"/>
                  </a:ext>
                  <a:ext uri="{FF2B5EF4-FFF2-40B4-BE49-F238E27FC236}">
                    <a16:creationId xmlns:a16="http://schemas.microsoft.com/office/drawing/2014/main" id="{00000000-0008-0000-0000-00003A480000}"/>
                  </a:ext>
                </a:extLst>
              </xdr:cNvPr>
              <xdr:cNvSpPr/>
            </xdr:nvSpPr>
            <xdr:spPr bwMode="auto">
              <a:xfrm>
                <a:off x="22127754" y="0"/>
                <a:ext cx="30728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96</xdr:row>
          <xdr:rowOff>65316</xdr:rowOff>
        </xdr:from>
        <xdr:to>
          <xdr:col>39</xdr:col>
          <xdr:colOff>768433</xdr:colOff>
          <xdr:row>96</xdr:row>
          <xdr:rowOff>232956</xdr:rowOff>
        </xdr:to>
        <xdr:grpSp>
          <xdr:nvGrpSpPr>
            <xdr:cNvPr id="1454" name="그룹 1453">
              <a:extLst>
                <a:ext uri="{FF2B5EF4-FFF2-40B4-BE49-F238E27FC236}">
                  <a16:creationId xmlns:a16="http://schemas.microsoft.com/office/drawing/2014/main" id="{00000000-0008-0000-0000-0000AE050000}"/>
                </a:ext>
              </a:extLst>
            </xdr:cNvPr>
            <xdr:cNvGrpSpPr/>
          </xdr:nvGrpSpPr>
          <xdr:grpSpPr>
            <a:xfrm>
              <a:off x="24593249" y="315951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91" name="Button 2107" hidden="1">
                <a:extLst>
                  <a:ext uri="{63B3BB69-23CF-44E3-9099-C40C66FF867C}">
                    <a14:compatExt spid="_x0000_s18491"/>
                  </a:ext>
                  <a:ext uri="{FF2B5EF4-FFF2-40B4-BE49-F238E27FC236}">
                    <a16:creationId xmlns:a16="http://schemas.microsoft.com/office/drawing/2014/main" id="{00000000-0008-0000-0000-00003B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92" name="Button 2108" hidden="1">
                <a:extLst>
                  <a:ext uri="{63B3BB69-23CF-44E3-9099-C40C66FF867C}">
                    <a14:compatExt spid="_x0000_s18492"/>
                  </a:ext>
                  <a:ext uri="{FF2B5EF4-FFF2-40B4-BE49-F238E27FC236}">
                    <a16:creationId xmlns:a16="http://schemas.microsoft.com/office/drawing/2014/main" id="{00000000-0008-0000-0000-00003C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97</xdr:row>
          <xdr:rowOff>65316</xdr:rowOff>
        </xdr:from>
        <xdr:to>
          <xdr:col>39</xdr:col>
          <xdr:colOff>768433</xdr:colOff>
          <xdr:row>97</xdr:row>
          <xdr:rowOff>232956</xdr:rowOff>
        </xdr:to>
        <xdr:grpSp>
          <xdr:nvGrpSpPr>
            <xdr:cNvPr id="1457" name="그룹 1456">
              <a:extLst>
                <a:ext uri="{FF2B5EF4-FFF2-40B4-BE49-F238E27FC236}">
                  <a16:creationId xmlns:a16="http://schemas.microsoft.com/office/drawing/2014/main" id="{00000000-0008-0000-0000-0000B1050000}"/>
                </a:ext>
              </a:extLst>
            </xdr:cNvPr>
            <xdr:cNvGrpSpPr/>
          </xdr:nvGrpSpPr>
          <xdr:grpSpPr>
            <a:xfrm>
              <a:off x="24593249" y="31899983"/>
              <a:ext cx="626917" cy="167640"/>
              <a:chOff x="21096322" y="0"/>
              <a:chExt cx="1338713" cy="0"/>
            </a:xfrm>
          </xdr:grpSpPr>
          <xdr:sp macro="" textlink="">
            <xdr:nvSpPr>
              <xdr:cNvPr id="18493" name="Button 2109" hidden="1">
                <a:extLst>
                  <a:ext uri="{63B3BB69-23CF-44E3-9099-C40C66FF867C}">
                    <a14:compatExt spid="_x0000_s18493"/>
                  </a:ext>
                  <a:ext uri="{FF2B5EF4-FFF2-40B4-BE49-F238E27FC236}">
                    <a16:creationId xmlns:a16="http://schemas.microsoft.com/office/drawing/2014/main" id="{00000000-0008-0000-0000-00003D480000}"/>
                  </a:ext>
                </a:extLst>
              </xdr:cNvPr>
              <xdr:cNvSpPr/>
            </xdr:nvSpPr>
            <xdr:spPr bwMode="auto">
              <a:xfrm>
                <a:off x="21096322" y="0"/>
                <a:ext cx="26926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94" name="Button 2110" hidden="1">
                <a:extLst>
                  <a:ext uri="{63B3BB69-23CF-44E3-9099-C40C66FF867C}">
                    <a14:compatExt spid="_x0000_s18494"/>
                  </a:ext>
                  <a:ext uri="{FF2B5EF4-FFF2-40B4-BE49-F238E27FC236}">
                    <a16:creationId xmlns:a16="http://schemas.microsoft.com/office/drawing/2014/main" id="{00000000-0008-0000-0000-00003E480000}"/>
                  </a:ext>
                </a:extLst>
              </xdr:cNvPr>
              <xdr:cNvSpPr/>
            </xdr:nvSpPr>
            <xdr:spPr bwMode="auto">
              <a:xfrm>
                <a:off x="22127754" y="0"/>
                <a:ext cx="30728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98</xdr:row>
          <xdr:rowOff>65316</xdr:rowOff>
        </xdr:from>
        <xdr:to>
          <xdr:col>39</xdr:col>
          <xdr:colOff>768433</xdr:colOff>
          <xdr:row>98</xdr:row>
          <xdr:rowOff>210096</xdr:rowOff>
        </xdr:to>
        <xdr:grpSp>
          <xdr:nvGrpSpPr>
            <xdr:cNvPr id="1460" name="그룹 1459">
              <a:extLst>
                <a:ext uri="{FF2B5EF4-FFF2-40B4-BE49-F238E27FC236}">
                  <a16:creationId xmlns:a16="http://schemas.microsoft.com/office/drawing/2014/main" id="{00000000-0008-0000-0000-0000B4050000}"/>
                </a:ext>
              </a:extLst>
            </xdr:cNvPr>
            <xdr:cNvGrpSpPr/>
          </xdr:nvGrpSpPr>
          <xdr:grpSpPr>
            <a:xfrm>
              <a:off x="24593249" y="32204783"/>
              <a:ext cx="626917" cy="144780"/>
              <a:chOff x="19397629" y="0"/>
              <a:chExt cx="3037122" cy="0"/>
            </a:xfrm>
          </xdr:grpSpPr>
          <xdr:sp macro="" textlink="">
            <xdr:nvSpPr>
              <xdr:cNvPr id="18495" name="Button 2111" hidden="1">
                <a:extLst>
                  <a:ext uri="{63B3BB69-23CF-44E3-9099-C40C66FF867C}">
                    <a14:compatExt spid="_x0000_s18495"/>
                  </a:ext>
                  <a:ext uri="{FF2B5EF4-FFF2-40B4-BE49-F238E27FC236}">
                    <a16:creationId xmlns:a16="http://schemas.microsoft.com/office/drawing/2014/main" id="{00000000-0008-0000-0000-00003F480000}"/>
                  </a:ext>
                </a:extLst>
              </xdr:cNvPr>
              <xdr:cNvSpPr/>
            </xdr:nvSpPr>
            <xdr:spPr bwMode="auto">
              <a:xfrm>
                <a:off x="19397629" y="0"/>
                <a:ext cx="26925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96" name="Button 2112" hidden="1">
                <a:extLst>
                  <a:ext uri="{63B3BB69-23CF-44E3-9099-C40C66FF867C}">
                    <a14:compatExt spid="_x0000_s18496"/>
                  </a:ext>
                  <a:ext uri="{FF2B5EF4-FFF2-40B4-BE49-F238E27FC236}">
                    <a16:creationId xmlns:a16="http://schemas.microsoft.com/office/drawing/2014/main" id="{00000000-0008-0000-0000-000040480000}"/>
                  </a:ext>
                </a:extLst>
              </xdr:cNvPr>
              <xdr:cNvSpPr/>
            </xdr:nvSpPr>
            <xdr:spPr bwMode="auto">
              <a:xfrm>
                <a:off x="22127469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99</xdr:row>
          <xdr:rowOff>65316</xdr:rowOff>
        </xdr:from>
        <xdr:to>
          <xdr:col>39</xdr:col>
          <xdr:colOff>768433</xdr:colOff>
          <xdr:row>99</xdr:row>
          <xdr:rowOff>232956</xdr:rowOff>
        </xdr:to>
        <xdr:grpSp>
          <xdr:nvGrpSpPr>
            <xdr:cNvPr id="1463" name="그룹 1462">
              <a:extLs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GrpSpPr/>
          </xdr:nvGrpSpPr>
          <xdr:grpSpPr>
            <a:xfrm>
              <a:off x="24593249" y="32424916"/>
              <a:ext cx="626917" cy="167640"/>
              <a:chOff x="21096322" y="0"/>
              <a:chExt cx="1338713" cy="0"/>
            </a:xfrm>
          </xdr:grpSpPr>
          <xdr:sp macro="" textlink="">
            <xdr:nvSpPr>
              <xdr:cNvPr id="18497" name="Button 2113" hidden="1">
                <a:extLst>
                  <a:ext uri="{63B3BB69-23CF-44E3-9099-C40C66FF867C}">
                    <a14:compatExt spid="_x0000_s18497"/>
                  </a:ext>
                  <a:ext uri="{FF2B5EF4-FFF2-40B4-BE49-F238E27FC236}">
                    <a16:creationId xmlns:a16="http://schemas.microsoft.com/office/drawing/2014/main" id="{00000000-0008-0000-0000-000041480000}"/>
                  </a:ext>
                </a:extLst>
              </xdr:cNvPr>
              <xdr:cNvSpPr/>
            </xdr:nvSpPr>
            <xdr:spPr bwMode="auto">
              <a:xfrm>
                <a:off x="21096322" y="0"/>
                <a:ext cx="26926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498" name="Button 2114" hidden="1">
                <a:extLst>
                  <a:ext uri="{63B3BB69-23CF-44E3-9099-C40C66FF867C}">
                    <a14:compatExt spid="_x0000_s18498"/>
                  </a:ext>
                  <a:ext uri="{FF2B5EF4-FFF2-40B4-BE49-F238E27FC236}">
                    <a16:creationId xmlns:a16="http://schemas.microsoft.com/office/drawing/2014/main" id="{00000000-0008-0000-0000-000042480000}"/>
                  </a:ext>
                </a:extLst>
              </xdr:cNvPr>
              <xdr:cNvSpPr/>
            </xdr:nvSpPr>
            <xdr:spPr bwMode="auto">
              <a:xfrm>
                <a:off x="22127754" y="0"/>
                <a:ext cx="30728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100</xdr:row>
          <xdr:rowOff>65316</xdr:rowOff>
        </xdr:from>
        <xdr:to>
          <xdr:col>39</xdr:col>
          <xdr:colOff>768433</xdr:colOff>
          <xdr:row>100</xdr:row>
          <xdr:rowOff>232956</xdr:rowOff>
        </xdr:to>
        <xdr:grpSp>
          <xdr:nvGrpSpPr>
            <xdr:cNvPr id="1466" name="그룹 1465">
              <a:extLst>
                <a:ext uri="{FF2B5EF4-FFF2-40B4-BE49-F238E27FC236}">
                  <a16:creationId xmlns:a16="http://schemas.microsoft.com/office/drawing/2014/main" id="{00000000-0008-0000-0000-0000BA050000}"/>
                </a:ext>
              </a:extLst>
            </xdr:cNvPr>
            <xdr:cNvGrpSpPr/>
          </xdr:nvGrpSpPr>
          <xdr:grpSpPr>
            <a:xfrm>
              <a:off x="24593249" y="32729716"/>
              <a:ext cx="626917" cy="167640"/>
              <a:chOff x="21096322" y="0"/>
              <a:chExt cx="1338713" cy="0"/>
            </a:xfrm>
          </xdr:grpSpPr>
          <xdr:sp macro="" textlink="">
            <xdr:nvSpPr>
              <xdr:cNvPr id="18499" name="Button 2115" hidden="1">
                <a:extLst>
                  <a:ext uri="{63B3BB69-23CF-44E3-9099-C40C66FF867C}">
                    <a14:compatExt spid="_x0000_s18499"/>
                  </a:ext>
                  <a:ext uri="{FF2B5EF4-FFF2-40B4-BE49-F238E27FC236}">
                    <a16:creationId xmlns:a16="http://schemas.microsoft.com/office/drawing/2014/main" id="{00000000-0008-0000-0000-000043480000}"/>
                  </a:ext>
                </a:extLst>
              </xdr:cNvPr>
              <xdr:cNvSpPr/>
            </xdr:nvSpPr>
            <xdr:spPr bwMode="auto">
              <a:xfrm>
                <a:off x="21096322" y="0"/>
                <a:ext cx="26926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00" name="Button 2116" hidden="1">
                <a:extLst>
                  <a:ext uri="{63B3BB69-23CF-44E3-9099-C40C66FF867C}">
                    <a14:compatExt spid="_x0000_s18500"/>
                  </a:ext>
                  <a:ext uri="{FF2B5EF4-FFF2-40B4-BE49-F238E27FC236}">
                    <a16:creationId xmlns:a16="http://schemas.microsoft.com/office/drawing/2014/main" id="{00000000-0008-0000-0000-000044480000}"/>
                  </a:ext>
                </a:extLst>
              </xdr:cNvPr>
              <xdr:cNvSpPr/>
            </xdr:nvSpPr>
            <xdr:spPr bwMode="auto">
              <a:xfrm>
                <a:off x="22127754" y="0"/>
                <a:ext cx="30728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101</xdr:row>
          <xdr:rowOff>65316</xdr:rowOff>
        </xdr:from>
        <xdr:to>
          <xdr:col>39</xdr:col>
          <xdr:colOff>768433</xdr:colOff>
          <xdr:row>101</xdr:row>
          <xdr:rowOff>232956</xdr:rowOff>
        </xdr:to>
        <xdr:grpSp>
          <xdr:nvGrpSpPr>
            <xdr:cNvPr id="1469" name="그룹 1468">
              <a:extLs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GrpSpPr/>
          </xdr:nvGrpSpPr>
          <xdr:grpSpPr>
            <a:xfrm>
              <a:off x="24593249" y="330345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01" name="Button 2117" hidden="1">
                <a:extLst>
                  <a:ext uri="{63B3BB69-23CF-44E3-9099-C40C66FF867C}">
                    <a14:compatExt spid="_x0000_s18501"/>
                  </a:ext>
                  <a:ext uri="{FF2B5EF4-FFF2-40B4-BE49-F238E27FC236}">
                    <a16:creationId xmlns:a16="http://schemas.microsoft.com/office/drawing/2014/main" id="{00000000-0008-0000-0000-000045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02" name="Button 2118" hidden="1">
                <a:extLst>
                  <a:ext uri="{63B3BB69-23CF-44E3-9099-C40C66FF867C}">
                    <a14:compatExt spid="_x0000_s18502"/>
                  </a:ext>
                  <a:ext uri="{FF2B5EF4-FFF2-40B4-BE49-F238E27FC236}">
                    <a16:creationId xmlns:a16="http://schemas.microsoft.com/office/drawing/2014/main" id="{00000000-0008-0000-0000-000046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102</xdr:row>
          <xdr:rowOff>65316</xdr:rowOff>
        </xdr:from>
        <xdr:to>
          <xdr:col>39</xdr:col>
          <xdr:colOff>768433</xdr:colOff>
          <xdr:row>102</xdr:row>
          <xdr:rowOff>232956</xdr:rowOff>
        </xdr:to>
        <xdr:grpSp>
          <xdr:nvGrpSpPr>
            <xdr:cNvPr id="1472" name="그룹 1471">
              <a:extLs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GrpSpPr/>
          </xdr:nvGrpSpPr>
          <xdr:grpSpPr>
            <a:xfrm>
              <a:off x="24593249" y="333393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03" name="Button 2119" hidden="1">
                <a:extLst>
                  <a:ext uri="{63B3BB69-23CF-44E3-9099-C40C66FF867C}">
                    <a14:compatExt spid="_x0000_s18503"/>
                  </a:ext>
                  <a:ext uri="{FF2B5EF4-FFF2-40B4-BE49-F238E27FC236}">
                    <a16:creationId xmlns:a16="http://schemas.microsoft.com/office/drawing/2014/main" id="{00000000-0008-0000-0000-000047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04" name="Button 2120" hidden="1">
                <a:extLst>
                  <a:ext uri="{63B3BB69-23CF-44E3-9099-C40C66FF867C}">
                    <a14:compatExt spid="_x0000_s18504"/>
                  </a:ext>
                  <a:ext uri="{FF2B5EF4-FFF2-40B4-BE49-F238E27FC236}">
                    <a16:creationId xmlns:a16="http://schemas.microsoft.com/office/drawing/2014/main" id="{00000000-0008-0000-0000-000048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103</xdr:row>
          <xdr:rowOff>65316</xdr:rowOff>
        </xdr:from>
        <xdr:to>
          <xdr:col>39</xdr:col>
          <xdr:colOff>768433</xdr:colOff>
          <xdr:row>103</xdr:row>
          <xdr:rowOff>232956</xdr:rowOff>
        </xdr:to>
        <xdr:grpSp>
          <xdr:nvGrpSpPr>
            <xdr:cNvPr id="1475" name="그룹 1474">
              <a:extLs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GrpSpPr/>
          </xdr:nvGrpSpPr>
          <xdr:grpSpPr>
            <a:xfrm>
              <a:off x="24593249" y="336441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05" name="Button 2121" hidden="1">
                <a:extLst>
                  <a:ext uri="{63B3BB69-23CF-44E3-9099-C40C66FF867C}">
                    <a14:compatExt spid="_x0000_s18505"/>
                  </a:ext>
                  <a:ext uri="{FF2B5EF4-FFF2-40B4-BE49-F238E27FC236}">
                    <a16:creationId xmlns:a16="http://schemas.microsoft.com/office/drawing/2014/main" id="{00000000-0008-0000-0000-000049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06" name="Button 2122" hidden="1">
                <a:extLst>
                  <a:ext uri="{63B3BB69-23CF-44E3-9099-C40C66FF867C}">
                    <a14:compatExt spid="_x0000_s18506"/>
                  </a:ext>
                  <a:ext uri="{FF2B5EF4-FFF2-40B4-BE49-F238E27FC236}">
                    <a16:creationId xmlns:a16="http://schemas.microsoft.com/office/drawing/2014/main" id="{00000000-0008-0000-0000-00004A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104</xdr:row>
          <xdr:rowOff>65316</xdr:rowOff>
        </xdr:from>
        <xdr:to>
          <xdr:col>39</xdr:col>
          <xdr:colOff>768433</xdr:colOff>
          <xdr:row>104</xdr:row>
          <xdr:rowOff>232956</xdr:rowOff>
        </xdr:to>
        <xdr:grpSp>
          <xdr:nvGrpSpPr>
            <xdr:cNvPr id="1478" name="그룹 1477">
              <a:extLst>
                <a:ext uri="{FF2B5EF4-FFF2-40B4-BE49-F238E27FC236}">
                  <a16:creationId xmlns:a16="http://schemas.microsoft.com/office/drawing/2014/main" id="{00000000-0008-0000-0000-0000C6050000}"/>
                </a:ext>
              </a:extLst>
            </xdr:cNvPr>
            <xdr:cNvGrpSpPr/>
          </xdr:nvGrpSpPr>
          <xdr:grpSpPr>
            <a:xfrm>
              <a:off x="24593249" y="339489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07" name="Button 2123" hidden="1">
                <a:extLst>
                  <a:ext uri="{63B3BB69-23CF-44E3-9099-C40C66FF867C}">
                    <a14:compatExt spid="_x0000_s18507"/>
                  </a:ext>
                  <a:ext uri="{FF2B5EF4-FFF2-40B4-BE49-F238E27FC236}">
                    <a16:creationId xmlns:a16="http://schemas.microsoft.com/office/drawing/2014/main" id="{00000000-0008-0000-0000-00004B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08" name="Button 2124" hidden="1">
                <a:extLst>
                  <a:ext uri="{63B3BB69-23CF-44E3-9099-C40C66FF867C}">
                    <a14:compatExt spid="_x0000_s18508"/>
                  </a:ext>
                  <a:ext uri="{FF2B5EF4-FFF2-40B4-BE49-F238E27FC236}">
                    <a16:creationId xmlns:a16="http://schemas.microsoft.com/office/drawing/2014/main" id="{00000000-0008-0000-0000-00004C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105</xdr:row>
          <xdr:rowOff>65316</xdr:rowOff>
        </xdr:from>
        <xdr:to>
          <xdr:col>39</xdr:col>
          <xdr:colOff>768433</xdr:colOff>
          <xdr:row>105</xdr:row>
          <xdr:rowOff>232956</xdr:rowOff>
        </xdr:to>
        <xdr:grpSp>
          <xdr:nvGrpSpPr>
            <xdr:cNvPr id="1481" name="그룹 1480">
              <a:extLst>
                <a:ext uri="{FF2B5EF4-FFF2-40B4-BE49-F238E27FC236}">
                  <a16:creationId xmlns:a16="http://schemas.microsoft.com/office/drawing/2014/main" id="{00000000-0008-0000-0000-0000C9050000}"/>
                </a:ext>
              </a:extLst>
            </xdr:cNvPr>
            <xdr:cNvGrpSpPr/>
          </xdr:nvGrpSpPr>
          <xdr:grpSpPr>
            <a:xfrm>
              <a:off x="24593249" y="342537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09" name="Button 2125" hidden="1">
                <a:extLst>
                  <a:ext uri="{63B3BB69-23CF-44E3-9099-C40C66FF867C}">
                    <a14:compatExt spid="_x0000_s18509"/>
                  </a:ext>
                  <a:ext uri="{FF2B5EF4-FFF2-40B4-BE49-F238E27FC236}">
                    <a16:creationId xmlns:a16="http://schemas.microsoft.com/office/drawing/2014/main" id="{00000000-0008-0000-0000-00004D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10" name="Button 2126" hidden="1">
                <a:extLst>
                  <a:ext uri="{63B3BB69-23CF-44E3-9099-C40C66FF867C}">
                    <a14:compatExt spid="_x0000_s18510"/>
                  </a:ext>
                  <a:ext uri="{FF2B5EF4-FFF2-40B4-BE49-F238E27FC236}">
                    <a16:creationId xmlns:a16="http://schemas.microsoft.com/office/drawing/2014/main" id="{00000000-0008-0000-0000-00004E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106</xdr:row>
          <xdr:rowOff>65316</xdr:rowOff>
        </xdr:from>
        <xdr:to>
          <xdr:col>39</xdr:col>
          <xdr:colOff>768433</xdr:colOff>
          <xdr:row>106</xdr:row>
          <xdr:rowOff>232956</xdr:rowOff>
        </xdr:to>
        <xdr:grpSp>
          <xdr:nvGrpSpPr>
            <xdr:cNvPr id="1484" name="그룹 1483">
              <a:extLst>
                <a:ext uri="{FF2B5EF4-FFF2-40B4-BE49-F238E27FC236}">
                  <a16:creationId xmlns:a16="http://schemas.microsoft.com/office/drawing/2014/main" id="{00000000-0008-0000-0000-0000CC050000}"/>
                </a:ext>
              </a:extLst>
            </xdr:cNvPr>
            <xdr:cNvGrpSpPr/>
          </xdr:nvGrpSpPr>
          <xdr:grpSpPr>
            <a:xfrm>
              <a:off x="24593249" y="345585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11" name="Button 2127" hidden="1">
                <a:extLst>
                  <a:ext uri="{63B3BB69-23CF-44E3-9099-C40C66FF867C}">
                    <a14:compatExt spid="_x0000_s18511"/>
                  </a:ext>
                  <a:ext uri="{FF2B5EF4-FFF2-40B4-BE49-F238E27FC236}">
                    <a16:creationId xmlns:a16="http://schemas.microsoft.com/office/drawing/2014/main" id="{00000000-0008-0000-0000-00004F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12" name="Button 2128" hidden="1">
                <a:extLst>
                  <a:ext uri="{63B3BB69-23CF-44E3-9099-C40C66FF867C}">
                    <a14:compatExt spid="_x0000_s18512"/>
                  </a:ext>
                  <a:ext uri="{FF2B5EF4-FFF2-40B4-BE49-F238E27FC236}">
                    <a16:creationId xmlns:a16="http://schemas.microsoft.com/office/drawing/2014/main" id="{00000000-0008-0000-0000-000050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107</xdr:row>
          <xdr:rowOff>65316</xdr:rowOff>
        </xdr:from>
        <xdr:to>
          <xdr:col>39</xdr:col>
          <xdr:colOff>768433</xdr:colOff>
          <xdr:row>107</xdr:row>
          <xdr:rowOff>232956</xdr:rowOff>
        </xdr:to>
        <xdr:grpSp>
          <xdr:nvGrpSpPr>
            <xdr:cNvPr id="1487" name="그룹 1486">
              <a:extLst>
                <a:ext uri="{FF2B5EF4-FFF2-40B4-BE49-F238E27FC236}">
                  <a16:creationId xmlns:a16="http://schemas.microsoft.com/office/drawing/2014/main" id="{00000000-0008-0000-0000-0000CF050000}"/>
                </a:ext>
              </a:extLst>
            </xdr:cNvPr>
            <xdr:cNvGrpSpPr/>
          </xdr:nvGrpSpPr>
          <xdr:grpSpPr>
            <a:xfrm>
              <a:off x="24593249" y="348633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13" name="Button 2129" hidden="1">
                <a:extLst>
                  <a:ext uri="{63B3BB69-23CF-44E3-9099-C40C66FF867C}">
                    <a14:compatExt spid="_x0000_s18513"/>
                  </a:ext>
                  <a:ext uri="{FF2B5EF4-FFF2-40B4-BE49-F238E27FC236}">
                    <a16:creationId xmlns:a16="http://schemas.microsoft.com/office/drawing/2014/main" id="{00000000-0008-0000-0000-000051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14" name="Button 2130" hidden="1">
                <a:extLst>
                  <a:ext uri="{63B3BB69-23CF-44E3-9099-C40C66FF867C}">
                    <a14:compatExt spid="_x0000_s18514"/>
                  </a:ext>
                  <a:ext uri="{FF2B5EF4-FFF2-40B4-BE49-F238E27FC236}">
                    <a16:creationId xmlns:a16="http://schemas.microsoft.com/office/drawing/2014/main" id="{00000000-0008-0000-0000-000052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108</xdr:row>
          <xdr:rowOff>65316</xdr:rowOff>
        </xdr:from>
        <xdr:to>
          <xdr:col>39</xdr:col>
          <xdr:colOff>768433</xdr:colOff>
          <xdr:row>108</xdr:row>
          <xdr:rowOff>232956</xdr:rowOff>
        </xdr:to>
        <xdr:grpSp>
          <xdr:nvGrpSpPr>
            <xdr:cNvPr id="1490" name="그룹 1489">
              <a:extLst>
                <a:ext uri="{FF2B5EF4-FFF2-40B4-BE49-F238E27FC236}">
                  <a16:creationId xmlns:a16="http://schemas.microsoft.com/office/drawing/2014/main" id="{00000000-0008-0000-0000-0000D2050000}"/>
                </a:ext>
              </a:extLst>
            </xdr:cNvPr>
            <xdr:cNvGrpSpPr/>
          </xdr:nvGrpSpPr>
          <xdr:grpSpPr>
            <a:xfrm>
              <a:off x="24593249" y="351681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15" name="Button 2131" hidden="1">
                <a:extLst>
                  <a:ext uri="{63B3BB69-23CF-44E3-9099-C40C66FF867C}">
                    <a14:compatExt spid="_x0000_s18515"/>
                  </a:ext>
                  <a:ext uri="{FF2B5EF4-FFF2-40B4-BE49-F238E27FC236}">
                    <a16:creationId xmlns:a16="http://schemas.microsoft.com/office/drawing/2014/main" id="{00000000-0008-0000-0000-000053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16" name="Button 2132" hidden="1">
                <a:extLst>
                  <a:ext uri="{63B3BB69-23CF-44E3-9099-C40C66FF867C}">
                    <a14:compatExt spid="_x0000_s18516"/>
                  </a:ext>
                  <a:ext uri="{FF2B5EF4-FFF2-40B4-BE49-F238E27FC236}">
                    <a16:creationId xmlns:a16="http://schemas.microsoft.com/office/drawing/2014/main" id="{00000000-0008-0000-0000-000054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109</xdr:row>
          <xdr:rowOff>65316</xdr:rowOff>
        </xdr:from>
        <xdr:to>
          <xdr:col>39</xdr:col>
          <xdr:colOff>768433</xdr:colOff>
          <xdr:row>109</xdr:row>
          <xdr:rowOff>232956</xdr:rowOff>
        </xdr:to>
        <xdr:grpSp>
          <xdr:nvGrpSpPr>
            <xdr:cNvPr id="1493" name="그룹 1492">
              <a:extLst>
                <a:ext uri="{FF2B5EF4-FFF2-40B4-BE49-F238E27FC236}">
                  <a16:creationId xmlns:a16="http://schemas.microsoft.com/office/drawing/2014/main" id="{00000000-0008-0000-0000-0000D5050000}"/>
                </a:ext>
              </a:extLst>
            </xdr:cNvPr>
            <xdr:cNvGrpSpPr/>
          </xdr:nvGrpSpPr>
          <xdr:grpSpPr>
            <a:xfrm>
              <a:off x="24593249" y="354729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17" name="Button 2133" hidden="1">
                <a:extLst>
                  <a:ext uri="{63B3BB69-23CF-44E3-9099-C40C66FF867C}">
                    <a14:compatExt spid="_x0000_s18517"/>
                  </a:ext>
                  <a:ext uri="{FF2B5EF4-FFF2-40B4-BE49-F238E27FC236}">
                    <a16:creationId xmlns:a16="http://schemas.microsoft.com/office/drawing/2014/main" id="{00000000-0008-0000-0000-000055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18" name="Button 2134" hidden="1">
                <a:extLst>
                  <a:ext uri="{63B3BB69-23CF-44E3-9099-C40C66FF867C}">
                    <a14:compatExt spid="_x0000_s18518"/>
                  </a:ext>
                  <a:ext uri="{FF2B5EF4-FFF2-40B4-BE49-F238E27FC236}">
                    <a16:creationId xmlns:a16="http://schemas.microsoft.com/office/drawing/2014/main" id="{00000000-0008-0000-0000-000056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110</xdr:row>
          <xdr:rowOff>65316</xdr:rowOff>
        </xdr:from>
        <xdr:to>
          <xdr:col>39</xdr:col>
          <xdr:colOff>768433</xdr:colOff>
          <xdr:row>110</xdr:row>
          <xdr:rowOff>232956</xdr:rowOff>
        </xdr:to>
        <xdr:grpSp>
          <xdr:nvGrpSpPr>
            <xdr:cNvPr id="1496" name="그룹 1495">
              <a:extLst>
                <a:ext uri="{FF2B5EF4-FFF2-40B4-BE49-F238E27FC236}">
                  <a16:creationId xmlns:a16="http://schemas.microsoft.com/office/drawing/2014/main" id="{00000000-0008-0000-0000-0000D8050000}"/>
                </a:ext>
              </a:extLst>
            </xdr:cNvPr>
            <xdr:cNvGrpSpPr/>
          </xdr:nvGrpSpPr>
          <xdr:grpSpPr>
            <a:xfrm>
              <a:off x="24593249" y="357777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19" name="Button 2135" hidden="1">
                <a:extLst>
                  <a:ext uri="{63B3BB69-23CF-44E3-9099-C40C66FF867C}">
                    <a14:compatExt spid="_x0000_s18519"/>
                  </a:ext>
                  <a:ext uri="{FF2B5EF4-FFF2-40B4-BE49-F238E27FC236}">
                    <a16:creationId xmlns:a16="http://schemas.microsoft.com/office/drawing/2014/main" id="{00000000-0008-0000-0000-000057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20" name="Button 2136" hidden="1">
                <a:extLst>
                  <a:ext uri="{63B3BB69-23CF-44E3-9099-C40C66FF867C}">
                    <a14:compatExt spid="_x0000_s18520"/>
                  </a:ext>
                  <a:ext uri="{FF2B5EF4-FFF2-40B4-BE49-F238E27FC236}">
                    <a16:creationId xmlns:a16="http://schemas.microsoft.com/office/drawing/2014/main" id="{00000000-0008-0000-0000-000058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111</xdr:row>
          <xdr:rowOff>65316</xdr:rowOff>
        </xdr:from>
        <xdr:to>
          <xdr:col>39</xdr:col>
          <xdr:colOff>768433</xdr:colOff>
          <xdr:row>111</xdr:row>
          <xdr:rowOff>232956</xdr:rowOff>
        </xdr:to>
        <xdr:grpSp>
          <xdr:nvGrpSpPr>
            <xdr:cNvPr id="1499" name="그룹 1498">
              <a:extLst>
                <a:ext uri="{FF2B5EF4-FFF2-40B4-BE49-F238E27FC236}">
                  <a16:creationId xmlns:a16="http://schemas.microsoft.com/office/drawing/2014/main" id="{00000000-0008-0000-0000-0000DB050000}"/>
                </a:ext>
              </a:extLst>
            </xdr:cNvPr>
            <xdr:cNvGrpSpPr/>
          </xdr:nvGrpSpPr>
          <xdr:grpSpPr>
            <a:xfrm>
              <a:off x="24593249" y="360825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21" name="Button 2137" hidden="1">
                <a:extLst>
                  <a:ext uri="{63B3BB69-23CF-44E3-9099-C40C66FF867C}">
                    <a14:compatExt spid="_x0000_s18521"/>
                  </a:ext>
                  <a:ext uri="{FF2B5EF4-FFF2-40B4-BE49-F238E27FC236}">
                    <a16:creationId xmlns:a16="http://schemas.microsoft.com/office/drawing/2014/main" id="{00000000-0008-0000-0000-000059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22" name="Button 2138" hidden="1">
                <a:extLst>
                  <a:ext uri="{63B3BB69-23CF-44E3-9099-C40C66FF867C}">
                    <a14:compatExt spid="_x0000_s18522"/>
                  </a:ext>
                  <a:ext uri="{FF2B5EF4-FFF2-40B4-BE49-F238E27FC236}">
                    <a16:creationId xmlns:a16="http://schemas.microsoft.com/office/drawing/2014/main" id="{00000000-0008-0000-0000-00005A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112</xdr:row>
          <xdr:rowOff>65316</xdr:rowOff>
        </xdr:from>
        <xdr:to>
          <xdr:col>39</xdr:col>
          <xdr:colOff>768433</xdr:colOff>
          <xdr:row>112</xdr:row>
          <xdr:rowOff>232956</xdr:rowOff>
        </xdr:to>
        <xdr:grpSp>
          <xdr:nvGrpSpPr>
            <xdr:cNvPr id="1502" name="그룹 1501">
              <a:extLst>
                <a:ext uri="{FF2B5EF4-FFF2-40B4-BE49-F238E27FC236}">
                  <a16:creationId xmlns:a16="http://schemas.microsoft.com/office/drawing/2014/main" id="{00000000-0008-0000-0000-0000DE050000}"/>
                </a:ext>
              </a:extLst>
            </xdr:cNvPr>
            <xdr:cNvGrpSpPr/>
          </xdr:nvGrpSpPr>
          <xdr:grpSpPr>
            <a:xfrm>
              <a:off x="24593249" y="363873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23" name="Button 2139" hidden="1">
                <a:extLst>
                  <a:ext uri="{63B3BB69-23CF-44E3-9099-C40C66FF867C}">
                    <a14:compatExt spid="_x0000_s18523"/>
                  </a:ext>
                  <a:ext uri="{FF2B5EF4-FFF2-40B4-BE49-F238E27FC236}">
                    <a16:creationId xmlns:a16="http://schemas.microsoft.com/office/drawing/2014/main" id="{00000000-0008-0000-0000-00005B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24" name="Button 2140" hidden="1">
                <a:extLst>
                  <a:ext uri="{63B3BB69-23CF-44E3-9099-C40C66FF867C}">
                    <a14:compatExt spid="_x0000_s18524"/>
                  </a:ext>
                  <a:ext uri="{FF2B5EF4-FFF2-40B4-BE49-F238E27FC236}">
                    <a16:creationId xmlns:a16="http://schemas.microsoft.com/office/drawing/2014/main" id="{00000000-0008-0000-0000-00005C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113</xdr:row>
          <xdr:rowOff>65316</xdr:rowOff>
        </xdr:from>
        <xdr:to>
          <xdr:col>39</xdr:col>
          <xdr:colOff>768433</xdr:colOff>
          <xdr:row>113</xdr:row>
          <xdr:rowOff>232956</xdr:rowOff>
        </xdr:to>
        <xdr:grpSp>
          <xdr:nvGrpSpPr>
            <xdr:cNvPr id="1505" name="그룹 1504">
              <a:extLst>
                <a:ext uri="{FF2B5EF4-FFF2-40B4-BE49-F238E27FC236}">
                  <a16:creationId xmlns:a16="http://schemas.microsoft.com/office/drawing/2014/main" id="{00000000-0008-0000-0000-0000E1050000}"/>
                </a:ext>
              </a:extLst>
            </xdr:cNvPr>
            <xdr:cNvGrpSpPr/>
          </xdr:nvGrpSpPr>
          <xdr:grpSpPr>
            <a:xfrm>
              <a:off x="24593249" y="366921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25" name="Button 2141" hidden="1">
                <a:extLst>
                  <a:ext uri="{63B3BB69-23CF-44E3-9099-C40C66FF867C}">
                    <a14:compatExt spid="_x0000_s18525"/>
                  </a:ext>
                  <a:ext uri="{FF2B5EF4-FFF2-40B4-BE49-F238E27FC236}">
                    <a16:creationId xmlns:a16="http://schemas.microsoft.com/office/drawing/2014/main" id="{00000000-0008-0000-0000-00005D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26" name="Button 2142" hidden="1">
                <a:extLst>
                  <a:ext uri="{63B3BB69-23CF-44E3-9099-C40C66FF867C}">
                    <a14:compatExt spid="_x0000_s18526"/>
                  </a:ext>
                  <a:ext uri="{FF2B5EF4-FFF2-40B4-BE49-F238E27FC236}">
                    <a16:creationId xmlns:a16="http://schemas.microsoft.com/office/drawing/2014/main" id="{00000000-0008-0000-0000-00005E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114</xdr:row>
          <xdr:rowOff>65316</xdr:rowOff>
        </xdr:from>
        <xdr:to>
          <xdr:col>39</xdr:col>
          <xdr:colOff>768433</xdr:colOff>
          <xdr:row>114</xdr:row>
          <xdr:rowOff>232956</xdr:rowOff>
        </xdr:to>
        <xdr:grpSp>
          <xdr:nvGrpSpPr>
            <xdr:cNvPr id="1508" name="그룹 1507">
              <a:extLst>
                <a:ext uri="{FF2B5EF4-FFF2-40B4-BE49-F238E27FC236}">
                  <a16:creationId xmlns:a16="http://schemas.microsoft.com/office/drawing/2014/main" id="{00000000-0008-0000-0000-0000E4050000}"/>
                </a:ext>
              </a:extLst>
            </xdr:cNvPr>
            <xdr:cNvGrpSpPr/>
          </xdr:nvGrpSpPr>
          <xdr:grpSpPr>
            <a:xfrm>
              <a:off x="24593249" y="369969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27" name="Button 2143" hidden="1">
                <a:extLst>
                  <a:ext uri="{63B3BB69-23CF-44E3-9099-C40C66FF867C}">
                    <a14:compatExt spid="_x0000_s18527"/>
                  </a:ext>
                  <a:ext uri="{FF2B5EF4-FFF2-40B4-BE49-F238E27FC236}">
                    <a16:creationId xmlns:a16="http://schemas.microsoft.com/office/drawing/2014/main" id="{00000000-0008-0000-0000-00005F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28" name="Button 2144" hidden="1">
                <a:extLst>
                  <a:ext uri="{63B3BB69-23CF-44E3-9099-C40C66FF867C}">
                    <a14:compatExt spid="_x0000_s18528"/>
                  </a:ext>
                  <a:ext uri="{FF2B5EF4-FFF2-40B4-BE49-F238E27FC236}">
                    <a16:creationId xmlns:a16="http://schemas.microsoft.com/office/drawing/2014/main" id="{00000000-0008-0000-0000-000060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115</xdr:row>
          <xdr:rowOff>65316</xdr:rowOff>
        </xdr:from>
        <xdr:to>
          <xdr:col>39</xdr:col>
          <xdr:colOff>768433</xdr:colOff>
          <xdr:row>115</xdr:row>
          <xdr:rowOff>232956</xdr:rowOff>
        </xdr:to>
        <xdr:grpSp>
          <xdr:nvGrpSpPr>
            <xdr:cNvPr id="1511" name="그룹 1510">
              <a:extLst>
                <a:ext uri="{FF2B5EF4-FFF2-40B4-BE49-F238E27FC236}">
                  <a16:creationId xmlns:a16="http://schemas.microsoft.com/office/drawing/2014/main" id="{00000000-0008-0000-0000-0000E7050000}"/>
                </a:ext>
              </a:extLst>
            </xdr:cNvPr>
            <xdr:cNvGrpSpPr/>
          </xdr:nvGrpSpPr>
          <xdr:grpSpPr>
            <a:xfrm>
              <a:off x="24593249" y="373017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29" name="Button 2145" hidden="1">
                <a:extLst>
                  <a:ext uri="{63B3BB69-23CF-44E3-9099-C40C66FF867C}">
                    <a14:compatExt spid="_x0000_s18529"/>
                  </a:ext>
                  <a:ext uri="{FF2B5EF4-FFF2-40B4-BE49-F238E27FC236}">
                    <a16:creationId xmlns:a16="http://schemas.microsoft.com/office/drawing/2014/main" id="{00000000-0008-0000-0000-000061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30" name="Button 2146" hidden="1">
                <a:extLst>
                  <a:ext uri="{63B3BB69-23CF-44E3-9099-C40C66FF867C}">
                    <a14:compatExt spid="_x0000_s18530"/>
                  </a:ext>
                  <a:ext uri="{FF2B5EF4-FFF2-40B4-BE49-F238E27FC236}">
                    <a16:creationId xmlns:a16="http://schemas.microsoft.com/office/drawing/2014/main" id="{00000000-0008-0000-0000-000062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116</xdr:row>
          <xdr:rowOff>65316</xdr:rowOff>
        </xdr:from>
        <xdr:to>
          <xdr:col>39</xdr:col>
          <xdr:colOff>768433</xdr:colOff>
          <xdr:row>116</xdr:row>
          <xdr:rowOff>210096</xdr:rowOff>
        </xdr:to>
        <xdr:grpSp>
          <xdr:nvGrpSpPr>
            <xdr:cNvPr id="1514" name="그룹 1513">
              <a:extLst>
                <a:ext uri="{FF2B5EF4-FFF2-40B4-BE49-F238E27FC236}">
                  <a16:creationId xmlns:a16="http://schemas.microsoft.com/office/drawing/2014/main" id="{00000000-0008-0000-0000-0000EA050000}"/>
                </a:ext>
              </a:extLst>
            </xdr:cNvPr>
            <xdr:cNvGrpSpPr/>
          </xdr:nvGrpSpPr>
          <xdr:grpSpPr>
            <a:xfrm>
              <a:off x="24593249" y="37606516"/>
              <a:ext cx="626917" cy="144780"/>
              <a:chOff x="19397629" y="0"/>
              <a:chExt cx="3037122" cy="0"/>
            </a:xfrm>
          </xdr:grpSpPr>
          <xdr:sp macro="" textlink="">
            <xdr:nvSpPr>
              <xdr:cNvPr id="18531" name="Button 2147" hidden="1">
                <a:extLst>
                  <a:ext uri="{63B3BB69-23CF-44E3-9099-C40C66FF867C}">
                    <a14:compatExt spid="_x0000_s18531"/>
                  </a:ext>
                  <a:ext uri="{FF2B5EF4-FFF2-40B4-BE49-F238E27FC236}">
                    <a16:creationId xmlns:a16="http://schemas.microsoft.com/office/drawing/2014/main" id="{00000000-0008-0000-0000-000063480000}"/>
                  </a:ext>
                </a:extLst>
              </xdr:cNvPr>
              <xdr:cNvSpPr/>
            </xdr:nvSpPr>
            <xdr:spPr bwMode="auto">
              <a:xfrm>
                <a:off x="19397629" y="0"/>
                <a:ext cx="26925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32" name="Button 2148" hidden="1">
                <a:extLst>
                  <a:ext uri="{63B3BB69-23CF-44E3-9099-C40C66FF867C}">
                    <a14:compatExt spid="_x0000_s18532"/>
                  </a:ext>
                  <a:ext uri="{FF2B5EF4-FFF2-40B4-BE49-F238E27FC236}">
                    <a16:creationId xmlns:a16="http://schemas.microsoft.com/office/drawing/2014/main" id="{00000000-0008-0000-0000-000064480000}"/>
                  </a:ext>
                </a:extLst>
              </xdr:cNvPr>
              <xdr:cNvSpPr/>
            </xdr:nvSpPr>
            <xdr:spPr bwMode="auto">
              <a:xfrm>
                <a:off x="22127469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117</xdr:row>
          <xdr:rowOff>65316</xdr:rowOff>
        </xdr:from>
        <xdr:to>
          <xdr:col>39</xdr:col>
          <xdr:colOff>768433</xdr:colOff>
          <xdr:row>117</xdr:row>
          <xdr:rowOff>232956</xdr:rowOff>
        </xdr:to>
        <xdr:grpSp>
          <xdr:nvGrpSpPr>
            <xdr:cNvPr id="1517" name="그룹 1516">
              <a:extLst>
                <a:ext uri="{FF2B5EF4-FFF2-40B4-BE49-F238E27FC236}">
                  <a16:creationId xmlns:a16="http://schemas.microsoft.com/office/drawing/2014/main" id="{00000000-0008-0000-0000-0000ED050000}"/>
                </a:ext>
              </a:extLst>
            </xdr:cNvPr>
            <xdr:cNvGrpSpPr/>
          </xdr:nvGrpSpPr>
          <xdr:grpSpPr>
            <a:xfrm>
              <a:off x="24593249" y="378266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33" name="Button 2149" hidden="1">
                <a:extLst>
                  <a:ext uri="{63B3BB69-23CF-44E3-9099-C40C66FF867C}">
                    <a14:compatExt spid="_x0000_s18533"/>
                  </a:ext>
                  <a:ext uri="{FF2B5EF4-FFF2-40B4-BE49-F238E27FC236}">
                    <a16:creationId xmlns:a16="http://schemas.microsoft.com/office/drawing/2014/main" id="{00000000-0008-0000-0000-000065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34" name="Button 2150" hidden="1">
                <a:extLst>
                  <a:ext uri="{63B3BB69-23CF-44E3-9099-C40C66FF867C}">
                    <a14:compatExt spid="_x0000_s18534"/>
                  </a:ext>
                  <a:ext uri="{FF2B5EF4-FFF2-40B4-BE49-F238E27FC236}">
                    <a16:creationId xmlns:a16="http://schemas.microsoft.com/office/drawing/2014/main" id="{00000000-0008-0000-0000-000066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118</xdr:row>
          <xdr:rowOff>65316</xdr:rowOff>
        </xdr:from>
        <xdr:to>
          <xdr:col>39</xdr:col>
          <xdr:colOff>768433</xdr:colOff>
          <xdr:row>118</xdr:row>
          <xdr:rowOff>232956</xdr:rowOff>
        </xdr:to>
        <xdr:grpSp>
          <xdr:nvGrpSpPr>
            <xdr:cNvPr id="1520" name="그룹 1519">
              <a:extLst>
                <a:ext uri="{FF2B5EF4-FFF2-40B4-BE49-F238E27FC236}">
                  <a16:creationId xmlns:a16="http://schemas.microsoft.com/office/drawing/2014/main" id="{00000000-0008-0000-0000-0000F0050000}"/>
                </a:ext>
              </a:extLst>
            </xdr:cNvPr>
            <xdr:cNvGrpSpPr/>
          </xdr:nvGrpSpPr>
          <xdr:grpSpPr>
            <a:xfrm>
              <a:off x="24593249" y="381314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35" name="Button 2151" hidden="1">
                <a:extLst>
                  <a:ext uri="{63B3BB69-23CF-44E3-9099-C40C66FF867C}">
                    <a14:compatExt spid="_x0000_s18535"/>
                  </a:ext>
                  <a:ext uri="{FF2B5EF4-FFF2-40B4-BE49-F238E27FC236}">
                    <a16:creationId xmlns:a16="http://schemas.microsoft.com/office/drawing/2014/main" id="{00000000-0008-0000-0000-000067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36" name="Button 2152" hidden="1">
                <a:extLst>
                  <a:ext uri="{63B3BB69-23CF-44E3-9099-C40C66FF867C}">
                    <a14:compatExt spid="_x0000_s18536"/>
                  </a:ext>
                  <a:ext uri="{FF2B5EF4-FFF2-40B4-BE49-F238E27FC236}">
                    <a16:creationId xmlns:a16="http://schemas.microsoft.com/office/drawing/2014/main" id="{00000000-0008-0000-0000-000068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119</xdr:row>
          <xdr:rowOff>65316</xdr:rowOff>
        </xdr:from>
        <xdr:to>
          <xdr:col>39</xdr:col>
          <xdr:colOff>768433</xdr:colOff>
          <xdr:row>119</xdr:row>
          <xdr:rowOff>232956</xdr:rowOff>
        </xdr:to>
        <xdr:grpSp>
          <xdr:nvGrpSpPr>
            <xdr:cNvPr id="1523" name="그룹 1522">
              <a:extLst>
                <a:ext uri="{FF2B5EF4-FFF2-40B4-BE49-F238E27FC236}">
                  <a16:creationId xmlns:a16="http://schemas.microsoft.com/office/drawing/2014/main" id="{00000000-0008-0000-0000-0000F3050000}"/>
                </a:ext>
              </a:extLst>
            </xdr:cNvPr>
            <xdr:cNvGrpSpPr/>
          </xdr:nvGrpSpPr>
          <xdr:grpSpPr>
            <a:xfrm>
              <a:off x="24593249" y="384362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37" name="Button 2153" hidden="1">
                <a:extLst>
                  <a:ext uri="{63B3BB69-23CF-44E3-9099-C40C66FF867C}">
                    <a14:compatExt spid="_x0000_s18537"/>
                  </a:ext>
                  <a:ext uri="{FF2B5EF4-FFF2-40B4-BE49-F238E27FC236}">
                    <a16:creationId xmlns:a16="http://schemas.microsoft.com/office/drawing/2014/main" id="{00000000-0008-0000-0000-000069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38" name="Button 2154" hidden="1">
                <a:extLst>
                  <a:ext uri="{63B3BB69-23CF-44E3-9099-C40C66FF867C}">
                    <a14:compatExt spid="_x0000_s18538"/>
                  </a:ext>
                  <a:ext uri="{FF2B5EF4-FFF2-40B4-BE49-F238E27FC236}">
                    <a16:creationId xmlns:a16="http://schemas.microsoft.com/office/drawing/2014/main" id="{00000000-0008-0000-0000-00006A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120</xdr:row>
          <xdr:rowOff>65316</xdr:rowOff>
        </xdr:from>
        <xdr:to>
          <xdr:col>39</xdr:col>
          <xdr:colOff>768433</xdr:colOff>
          <xdr:row>120</xdr:row>
          <xdr:rowOff>232956</xdr:rowOff>
        </xdr:to>
        <xdr:grpSp>
          <xdr:nvGrpSpPr>
            <xdr:cNvPr id="1526" name="그룹 1525">
              <a:extLst>
                <a:ext uri="{FF2B5EF4-FFF2-40B4-BE49-F238E27FC236}">
                  <a16:creationId xmlns:a16="http://schemas.microsoft.com/office/drawing/2014/main" id="{00000000-0008-0000-0000-0000F6050000}"/>
                </a:ext>
              </a:extLst>
            </xdr:cNvPr>
            <xdr:cNvGrpSpPr/>
          </xdr:nvGrpSpPr>
          <xdr:grpSpPr>
            <a:xfrm>
              <a:off x="24593249" y="387410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39" name="Button 2155" hidden="1">
                <a:extLst>
                  <a:ext uri="{63B3BB69-23CF-44E3-9099-C40C66FF867C}">
                    <a14:compatExt spid="_x0000_s18539"/>
                  </a:ext>
                  <a:ext uri="{FF2B5EF4-FFF2-40B4-BE49-F238E27FC236}">
                    <a16:creationId xmlns:a16="http://schemas.microsoft.com/office/drawing/2014/main" id="{00000000-0008-0000-0000-00006B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40" name="Button 2156" hidden="1">
                <a:extLst>
                  <a:ext uri="{63B3BB69-23CF-44E3-9099-C40C66FF867C}">
                    <a14:compatExt spid="_x0000_s18540"/>
                  </a:ext>
                  <a:ext uri="{FF2B5EF4-FFF2-40B4-BE49-F238E27FC236}">
                    <a16:creationId xmlns:a16="http://schemas.microsoft.com/office/drawing/2014/main" id="{00000000-0008-0000-0000-00006C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121</xdr:row>
          <xdr:rowOff>65316</xdr:rowOff>
        </xdr:from>
        <xdr:to>
          <xdr:col>39</xdr:col>
          <xdr:colOff>768433</xdr:colOff>
          <xdr:row>121</xdr:row>
          <xdr:rowOff>232956</xdr:rowOff>
        </xdr:to>
        <xdr:grpSp>
          <xdr:nvGrpSpPr>
            <xdr:cNvPr id="1529" name="그룹 1528">
              <a:extLst>
                <a:ext uri="{FF2B5EF4-FFF2-40B4-BE49-F238E27FC236}">
                  <a16:creationId xmlns:a16="http://schemas.microsoft.com/office/drawing/2014/main" id="{00000000-0008-0000-0000-0000F9050000}"/>
                </a:ext>
              </a:extLst>
            </xdr:cNvPr>
            <xdr:cNvGrpSpPr/>
          </xdr:nvGrpSpPr>
          <xdr:grpSpPr>
            <a:xfrm>
              <a:off x="24593249" y="390458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41" name="Button 2157" hidden="1">
                <a:extLst>
                  <a:ext uri="{63B3BB69-23CF-44E3-9099-C40C66FF867C}">
                    <a14:compatExt spid="_x0000_s18541"/>
                  </a:ext>
                  <a:ext uri="{FF2B5EF4-FFF2-40B4-BE49-F238E27FC236}">
                    <a16:creationId xmlns:a16="http://schemas.microsoft.com/office/drawing/2014/main" id="{00000000-0008-0000-0000-00006D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42" name="Button 2158" hidden="1">
                <a:extLst>
                  <a:ext uri="{63B3BB69-23CF-44E3-9099-C40C66FF867C}">
                    <a14:compatExt spid="_x0000_s18542"/>
                  </a:ext>
                  <a:ext uri="{FF2B5EF4-FFF2-40B4-BE49-F238E27FC236}">
                    <a16:creationId xmlns:a16="http://schemas.microsoft.com/office/drawing/2014/main" id="{00000000-0008-0000-0000-00006E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122</xdr:row>
          <xdr:rowOff>65316</xdr:rowOff>
        </xdr:from>
        <xdr:to>
          <xdr:col>39</xdr:col>
          <xdr:colOff>768433</xdr:colOff>
          <xdr:row>122</xdr:row>
          <xdr:rowOff>232956</xdr:rowOff>
        </xdr:to>
        <xdr:grpSp>
          <xdr:nvGrpSpPr>
            <xdr:cNvPr id="1532" name="그룹 1531">
              <a:extLst>
                <a:ext uri="{FF2B5EF4-FFF2-40B4-BE49-F238E27FC236}">
                  <a16:creationId xmlns:a16="http://schemas.microsoft.com/office/drawing/2014/main" id="{00000000-0008-0000-0000-0000FC050000}"/>
                </a:ext>
              </a:extLst>
            </xdr:cNvPr>
            <xdr:cNvGrpSpPr/>
          </xdr:nvGrpSpPr>
          <xdr:grpSpPr>
            <a:xfrm>
              <a:off x="24593249" y="393506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43" name="Button 2159" hidden="1">
                <a:extLst>
                  <a:ext uri="{63B3BB69-23CF-44E3-9099-C40C66FF867C}">
                    <a14:compatExt spid="_x0000_s18543"/>
                  </a:ext>
                  <a:ext uri="{FF2B5EF4-FFF2-40B4-BE49-F238E27FC236}">
                    <a16:creationId xmlns:a16="http://schemas.microsoft.com/office/drawing/2014/main" id="{00000000-0008-0000-0000-00006F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44" name="Button 2160" hidden="1">
                <a:extLst>
                  <a:ext uri="{63B3BB69-23CF-44E3-9099-C40C66FF867C}">
                    <a14:compatExt spid="_x0000_s18544"/>
                  </a:ext>
                  <a:ext uri="{FF2B5EF4-FFF2-40B4-BE49-F238E27FC236}">
                    <a16:creationId xmlns:a16="http://schemas.microsoft.com/office/drawing/2014/main" id="{00000000-0008-0000-0000-000070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123</xdr:row>
          <xdr:rowOff>65316</xdr:rowOff>
        </xdr:from>
        <xdr:to>
          <xdr:col>39</xdr:col>
          <xdr:colOff>768433</xdr:colOff>
          <xdr:row>123</xdr:row>
          <xdr:rowOff>210096</xdr:rowOff>
        </xdr:to>
        <xdr:grpSp>
          <xdr:nvGrpSpPr>
            <xdr:cNvPr id="1535" name="그룹 1534">
              <a:extLst>
                <a:ext uri="{FF2B5EF4-FFF2-40B4-BE49-F238E27FC236}">
                  <a16:creationId xmlns:a16="http://schemas.microsoft.com/office/drawing/2014/main" id="{00000000-0008-0000-0000-0000FF050000}"/>
                </a:ext>
              </a:extLst>
            </xdr:cNvPr>
            <xdr:cNvGrpSpPr/>
          </xdr:nvGrpSpPr>
          <xdr:grpSpPr>
            <a:xfrm>
              <a:off x="24593249" y="39655449"/>
              <a:ext cx="626917" cy="144780"/>
              <a:chOff x="19397629" y="0"/>
              <a:chExt cx="3037122" cy="0"/>
            </a:xfrm>
          </xdr:grpSpPr>
          <xdr:sp macro="" textlink="">
            <xdr:nvSpPr>
              <xdr:cNvPr id="18545" name="Button 2161" hidden="1">
                <a:extLst>
                  <a:ext uri="{63B3BB69-23CF-44E3-9099-C40C66FF867C}">
                    <a14:compatExt spid="_x0000_s18545"/>
                  </a:ext>
                  <a:ext uri="{FF2B5EF4-FFF2-40B4-BE49-F238E27FC236}">
                    <a16:creationId xmlns:a16="http://schemas.microsoft.com/office/drawing/2014/main" id="{00000000-0008-0000-0000-000071480000}"/>
                  </a:ext>
                </a:extLst>
              </xdr:cNvPr>
              <xdr:cNvSpPr/>
            </xdr:nvSpPr>
            <xdr:spPr bwMode="auto">
              <a:xfrm>
                <a:off x="19397629" y="0"/>
                <a:ext cx="26925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46" name="Button 2162" hidden="1">
                <a:extLst>
                  <a:ext uri="{63B3BB69-23CF-44E3-9099-C40C66FF867C}">
                    <a14:compatExt spid="_x0000_s18546"/>
                  </a:ext>
                  <a:ext uri="{FF2B5EF4-FFF2-40B4-BE49-F238E27FC236}">
                    <a16:creationId xmlns:a16="http://schemas.microsoft.com/office/drawing/2014/main" id="{00000000-0008-0000-0000-000072480000}"/>
                  </a:ext>
                </a:extLst>
              </xdr:cNvPr>
              <xdr:cNvSpPr/>
            </xdr:nvSpPr>
            <xdr:spPr bwMode="auto">
              <a:xfrm>
                <a:off x="22127469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124</xdr:row>
          <xdr:rowOff>65316</xdr:rowOff>
        </xdr:from>
        <xdr:to>
          <xdr:col>39</xdr:col>
          <xdr:colOff>768433</xdr:colOff>
          <xdr:row>124</xdr:row>
          <xdr:rowOff>232956</xdr:rowOff>
        </xdr:to>
        <xdr:grpSp>
          <xdr:nvGrpSpPr>
            <xdr:cNvPr id="1538" name="그룹 1537">
              <a:extLst>
                <a:ext uri="{FF2B5EF4-FFF2-40B4-BE49-F238E27FC236}">
                  <a16:creationId xmlns:a16="http://schemas.microsoft.com/office/drawing/2014/main" id="{00000000-0008-0000-0000-000002060000}"/>
                </a:ext>
              </a:extLst>
            </xdr:cNvPr>
            <xdr:cNvGrpSpPr/>
          </xdr:nvGrpSpPr>
          <xdr:grpSpPr>
            <a:xfrm>
              <a:off x="24593249" y="398755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47" name="Button 2163" hidden="1">
                <a:extLst>
                  <a:ext uri="{63B3BB69-23CF-44E3-9099-C40C66FF867C}">
                    <a14:compatExt spid="_x0000_s18547"/>
                  </a:ext>
                  <a:ext uri="{FF2B5EF4-FFF2-40B4-BE49-F238E27FC236}">
                    <a16:creationId xmlns:a16="http://schemas.microsoft.com/office/drawing/2014/main" id="{00000000-0008-0000-0000-000073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48" name="Button 2164" hidden="1">
                <a:extLst>
                  <a:ext uri="{63B3BB69-23CF-44E3-9099-C40C66FF867C}">
                    <a14:compatExt spid="_x0000_s18548"/>
                  </a:ext>
                  <a:ext uri="{FF2B5EF4-FFF2-40B4-BE49-F238E27FC236}">
                    <a16:creationId xmlns:a16="http://schemas.microsoft.com/office/drawing/2014/main" id="{00000000-0008-0000-0000-000074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125</xdr:row>
          <xdr:rowOff>65316</xdr:rowOff>
        </xdr:from>
        <xdr:to>
          <xdr:col>39</xdr:col>
          <xdr:colOff>768433</xdr:colOff>
          <xdr:row>125</xdr:row>
          <xdr:rowOff>232956</xdr:rowOff>
        </xdr:to>
        <xdr:grpSp>
          <xdr:nvGrpSpPr>
            <xdr:cNvPr id="1541" name="그룹 1540">
              <a:extLst>
                <a:ext uri="{FF2B5EF4-FFF2-40B4-BE49-F238E27FC236}">
                  <a16:creationId xmlns:a16="http://schemas.microsoft.com/office/drawing/2014/main" id="{00000000-0008-0000-0000-000005060000}"/>
                </a:ext>
              </a:extLst>
            </xdr:cNvPr>
            <xdr:cNvGrpSpPr/>
          </xdr:nvGrpSpPr>
          <xdr:grpSpPr>
            <a:xfrm>
              <a:off x="24593249" y="401803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49" name="Button 2165" hidden="1">
                <a:extLst>
                  <a:ext uri="{63B3BB69-23CF-44E3-9099-C40C66FF867C}">
                    <a14:compatExt spid="_x0000_s18549"/>
                  </a:ext>
                  <a:ext uri="{FF2B5EF4-FFF2-40B4-BE49-F238E27FC236}">
                    <a16:creationId xmlns:a16="http://schemas.microsoft.com/office/drawing/2014/main" id="{00000000-0008-0000-0000-000075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50" name="Button 2166" hidden="1">
                <a:extLst>
                  <a:ext uri="{63B3BB69-23CF-44E3-9099-C40C66FF867C}">
                    <a14:compatExt spid="_x0000_s18550"/>
                  </a:ext>
                  <a:ext uri="{FF2B5EF4-FFF2-40B4-BE49-F238E27FC236}">
                    <a16:creationId xmlns:a16="http://schemas.microsoft.com/office/drawing/2014/main" id="{00000000-0008-0000-0000-000076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126</xdr:row>
          <xdr:rowOff>65316</xdr:rowOff>
        </xdr:from>
        <xdr:to>
          <xdr:col>39</xdr:col>
          <xdr:colOff>768433</xdr:colOff>
          <xdr:row>126</xdr:row>
          <xdr:rowOff>210096</xdr:rowOff>
        </xdr:to>
        <xdr:grpSp>
          <xdr:nvGrpSpPr>
            <xdr:cNvPr id="1544" name="그룹 1543">
              <a:extLst>
                <a:ext uri="{FF2B5EF4-FFF2-40B4-BE49-F238E27FC236}">
                  <a16:creationId xmlns:a16="http://schemas.microsoft.com/office/drawing/2014/main" id="{00000000-0008-0000-0000-000008060000}"/>
                </a:ext>
              </a:extLst>
            </xdr:cNvPr>
            <xdr:cNvGrpSpPr/>
          </xdr:nvGrpSpPr>
          <xdr:grpSpPr>
            <a:xfrm>
              <a:off x="24593249" y="40485183"/>
              <a:ext cx="626917" cy="144780"/>
              <a:chOff x="19397629" y="0"/>
              <a:chExt cx="3037122" cy="0"/>
            </a:xfrm>
          </xdr:grpSpPr>
          <xdr:sp macro="" textlink="">
            <xdr:nvSpPr>
              <xdr:cNvPr id="18551" name="Button 2167" hidden="1">
                <a:extLst>
                  <a:ext uri="{63B3BB69-23CF-44E3-9099-C40C66FF867C}">
                    <a14:compatExt spid="_x0000_s18551"/>
                  </a:ext>
                  <a:ext uri="{FF2B5EF4-FFF2-40B4-BE49-F238E27FC236}">
                    <a16:creationId xmlns:a16="http://schemas.microsoft.com/office/drawing/2014/main" id="{00000000-0008-0000-0000-000077480000}"/>
                  </a:ext>
                </a:extLst>
              </xdr:cNvPr>
              <xdr:cNvSpPr/>
            </xdr:nvSpPr>
            <xdr:spPr bwMode="auto">
              <a:xfrm>
                <a:off x="19397629" y="0"/>
                <a:ext cx="26925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52" name="Button 2168" hidden="1">
                <a:extLst>
                  <a:ext uri="{63B3BB69-23CF-44E3-9099-C40C66FF867C}">
                    <a14:compatExt spid="_x0000_s18552"/>
                  </a:ext>
                  <a:ext uri="{FF2B5EF4-FFF2-40B4-BE49-F238E27FC236}">
                    <a16:creationId xmlns:a16="http://schemas.microsoft.com/office/drawing/2014/main" id="{00000000-0008-0000-0000-000078480000}"/>
                  </a:ext>
                </a:extLst>
              </xdr:cNvPr>
              <xdr:cNvSpPr/>
            </xdr:nvSpPr>
            <xdr:spPr bwMode="auto">
              <a:xfrm>
                <a:off x="22127469" y="0"/>
                <a:ext cx="307282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127</xdr:row>
          <xdr:rowOff>65316</xdr:rowOff>
        </xdr:from>
        <xdr:to>
          <xdr:col>39</xdr:col>
          <xdr:colOff>768433</xdr:colOff>
          <xdr:row>127</xdr:row>
          <xdr:rowOff>232956</xdr:rowOff>
        </xdr:to>
        <xdr:grpSp>
          <xdr:nvGrpSpPr>
            <xdr:cNvPr id="1547" name="그룹 1546">
              <a:extLst>
                <a:ext uri="{FF2B5EF4-FFF2-40B4-BE49-F238E27FC236}">
                  <a16:creationId xmlns:a16="http://schemas.microsoft.com/office/drawing/2014/main" id="{00000000-0008-0000-0000-00000B060000}"/>
                </a:ext>
              </a:extLst>
            </xdr:cNvPr>
            <xdr:cNvGrpSpPr/>
          </xdr:nvGrpSpPr>
          <xdr:grpSpPr>
            <a:xfrm>
              <a:off x="24593249" y="407053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53" name="Button 2169" hidden="1">
                <a:extLst>
                  <a:ext uri="{63B3BB69-23CF-44E3-9099-C40C66FF867C}">
                    <a14:compatExt spid="_x0000_s18553"/>
                  </a:ext>
                  <a:ext uri="{FF2B5EF4-FFF2-40B4-BE49-F238E27FC236}">
                    <a16:creationId xmlns:a16="http://schemas.microsoft.com/office/drawing/2014/main" id="{00000000-0008-0000-0000-000079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54" name="Button 2170" hidden="1">
                <a:extLst>
                  <a:ext uri="{63B3BB69-23CF-44E3-9099-C40C66FF867C}">
                    <a14:compatExt spid="_x0000_s18554"/>
                  </a:ext>
                  <a:ext uri="{FF2B5EF4-FFF2-40B4-BE49-F238E27FC236}">
                    <a16:creationId xmlns:a16="http://schemas.microsoft.com/office/drawing/2014/main" id="{00000000-0008-0000-0000-00007A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128</xdr:row>
          <xdr:rowOff>65316</xdr:rowOff>
        </xdr:from>
        <xdr:to>
          <xdr:col>39</xdr:col>
          <xdr:colOff>768433</xdr:colOff>
          <xdr:row>128</xdr:row>
          <xdr:rowOff>232956</xdr:rowOff>
        </xdr:to>
        <xdr:grpSp>
          <xdr:nvGrpSpPr>
            <xdr:cNvPr id="1550" name="그룹 1549">
              <a:extLst>
                <a:ext uri="{FF2B5EF4-FFF2-40B4-BE49-F238E27FC236}">
                  <a16:creationId xmlns:a16="http://schemas.microsoft.com/office/drawing/2014/main" id="{00000000-0008-0000-0000-00000E060000}"/>
                </a:ext>
              </a:extLst>
            </xdr:cNvPr>
            <xdr:cNvGrpSpPr/>
          </xdr:nvGrpSpPr>
          <xdr:grpSpPr>
            <a:xfrm>
              <a:off x="24593249" y="410101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55" name="Button 2171" hidden="1">
                <a:extLst>
                  <a:ext uri="{63B3BB69-23CF-44E3-9099-C40C66FF867C}">
                    <a14:compatExt spid="_x0000_s18555"/>
                  </a:ext>
                  <a:ext uri="{FF2B5EF4-FFF2-40B4-BE49-F238E27FC236}">
                    <a16:creationId xmlns:a16="http://schemas.microsoft.com/office/drawing/2014/main" id="{00000000-0008-0000-0000-00007B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56" name="Button 2172" hidden="1">
                <a:extLst>
                  <a:ext uri="{63B3BB69-23CF-44E3-9099-C40C66FF867C}">
                    <a14:compatExt spid="_x0000_s18556"/>
                  </a:ext>
                  <a:ext uri="{FF2B5EF4-FFF2-40B4-BE49-F238E27FC236}">
                    <a16:creationId xmlns:a16="http://schemas.microsoft.com/office/drawing/2014/main" id="{00000000-0008-0000-0000-00007C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129</xdr:row>
          <xdr:rowOff>65316</xdr:rowOff>
        </xdr:from>
        <xdr:to>
          <xdr:col>39</xdr:col>
          <xdr:colOff>768433</xdr:colOff>
          <xdr:row>129</xdr:row>
          <xdr:rowOff>232956</xdr:rowOff>
        </xdr:to>
        <xdr:grpSp>
          <xdr:nvGrpSpPr>
            <xdr:cNvPr id="1553" name="그룹 1552">
              <a:extLst>
                <a:ext uri="{FF2B5EF4-FFF2-40B4-BE49-F238E27FC236}">
                  <a16:creationId xmlns:a16="http://schemas.microsoft.com/office/drawing/2014/main" id="{00000000-0008-0000-0000-000011060000}"/>
                </a:ext>
              </a:extLst>
            </xdr:cNvPr>
            <xdr:cNvGrpSpPr/>
          </xdr:nvGrpSpPr>
          <xdr:grpSpPr>
            <a:xfrm>
              <a:off x="24593249" y="413149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57" name="Button 2173" hidden="1">
                <a:extLst>
                  <a:ext uri="{63B3BB69-23CF-44E3-9099-C40C66FF867C}">
                    <a14:compatExt spid="_x0000_s18557"/>
                  </a:ext>
                  <a:ext uri="{FF2B5EF4-FFF2-40B4-BE49-F238E27FC236}">
                    <a16:creationId xmlns:a16="http://schemas.microsoft.com/office/drawing/2014/main" id="{00000000-0008-0000-0000-00007D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58" name="Button 2174" hidden="1">
                <a:extLst>
                  <a:ext uri="{63B3BB69-23CF-44E3-9099-C40C66FF867C}">
                    <a14:compatExt spid="_x0000_s18558"/>
                  </a:ext>
                  <a:ext uri="{FF2B5EF4-FFF2-40B4-BE49-F238E27FC236}">
                    <a16:creationId xmlns:a16="http://schemas.microsoft.com/office/drawing/2014/main" id="{00000000-0008-0000-0000-00007E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83</xdr:row>
          <xdr:rowOff>67130</xdr:rowOff>
        </xdr:from>
        <xdr:to>
          <xdr:col>37</xdr:col>
          <xdr:colOff>4455</xdr:colOff>
          <xdr:row>83</xdr:row>
          <xdr:rowOff>234770</xdr:rowOff>
        </xdr:to>
        <xdr:grpSp>
          <xdr:nvGrpSpPr>
            <xdr:cNvPr id="659" name="그룹 658">
              <a:extLst>
                <a:ext uri="{FF2B5EF4-FFF2-40B4-BE49-F238E27FC236}">
                  <a16:creationId xmlns:a16="http://schemas.microsoft.com/office/drawing/2014/main" id="{00000000-0008-0000-0000-000093020000}"/>
                </a:ext>
              </a:extLst>
            </xdr:cNvPr>
            <xdr:cNvGrpSpPr/>
          </xdr:nvGrpSpPr>
          <xdr:grpSpPr>
            <a:xfrm>
              <a:off x="22585441" y="25907397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581" name="Button 2197" hidden="1">
                <a:extLst>
                  <a:ext uri="{63B3BB69-23CF-44E3-9099-C40C66FF867C}">
                    <a14:compatExt spid="_x0000_s18581"/>
                  </a:ext>
                  <a:ext uri="{FF2B5EF4-FFF2-40B4-BE49-F238E27FC236}">
                    <a16:creationId xmlns:a16="http://schemas.microsoft.com/office/drawing/2014/main" id="{00000000-0008-0000-0000-00009548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82" name="Button 2198" hidden="1">
                <a:extLst>
                  <a:ext uri="{63B3BB69-23CF-44E3-9099-C40C66FF867C}">
                    <a14:compatExt spid="_x0000_s18582"/>
                  </a:ext>
                  <a:ext uri="{FF2B5EF4-FFF2-40B4-BE49-F238E27FC236}">
                    <a16:creationId xmlns:a16="http://schemas.microsoft.com/office/drawing/2014/main" id="{00000000-0008-0000-0000-00009648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85</xdr:row>
          <xdr:rowOff>67130</xdr:rowOff>
        </xdr:from>
        <xdr:to>
          <xdr:col>37</xdr:col>
          <xdr:colOff>4455</xdr:colOff>
          <xdr:row>85</xdr:row>
          <xdr:rowOff>234770</xdr:rowOff>
        </xdr:to>
        <xdr:grpSp>
          <xdr:nvGrpSpPr>
            <xdr:cNvPr id="662" name="그룹 661">
              <a:extLst>
                <a:ext uri="{FF2B5EF4-FFF2-40B4-BE49-F238E27FC236}">
                  <a16:creationId xmlns:a16="http://schemas.microsoft.com/office/drawing/2014/main" id="{00000000-0008-0000-0000-000096020000}"/>
                </a:ext>
              </a:extLst>
            </xdr:cNvPr>
            <xdr:cNvGrpSpPr/>
          </xdr:nvGrpSpPr>
          <xdr:grpSpPr>
            <a:xfrm>
              <a:off x="22585441" y="26516997"/>
              <a:ext cx="956347" cy="167640"/>
              <a:chOff x="17819584" y="0"/>
              <a:chExt cx="1795528" cy="0"/>
            </a:xfrm>
          </xdr:grpSpPr>
          <xdr:sp macro="" textlink="">
            <xdr:nvSpPr>
              <xdr:cNvPr id="18583" name="Button 2199" hidden="1">
                <a:extLst>
                  <a:ext uri="{63B3BB69-23CF-44E3-9099-C40C66FF867C}">
                    <a14:compatExt spid="_x0000_s18583"/>
                  </a:ext>
                  <a:ext uri="{FF2B5EF4-FFF2-40B4-BE49-F238E27FC236}">
                    <a16:creationId xmlns:a16="http://schemas.microsoft.com/office/drawing/2014/main" id="{00000000-0008-0000-0000-000097480000}"/>
                  </a:ext>
                </a:extLst>
              </xdr:cNvPr>
              <xdr:cNvSpPr/>
            </xdr:nvSpPr>
            <xdr:spPr bwMode="auto">
              <a:xfrm>
                <a:off x="18967417" y="0"/>
                <a:ext cx="64769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84" name="Button 2200" hidden="1">
                <a:extLst>
                  <a:ext uri="{63B3BB69-23CF-44E3-9099-C40C66FF867C}">
                    <a14:compatExt spid="_x0000_s18584"/>
                  </a:ext>
                  <a:ext uri="{FF2B5EF4-FFF2-40B4-BE49-F238E27FC236}">
                    <a16:creationId xmlns:a16="http://schemas.microsoft.com/office/drawing/2014/main" id="{00000000-0008-0000-0000-000098480000}"/>
                  </a:ext>
                </a:extLst>
              </xdr:cNvPr>
              <xdr:cNvSpPr/>
            </xdr:nvSpPr>
            <xdr:spPr bwMode="auto">
              <a:xfrm>
                <a:off x="17819584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94</xdr:row>
          <xdr:rowOff>67130</xdr:rowOff>
        </xdr:from>
        <xdr:to>
          <xdr:col>37</xdr:col>
          <xdr:colOff>4455</xdr:colOff>
          <xdr:row>94</xdr:row>
          <xdr:rowOff>234770</xdr:rowOff>
        </xdr:to>
        <xdr:grpSp>
          <xdr:nvGrpSpPr>
            <xdr:cNvPr id="665" name="그룹 664">
              <a:extLst>
                <a:ext uri="{FF2B5EF4-FFF2-40B4-BE49-F238E27FC236}">
                  <a16:creationId xmlns:a16="http://schemas.microsoft.com/office/drawing/2014/main" id="{00000000-0008-0000-0000-000099020000}"/>
                </a:ext>
              </a:extLst>
            </xdr:cNvPr>
            <xdr:cNvGrpSpPr/>
          </xdr:nvGrpSpPr>
          <xdr:grpSpPr>
            <a:xfrm>
              <a:off x="22585441" y="30987397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585" name="Button 2201" hidden="1">
                <a:extLst>
                  <a:ext uri="{63B3BB69-23CF-44E3-9099-C40C66FF867C}">
                    <a14:compatExt spid="_x0000_s18585"/>
                  </a:ext>
                  <a:ext uri="{FF2B5EF4-FFF2-40B4-BE49-F238E27FC236}">
                    <a16:creationId xmlns:a16="http://schemas.microsoft.com/office/drawing/2014/main" id="{00000000-0008-0000-0000-00009948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586" name="Button 2202" hidden="1">
                <a:extLst>
                  <a:ext uri="{63B3BB69-23CF-44E3-9099-C40C66FF867C}">
                    <a14:compatExt spid="_x0000_s18586"/>
                  </a:ext>
                  <a:ext uri="{FF2B5EF4-FFF2-40B4-BE49-F238E27FC236}">
                    <a16:creationId xmlns:a16="http://schemas.microsoft.com/office/drawing/2014/main" id="{00000000-0008-0000-0000-00009A48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20</xdr:row>
          <xdr:rowOff>67130</xdr:rowOff>
        </xdr:from>
        <xdr:to>
          <xdr:col>37</xdr:col>
          <xdr:colOff>4455</xdr:colOff>
          <xdr:row>20</xdr:row>
          <xdr:rowOff>234770</xdr:rowOff>
        </xdr:to>
        <xdr:grpSp>
          <xdr:nvGrpSpPr>
            <xdr:cNvPr id="722" name="그룹 721">
              <a:extLst>
                <a:ext uri="{FF2B5EF4-FFF2-40B4-BE49-F238E27FC236}">
                  <a16:creationId xmlns:a16="http://schemas.microsoft.com/office/drawing/2014/main" id="{00000000-0008-0000-0000-0000D2020000}"/>
                </a:ext>
              </a:extLst>
            </xdr:cNvPr>
            <xdr:cNvGrpSpPr/>
          </xdr:nvGrpSpPr>
          <xdr:grpSpPr>
            <a:xfrm>
              <a:off x="22585441" y="6247797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623" name="Button 2239" hidden="1">
                <a:extLst>
                  <a:ext uri="{63B3BB69-23CF-44E3-9099-C40C66FF867C}">
                    <a14:compatExt spid="_x0000_s18623"/>
                  </a:ext>
                  <a:ext uri="{FF2B5EF4-FFF2-40B4-BE49-F238E27FC236}">
                    <a16:creationId xmlns:a16="http://schemas.microsoft.com/office/drawing/2014/main" id="{00000000-0008-0000-0000-0000BF48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624" name="Button 2240" hidden="1">
                <a:extLst>
                  <a:ext uri="{63B3BB69-23CF-44E3-9099-C40C66FF867C}">
                    <a14:compatExt spid="_x0000_s18624"/>
                  </a:ext>
                  <a:ext uri="{FF2B5EF4-FFF2-40B4-BE49-F238E27FC236}">
                    <a16:creationId xmlns:a16="http://schemas.microsoft.com/office/drawing/2014/main" id="{00000000-0008-0000-0000-0000C048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21</xdr:row>
          <xdr:rowOff>67130</xdr:rowOff>
        </xdr:from>
        <xdr:to>
          <xdr:col>37</xdr:col>
          <xdr:colOff>4455</xdr:colOff>
          <xdr:row>21</xdr:row>
          <xdr:rowOff>234770</xdr:rowOff>
        </xdr:to>
        <xdr:grpSp>
          <xdr:nvGrpSpPr>
            <xdr:cNvPr id="725" name="그룹 724">
              <a:extLst>
                <a:ext uri="{FF2B5EF4-FFF2-40B4-BE49-F238E27FC236}">
                  <a16:creationId xmlns:a16="http://schemas.microsoft.com/office/drawing/2014/main" id="{00000000-0008-0000-0000-0000D5020000}"/>
                </a:ext>
              </a:extLst>
            </xdr:cNvPr>
            <xdr:cNvGrpSpPr/>
          </xdr:nvGrpSpPr>
          <xdr:grpSpPr>
            <a:xfrm>
              <a:off x="22585441" y="6552597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625" name="Button 2241" hidden="1">
                <a:extLst>
                  <a:ext uri="{63B3BB69-23CF-44E3-9099-C40C66FF867C}">
                    <a14:compatExt spid="_x0000_s18625"/>
                  </a:ext>
                  <a:ext uri="{FF2B5EF4-FFF2-40B4-BE49-F238E27FC236}">
                    <a16:creationId xmlns:a16="http://schemas.microsoft.com/office/drawing/2014/main" id="{00000000-0008-0000-0000-0000C148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626" name="Button 2242" hidden="1">
                <a:extLst>
                  <a:ext uri="{63B3BB69-23CF-44E3-9099-C40C66FF867C}">
                    <a14:compatExt spid="_x0000_s18626"/>
                  </a:ext>
                  <a:ext uri="{FF2B5EF4-FFF2-40B4-BE49-F238E27FC236}">
                    <a16:creationId xmlns:a16="http://schemas.microsoft.com/office/drawing/2014/main" id="{00000000-0008-0000-0000-0000C248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22</xdr:row>
          <xdr:rowOff>67130</xdr:rowOff>
        </xdr:from>
        <xdr:to>
          <xdr:col>37</xdr:col>
          <xdr:colOff>4455</xdr:colOff>
          <xdr:row>22</xdr:row>
          <xdr:rowOff>234770</xdr:rowOff>
        </xdr:to>
        <xdr:grpSp>
          <xdr:nvGrpSpPr>
            <xdr:cNvPr id="728" name="그룹 727">
              <a:extLst>
                <a:ext uri="{FF2B5EF4-FFF2-40B4-BE49-F238E27FC236}">
                  <a16:creationId xmlns:a16="http://schemas.microsoft.com/office/drawing/2014/main" id="{00000000-0008-0000-0000-0000D8020000}"/>
                </a:ext>
              </a:extLst>
            </xdr:cNvPr>
            <xdr:cNvGrpSpPr/>
          </xdr:nvGrpSpPr>
          <xdr:grpSpPr>
            <a:xfrm>
              <a:off x="22585441" y="6857397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627" name="Button 2243" hidden="1">
                <a:extLst>
                  <a:ext uri="{63B3BB69-23CF-44E3-9099-C40C66FF867C}">
                    <a14:compatExt spid="_x0000_s18627"/>
                  </a:ext>
                  <a:ext uri="{FF2B5EF4-FFF2-40B4-BE49-F238E27FC236}">
                    <a16:creationId xmlns:a16="http://schemas.microsoft.com/office/drawing/2014/main" id="{00000000-0008-0000-0000-0000C348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628" name="Button 2244" hidden="1">
                <a:extLst>
                  <a:ext uri="{63B3BB69-23CF-44E3-9099-C40C66FF867C}">
                    <a14:compatExt spid="_x0000_s18628"/>
                  </a:ext>
                  <a:ext uri="{FF2B5EF4-FFF2-40B4-BE49-F238E27FC236}">
                    <a16:creationId xmlns:a16="http://schemas.microsoft.com/office/drawing/2014/main" id="{00000000-0008-0000-0000-0000C448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23</xdr:row>
          <xdr:rowOff>67130</xdr:rowOff>
        </xdr:from>
        <xdr:to>
          <xdr:col>37</xdr:col>
          <xdr:colOff>4455</xdr:colOff>
          <xdr:row>23</xdr:row>
          <xdr:rowOff>234770</xdr:rowOff>
        </xdr:to>
        <xdr:grpSp>
          <xdr:nvGrpSpPr>
            <xdr:cNvPr id="731" name="그룹 730">
              <a:extLst>
                <a:ext uri="{FF2B5EF4-FFF2-40B4-BE49-F238E27FC236}">
                  <a16:creationId xmlns:a16="http://schemas.microsoft.com/office/drawing/2014/main" id="{00000000-0008-0000-0000-0000DB020000}"/>
                </a:ext>
              </a:extLst>
            </xdr:cNvPr>
            <xdr:cNvGrpSpPr/>
          </xdr:nvGrpSpPr>
          <xdr:grpSpPr>
            <a:xfrm>
              <a:off x="22585441" y="7162197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629" name="Button 2245" hidden="1">
                <a:extLst>
                  <a:ext uri="{63B3BB69-23CF-44E3-9099-C40C66FF867C}">
                    <a14:compatExt spid="_x0000_s18629"/>
                  </a:ext>
                  <a:ext uri="{FF2B5EF4-FFF2-40B4-BE49-F238E27FC236}">
                    <a16:creationId xmlns:a16="http://schemas.microsoft.com/office/drawing/2014/main" id="{00000000-0008-0000-0000-0000C548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630" name="Button 2246" hidden="1">
                <a:extLst>
                  <a:ext uri="{63B3BB69-23CF-44E3-9099-C40C66FF867C}">
                    <a14:compatExt spid="_x0000_s18630"/>
                  </a:ext>
                  <a:ext uri="{FF2B5EF4-FFF2-40B4-BE49-F238E27FC236}">
                    <a16:creationId xmlns:a16="http://schemas.microsoft.com/office/drawing/2014/main" id="{00000000-0008-0000-0000-0000C648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25</xdr:row>
          <xdr:rowOff>67130</xdr:rowOff>
        </xdr:from>
        <xdr:to>
          <xdr:col>37</xdr:col>
          <xdr:colOff>4455</xdr:colOff>
          <xdr:row>25</xdr:row>
          <xdr:rowOff>234770</xdr:rowOff>
        </xdr:to>
        <xdr:grpSp>
          <xdr:nvGrpSpPr>
            <xdr:cNvPr id="737" name="그룹 736">
              <a:extLst>
                <a:ext uri="{FF2B5EF4-FFF2-40B4-BE49-F238E27FC236}">
                  <a16:creationId xmlns:a16="http://schemas.microsoft.com/office/drawing/2014/main" id="{00000000-0008-0000-0000-0000E1020000}"/>
                </a:ext>
              </a:extLst>
            </xdr:cNvPr>
            <xdr:cNvGrpSpPr/>
          </xdr:nvGrpSpPr>
          <xdr:grpSpPr>
            <a:xfrm>
              <a:off x="22585441" y="7771797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633" name="Button 2249" hidden="1">
                <a:extLst>
                  <a:ext uri="{63B3BB69-23CF-44E3-9099-C40C66FF867C}">
                    <a14:compatExt spid="_x0000_s18633"/>
                  </a:ext>
                  <a:ext uri="{FF2B5EF4-FFF2-40B4-BE49-F238E27FC236}">
                    <a16:creationId xmlns:a16="http://schemas.microsoft.com/office/drawing/2014/main" id="{00000000-0008-0000-0000-0000C948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634" name="Button 2250" hidden="1">
                <a:extLst>
                  <a:ext uri="{63B3BB69-23CF-44E3-9099-C40C66FF867C}">
                    <a14:compatExt spid="_x0000_s18634"/>
                  </a:ext>
                  <a:ext uri="{FF2B5EF4-FFF2-40B4-BE49-F238E27FC236}">
                    <a16:creationId xmlns:a16="http://schemas.microsoft.com/office/drawing/2014/main" id="{00000000-0008-0000-0000-0000CA48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130</xdr:row>
          <xdr:rowOff>152400</xdr:rowOff>
        </xdr:from>
        <xdr:to>
          <xdr:col>10</xdr:col>
          <xdr:colOff>406400</xdr:colOff>
          <xdr:row>131</xdr:row>
          <xdr:rowOff>127000</xdr:rowOff>
        </xdr:to>
        <xdr:sp macro="" textlink="">
          <xdr:nvSpPr>
            <xdr:cNvPr id="18651" name="Check Box 2267" hidden="1">
              <a:extLst>
                <a:ext uri="{63B3BB69-23CF-44E3-9099-C40C66FF867C}">
                  <a14:compatExt spid="_x0000_s18651"/>
                </a:ext>
                <a:ext uri="{FF2B5EF4-FFF2-40B4-BE49-F238E27FC236}">
                  <a16:creationId xmlns:a16="http://schemas.microsoft.com/office/drawing/2014/main" id="{00000000-0008-0000-0000-0000D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130</xdr:row>
          <xdr:rowOff>78740</xdr:rowOff>
        </xdr:from>
        <xdr:to>
          <xdr:col>36</xdr:col>
          <xdr:colOff>0</xdr:colOff>
          <xdr:row>130</xdr:row>
          <xdr:rowOff>246380</xdr:rowOff>
        </xdr:to>
        <xdr:grpSp>
          <xdr:nvGrpSpPr>
            <xdr:cNvPr id="708" name="그룹 707">
              <a:extLst>
                <a:ext uri="{FF2B5EF4-FFF2-40B4-BE49-F238E27FC236}">
                  <a16:creationId xmlns:a16="http://schemas.microsoft.com/office/drawing/2014/main" id="{00000000-0008-0000-0000-0000C4020000}"/>
                </a:ext>
              </a:extLst>
            </xdr:cNvPr>
            <xdr:cNvGrpSpPr/>
          </xdr:nvGrpSpPr>
          <xdr:grpSpPr>
            <a:xfrm>
              <a:off x="20741640" y="41633140"/>
              <a:ext cx="1745827" cy="167640"/>
              <a:chOff x="14505941" y="980440"/>
              <a:chExt cx="2461228" cy="167640"/>
            </a:xfrm>
          </xdr:grpSpPr>
          <xdr:sp macro="" textlink="">
            <xdr:nvSpPr>
              <xdr:cNvPr id="18652" name="Button 2268" hidden="1">
                <a:extLst>
                  <a:ext uri="{63B3BB69-23CF-44E3-9099-C40C66FF867C}">
                    <a14:compatExt spid="_x0000_s18652"/>
                  </a:ext>
                  <a:ext uri="{FF2B5EF4-FFF2-40B4-BE49-F238E27FC236}">
                    <a16:creationId xmlns:a16="http://schemas.microsoft.com/office/drawing/2014/main" id="{00000000-0008-0000-0000-0000DC48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m.interf</a:t>
                </a:r>
              </a:p>
            </xdr:txBody>
          </xdr:sp>
          <xdr:sp macro="" textlink="">
            <xdr:nvSpPr>
              <xdr:cNvPr id="18653" name="Button 2269" hidden="1">
                <a:extLst>
                  <a:ext uri="{63B3BB69-23CF-44E3-9099-C40C66FF867C}">
                    <a14:compatExt spid="_x0000_s18653"/>
                  </a:ext>
                  <a:ext uri="{FF2B5EF4-FFF2-40B4-BE49-F238E27FC236}">
                    <a16:creationId xmlns:a16="http://schemas.microsoft.com/office/drawing/2014/main" id="{00000000-0008-0000-0000-0000DD480000}"/>
                  </a:ext>
                </a:extLst>
              </xdr:cNvPr>
              <xdr:cNvSpPr/>
            </xdr:nvSpPr>
            <xdr:spPr bwMode="auto">
              <a:xfrm>
                <a:off x="14505941" y="980440"/>
                <a:ext cx="59435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m.index</a:t>
                </a:r>
              </a:p>
            </xdr:txBody>
          </xdr:sp>
          <xdr:sp macro="" textlink="">
            <xdr:nvSpPr>
              <xdr:cNvPr id="18654" name="Button 2270" hidden="1">
                <a:extLst>
                  <a:ext uri="{63B3BB69-23CF-44E3-9099-C40C66FF867C}">
                    <a14:compatExt spid="_x0000_s18654"/>
                  </a:ext>
                  <a:ext uri="{FF2B5EF4-FFF2-40B4-BE49-F238E27FC236}">
                    <a16:creationId xmlns:a16="http://schemas.microsoft.com/office/drawing/2014/main" id="{00000000-0008-0000-0000-0000DE480000}"/>
                  </a:ext>
                </a:extLst>
              </xdr:cNvPr>
              <xdr:cNvSpPr/>
            </xdr:nvSpPr>
            <xdr:spPr bwMode="auto">
              <a:xfrm>
                <a:off x="15740373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  <xdr:sp macro="" textlink="">
            <xdr:nvSpPr>
              <xdr:cNvPr id="18655" name="Button 2271" hidden="1">
                <a:extLst>
                  <a:ext uri="{63B3BB69-23CF-44E3-9099-C40C66FF867C}">
                    <a14:compatExt spid="_x0000_s18655"/>
                  </a:ext>
                  <a:ext uri="{FF2B5EF4-FFF2-40B4-BE49-F238E27FC236}">
                    <a16:creationId xmlns:a16="http://schemas.microsoft.com/office/drawing/2014/main" id="{00000000-0008-0000-0000-0000DF48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130</xdr:row>
          <xdr:rowOff>67130</xdr:rowOff>
        </xdr:from>
        <xdr:to>
          <xdr:col>37</xdr:col>
          <xdr:colOff>4455</xdr:colOff>
          <xdr:row>130</xdr:row>
          <xdr:rowOff>234770</xdr:rowOff>
        </xdr:to>
        <xdr:grpSp>
          <xdr:nvGrpSpPr>
            <xdr:cNvPr id="713" name="그룹 712">
              <a:extLst>
                <a:ext uri="{FF2B5EF4-FFF2-40B4-BE49-F238E27FC236}">
                  <a16:creationId xmlns:a16="http://schemas.microsoft.com/office/drawing/2014/main" id="{00000000-0008-0000-0000-0000C9020000}"/>
                </a:ext>
              </a:extLst>
            </xdr:cNvPr>
            <xdr:cNvGrpSpPr/>
          </xdr:nvGrpSpPr>
          <xdr:grpSpPr>
            <a:xfrm>
              <a:off x="22585441" y="41621530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656" name="Button 2272" hidden="1">
                <a:extLst>
                  <a:ext uri="{63B3BB69-23CF-44E3-9099-C40C66FF867C}">
                    <a14:compatExt spid="_x0000_s18656"/>
                  </a:ext>
                  <a:ext uri="{FF2B5EF4-FFF2-40B4-BE49-F238E27FC236}">
                    <a16:creationId xmlns:a16="http://schemas.microsoft.com/office/drawing/2014/main" id="{00000000-0008-0000-0000-0000E048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657" name="Button 2273" hidden="1">
                <a:extLst>
                  <a:ext uri="{63B3BB69-23CF-44E3-9099-C40C66FF867C}">
                    <a14:compatExt spid="_x0000_s18657"/>
                  </a:ext>
                  <a:ext uri="{FF2B5EF4-FFF2-40B4-BE49-F238E27FC236}">
                    <a16:creationId xmlns:a16="http://schemas.microsoft.com/office/drawing/2014/main" id="{00000000-0008-0000-0000-0000E148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131</xdr:row>
          <xdr:rowOff>67130</xdr:rowOff>
        </xdr:from>
        <xdr:to>
          <xdr:col>37</xdr:col>
          <xdr:colOff>4455</xdr:colOff>
          <xdr:row>131</xdr:row>
          <xdr:rowOff>234770</xdr:rowOff>
        </xdr:to>
        <xdr:grpSp>
          <xdr:nvGrpSpPr>
            <xdr:cNvPr id="716" name="그룹 715">
              <a:extLst>
                <a:ext uri="{FF2B5EF4-FFF2-40B4-BE49-F238E27FC236}">
                  <a16:creationId xmlns:a16="http://schemas.microsoft.com/office/drawing/2014/main" id="{00000000-0008-0000-0000-0000CC020000}"/>
                </a:ext>
              </a:extLst>
            </xdr:cNvPr>
            <xdr:cNvGrpSpPr/>
          </xdr:nvGrpSpPr>
          <xdr:grpSpPr>
            <a:xfrm>
              <a:off x="22585441" y="41926330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658" name="Button 2274" hidden="1">
                <a:extLst>
                  <a:ext uri="{63B3BB69-23CF-44E3-9099-C40C66FF867C}">
                    <a14:compatExt spid="_x0000_s18658"/>
                  </a:ext>
                  <a:ext uri="{FF2B5EF4-FFF2-40B4-BE49-F238E27FC236}">
                    <a16:creationId xmlns:a16="http://schemas.microsoft.com/office/drawing/2014/main" id="{00000000-0008-0000-0000-0000E248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659" name="Button 2275" hidden="1">
                <a:extLst>
                  <a:ext uri="{63B3BB69-23CF-44E3-9099-C40C66FF867C}">
                    <a14:compatExt spid="_x0000_s18659"/>
                  </a:ext>
                  <a:ext uri="{FF2B5EF4-FFF2-40B4-BE49-F238E27FC236}">
                    <a16:creationId xmlns:a16="http://schemas.microsoft.com/office/drawing/2014/main" id="{00000000-0008-0000-0000-0000E348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132</xdr:row>
          <xdr:rowOff>67130</xdr:rowOff>
        </xdr:from>
        <xdr:to>
          <xdr:col>37</xdr:col>
          <xdr:colOff>4455</xdr:colOff>
          <xdr:row>132</xdr:row>
          <xdr:rowOff>234770</xdr:rowOff>
        </xdr:to>
        <xdr:grpSp>
          <xdr:nvGrpSpPr>
            <xdr:cNvPr id="719" name="그룹 718">
              <a:extLst>
                <a:ext uri="{FF2B5EF4-FFF2-40B4-BE49-F238E27FC236}">
                  <a16:creationId xmlns:a16="http://schemas.microsoft.com/office/drawing/2014/main" id="{00000000-0008-0000-0000-0000CF020000}"/>
                </a:ext>
              </a:extLst>
            </xdr:cNvPr>
            <xdr:cNvGrpSpPr/>
          </xdr:nvGrpSpPr>
          <xdr:grpSpPr>
            <a:xfrm>
              <a:off x="22585441" y="42231130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660" name="Button 2276" hidden="1">
                <a:extLst>
                  <a:ext uri="{63B3BB69-23CF-44E3-9099-C40C66FF867C}">
                    <a14:compatExt spid="_x0000_s18660"/>
                  </a:ext>
                  <a:ext uri="{FF2B5EF4-FFF2-40B4-BE49-F238E27FC236}">
                    <a16:creationId xmlns:a16="http://schemas.microsoft.com/office/drawing/2014/main" id="{00000000-0008-0000-0000-0000E448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661" name="Button 2277" hidden="1">
                <a:extLst>
                  <a:ext uri="{63B3BB69-23CF-44E3-9099-C40C66FF867C}">
                    <a14:compatExt spid="_x0000_s18661"/>
                  </a:ext>
                  <a:ext uri="{FF2B5EF4-FFF2-40B4-BE49-F238E27FC236}">
                    <a16:creationId xmlns:a16="http://schemas.microsoft.com/office/drawing/2014/main" id="{00000000-0008-0000-0000-0000E548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130</xdr:row>
          <xdr:rowOff>65316</xdr:rowOff>
        </xdr:from>
        <xdr:to>
          <xdr:col>39</xdr:col>
          <xdr:colOff>768433</xdr:colOff>
          <xdr:row>130</xdr:row>
          <xdr:rowOff>232956</xdr:rowOff>
        </xdr:to>
        <xdr:grpSp>
          <xdr:nvGrpSpPr>
            <xdr:cNvPr id="723" name="그룹 722">
              <a:extLst>
                <a:ext uri="{FF2B5EF4-FFF2-40B4-BE49-F238E27FC236}">
                  <a16:creationId xmlns:a16="http://schemas.microsoft.com/office/drawing/2014/main" id="{00000000-0008-0000-0000-0000D3020000}"/>
                </a:ext>
              </a:extLst>
            </xdr:cNvPr>
            <xdr:cNvGrpSpPr/>
          </xdr:nvGrpSpPr>
          <xdr:grpSpPr>
            <a:xfrm>
              <a:off x="24593249" y="416197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662" name="Button 2278" hidden="1">
                <a:extLst>
                  <a:ext uri="{63B3BB69-23CF-44E3-9099-C40C66FF867C}">
                    <a14:compatExt spid="_x0000_s18662"/>
                  </a:ext>
                  <a:ext uri="{FF2B5EF4-FFF2-40B4-BE49-F238E27FC236}">
                    <a16:creationId xmlns:a16="http://schemas.microsoft.com/office/drawing/2014/main" id="{00000000-0008-0000-0000-0000E6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663" name="Button 2279" hidden="1">
                <a:extLst>
                  <a:ext uri="{63B3BB69-23CF-44E3-9099-C40C66FF867C}">
                    <a14:compatExt spid="_x0000_s18663"/>
                  </a:ext>
                  <a:ext uri="{FF2B5EF4-FFF2-40B4-BE49-F238E27FC236}">
                    <a16:creationId xmlns:a16="http://schemas.microsoft.com/office/drawing/2014/main" id="{00000000-0008-0000-0000-0000E7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131</xdr:row>
          <xdr:rowOff>65316</xdr:rowOff>
        </xdr:from>
        <xdr:to>
          <xdr:col>39</xdr:col>
          <xdr:colOff>768433</xdr:colOff>
          <xdr:row>131</xdr:row>
          <xdr:rowOff>232956</xdr:rowOff>
        </xdr:to>
        <xdr:grpSp>
          <xdr:nvGrpSpPr>
            <xdr:cNvPr id="726" name="그룹 725">
              <a:extLst>
                <a:ext uri="{FF2B5EF4-FFF2-40B4-BE49-F238E27FC236}">
                  <a16:creationId xmlns:a16="http://schemas.microsoft.com/office/drawing/2014/main" id="{00000000-0008-0000-0000-0000D6020000}"/>
                </a:ext>
              </a:extLst>
            </xdr:cNvPr>
            <xdr:cNvGrpSpPr/>
          </xdr:nvGrpSpPr>
          <xdr:grpSpPr>
            <a:xfrm>
              <a:off x="24593249" y="419245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664" name="Button 2280" hidden="1">
                <a:extLst>
                  <a:ext uri="{63B3BB69-23CF-44E3-9099-C40C66FF867C}">
                    <a14:compatExt spid="_x0000_s18664"/>
                  </a:ext>
                  <a:ext uri="{FF2B5EF4-FFF2-40B4-BE49-F238E27FC236}">
                    <a16:creationId xmlns:a16="http://schemas.microsoft.com/office/drawing/2014/main" id="{00000000-0008-0000-0000-0000E8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665" name="Button 2281" hidden="1">
                <a:extLst>
                  <a:ext uri="{63B3BB69-23CF-44E3-9099-C40C66FF867C}">
                    <a14:compatExt spid="_x0000_s18665"/>
                  </a:ext>
                  <a:ext uri="{FF2B5EF4-FFF2-40B4-BE49-F238E27FC236}">
                    <a16:creationId xmlns:a16="http://schemas.microsoft.com/office/drawing/2014/main" id="{00000000-0008-0000-0000-0000E9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132</xdr:row>
          <xdr:rowOff>65316</xdr:rowOff>
        </xdr:from>
        <xdr:to>
          <xdr:col>39</xdr:col>
          <xdr:colOff>768433</xdr:colOff>
          <xdr:row>132</xdr:row>
          <xdr:rowOff>232956</xdr:rowOff>
        </xdr:to>
        <xdr:grpSp>
          <xdr:nvGrpSpPr>
            <xdr:cNvPr id="729" name="그룹 728">
              <a:extLst>
                <a:ext uri="{FF2B5EF4-FFF2-40B4-BE49-F238E27FC236}">
                  <a16:creationId xmlns:a16="http://schemas.microsoft.com/office/drawing/2014/main" id="{00000000-0008-0000-0000-0000D9020000}"/>
                </a:ext>
              </a:extLst>
            </xdr:cNvPr>
            <xdr:cNvGrpSpPr/>
          </xdr:nvGrpSpPr>
          <xdr:grpSpPr>
            <a:xfrm>
              <a:off x="24593249" y="422293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666" name="Button 2282" hidden="1">
                <a:extLst>
                  <a:ext uri="{63B3BB69-23CF-44E3-9099-C40C66FF867C}">
                    <a14:compatExt spid="_x0000_s18666"/>
                  </a:ext>
                  <a:ext uri="{FF2B5EF4-FFF2-40B4-BE49-F238E27FC236}">
                    <a16:creationId xmlns:a16="http://schemas.microsoft.com/office/drawing/2014/main" id="{00000000-0008-0000-0000-0000EA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667" name="Button 2283" hidden="1">
                <a:extLst>
                  <a:ext uri="{63B3BB69-23CF-44E3-9099-C40C66FF867C}">
                    <a14:compatExt spid="_x0000_s18667"/>
                  </a:ext>
                  <a:ext uri="{FF2B5EF4-FFF2-40B4-BE49-F238E27FC236}">
                    <a16:creationId xmlns:a16="http://schemas.microsoft.com/office/drawing/2014/main" id="{00000000-0008-0000-0000-0000EB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88</xdr:row>
          <xdr:rowOff>65316</xdr:rowOff>
        </xdr:from>
        <xdr:to>
          <xdr:col>39</xdr:col>
          <xdr:colOff>768433</xdr:colOff>
          <xdr:row>88</xdr:row>
          <xdr:rowOff>232956</xdr:rowOff>
        </xdr:to>
        <xdr:grpSp>
          <xdr:nvGrpSpPr>
            <xdr:cNvPr id="672" name="그룹 671">
              <a:extLst>
                <a:ext uri="{FF2B5EF4-FFF2-40B4-BE49-F238E27FC236}">
                  <a16:creationId xmlns:a16="http://schemas.microsoft.com/office/drawing/2014/main" id="{00000000-0008-0000-0000-0000A0020000}"/>
                </a:ext>
              </a:extLst>
            </xdr:cNvPr>
            <xdr:cNvGrpSpPr/>
          </xdr:nvGrpSpPr>
          <xdr:grpSpPr>
            <a:xfrm>
              <a:off x="24593249" y="274295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669" name="Button 2285" hidden="1">
                <a:extLst>
                  <a:ext uri="{63B3BB69-23CF-44E3-9099-C40C66FF867C}">
                    <a14:compatExt spid="_x0000_s18669"/>
                  </a:ext>
                  <a:ext uri="{FF2B5EF4-FFF2-40B4-BE49-F238E27FC236}">
                    <a16:creationId xmlns:a16="http://schemas.microsoft.com/office/drawing/2014/main" id="{00000000-0008-0000-0000-0000ED48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670" name="Button 2286" hidden="1">
                <a:extLst>
                  <a:ext uri="{63B3BB69-23CF-44E3-9099-C40C66FF867C}">
                    <a14:compatExt spid="_x0000_s18670"/>
                  </a:ext>
                  <a:ext uri="{FF2B5EF4-FFF2-40B4-BE49-F238E27FC236}">
                    <a16:creationId xmlns:a16="http://schemas.microsoft.com/office/drawing/2014/main" id="{00000000-0008-0000-0000-0000EE48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88</xdr:row>
          <xdr:rowOff>67130</xdr:rowOff>
        </xdr:from>
        <xdr:to>
          <xdr:col>37</xdr:col>
          <xdr:colOff>4455</xdr:colOff>
          <xdr:row>88</xdr:row>
          <xdr:rowOff>234770</xdr:rowOff>
        </xdr:to>
        <xdr:grpSp>
          <xdr:nvGrpSpPr>
            <xdr:cNvPr id="675" name="그룹 674">
              <a:extLst>
                <a:ext uri="{FF2B5EF4-FFF2-40B4-BE49-F238E27FC236}">
                  <a16:creationId xmlns:a16="http://schemas.microsoft.com/office/drawing/2014/main" id="{00000000-0008-0000-0000-0000A3020000}"/>
                </a:ext>
              </a:extLst>
            </xdr:cNvPr>
            <xdr:cNvGrpSpPr/>
          </xdr:nvGrpSpPr>
          <xdr:grpSpPr>
            <a:xfrm>
              <a:off x="22585441" y="27431397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671" name="Button 2287" hidden="1">
                <a:extLst>
                  <a:ext uri="{63B3BB69-23CF-44E3-9099-C40C66FF867C}">
                    <a14:compatExt spid="_x0000_s18671"/>
                  </a:ext>
                  <a:ext uri="{FF2B5EF4-FFF2-40B4-BE49-F238E27FC236}">
                    <a16:creationId xmlns:a16="http://schemas.microsoft.com/office/drawing/2014/main" id="{00000000-0008-0000-0000-0000EF48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672" name="Button 2288" hidden="1">
                <a:extLst>
                  <a:ext uri="{63B3BB69-23CF-44E3-9099-C40C66FF867C}">
                    <a14:compatExt spid="_x0000_s18672"/>
                  </a:ext>
                  <a:ext uri="{FF2B5EF4-FFF2-40B4-BE49-F238E27FC236}">
                    <a16:creationId xmlns:a16="http://schemas.microsoft.com/office/drawing/2014/main" id="{00000000-0008-0000-0000-0000F048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95</xdr:row>
          <xdr:rowOff>67130</xdr:rowOff>
        </xdr:from>
        <xdr:to>
          <xdr:col>37</xdr:col>
          <xdr:colOff>4455</xdr:colOff>
          <xdr:row>95</xdr:row>
          <xdr:rowOff>234770</xdr:rowOff>
        </xdr:to>
        <xdr:grpSp>
          <xdr:nvGrpSpPr>
            <xdr:cNvPr id="677" name="그룹 676">
              <a:extLst>
                <a:ext uri="{FF2B5EF4-FFF2-40B4-BE49-F238E27FC236}">
                  <a16:creationId xmlns:a16="http://schemas.microsoft.com/office/drawing/2014/main" id="{00000000-0008-0000-0000-0000A5020000}"/>
                </a:ext>
              </a:extLst>
            </xdr:cNvPr>
            <xdr:cNvGrpSpPr/>
          </xdr:nvGrpSpPr>
          <xdr:grpSpPr>
            <a:xfrm>
              <a:off x="22585441" y="31292197"/>
              <a:ext cx="956347" cy="167640"/>
              <a:chOff x="17819584" y="0"/>
              <a:chExt cx="1795528" cy="0"/>
            </a:xfrm>
          </xdr:grpSpPr>
          <xdr:sp macro="" textlink="">
            <xdr:nvSpPr>
              <xdr:cNvPr id="18673" name="Button 2289" hidden="1">
                <a:extLst>
                  <a:ext uri="{63B3BB69-23CF-44E3-9099-C40C66FF867C}">
                    <a14:compatExt spid="_x0000_s18673"/>
                  </a:ext>
                  <a:ext uri="{FF2B5EF4-FFF2-40B4-BE49-F238E27FC236}">
                    <a16:creationId xmlns:a16="http://schemas.microsoft.com/office/drawing/2014/main" id="{00000000-0008-0000-0000-0000F1480000}"/>
                  </a:ext>
                </a:extLst>
              </xdr:cNvPr>
              <xdr:cNvSpPr/>
            </xdr:nvSpPr>
            <xdr:spPr bwMode="auto">
              <a:xfrm>
                <a:off x="18967417" y="0"/>
                <a:ext cx="64769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674" name="Button 2290" hidden="1">
                <a:extLst>
                  <a:ext uri="{63B3BB69-23CF-44E3-9099-C40C66FF867C}">
                    <a14:compatExt spid="_x0000_s18674"/>
                  </a:ext>
                  <a:ext uri="{FF2B5EF4-FFF2-40B4-BE49-F238E27FC236}">
                    <a16:creationId xmlns:a16="http://schemas.microsoft.com/office/drawing/2014/main" id="{00000000-0008-0000-0000-0000F2480000}"/>
                  </a:ext>
                </a:extLst>
              </xdr:cNvPr>
              <xdr:cNvSpPr/>
            </xdr:nvSpPr>
            <xdr:spPr bwMode="auto">
              <a:xfrm>
                <a:off x="17819584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96</xdr:row>
          <xdr:rowOff>67130</xdr:rowOff>
        </xdr:from>
        <xdr:to>
          <xdr:col>37</xdr:col>
          <xdr:colOff>4455</xdr:colOff>
          <xdr:row>96</xdr:row>
          <xdr:rowOff>234770</xdr:rowOff>
        </xdr:to>
        <xdr:grpSp>
          <xdr:nvGrpSpPr>
            <xdr:cNvPr id="680" name="그룹 679">
              <a:extLst>
                <a:ext uri="{FF2B5EF4-FFF2-40B4-BE49-F238E27FC236}">
                  <a16:creationId xmlns:a16="http://schemas.microsoft.com/office/drawing/2014/main" id="{00000000-0008-0000-0000-0000A8020000}"/>
                </a:ext>
              </a:extLst>
            </xdr:cNvPr>
            <xdr:cNvGrpSpPr/>
          </xdr:nvGrpSpPr>
          <xdr:grpSpPr>
            <a:xfrm>
              <a:off x="22585441" y="31596997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675" name="Button 2291" hidden="1">
                <a:extLst>
                  <a:ext uri="{63B3BB69-23CF-44E3-9099-C40C66FF867C}">
                    <a14:compatExt spid="_x0000_s18675"/>
                  </a:ext>
                  <a:ext uri="{FF2B5EF4-FFF2-40B4-BE49-F238E27FC236}">
                    <a16:creationId xmlns:a16="http://schemas.microsoft.com/office/drawing/2014/main" id="{00000000-0008-0000-0000-0000F348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676" name="Button 2292" hidden="1">
                <a:extLst>
                  <a:ext uri="{63B3BB69-23CF-44E3-9099-C40C66FF867C}">
                    <a14:compatExt spid="_x0000_s18676"/>
                  </a:ext>
                  <a:ext uri="{FF2B5EF4-FFF2-40B4-BE49-F238E27FC236}">
                    <a16:creationId xmlns:a16="http://schemas.microsoft.com/office/drawing/2014/main" id="{00000000-0008-0000-0000-0000F448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97</xdr:row>
          <xdr:rowOff>67130</xdr:rowOff>
        </xdr:from>
        <xdr:to>
          <xdr:col>37</xdr:col>
          <xdr:colOff>4455</xdr:colOff>
          <xdr:row>97</xdr:row>
          <xdr:rowOff>234770</xdr:rowOff>
        </xdr:to>
        <xdr:grpSp>
          <xdr:nvGrpSpPr>
            <xdr:cNvPr id="683" name="그룹 682">
              <a:extLst>
                <a:ext uri="{FF2B5EF4-FFF2-40B4-BE49-F238E27FC236}">
                  <a16:creationId xmlns:a16="http://schemas.microsoft.com/office/drawing/2014/main" id="{00000000-0008-0000-0000-0000AB020000}"/>
                </a:ext>
              </a:extLst>
            </xdr:cNvPr>
            <xdr:cNvGrpSpPr/>
          </xdr:nvGrpSpPr>
          <xdr:grpSpPr>
            <a:xfrm>
              <a:off x="22585441" y="31901797"/>
              <a:ext cx="956347" cy="167640"/>
              <a:chOff x="17819584" y="0"/>
              <a:chExt cx="1795528" cy="0"/>
            </a:xfrm>
          </xdr:grpSpPr>
          <xdr:sp macro="" textlink="">
            <xdr:nvSpPr>
              <xdr:cNvPr id="18677" name="Button 2293" hidden="1">
                <a:extLst>
                  <a:ext uri="{63B3BB69-23CF-44E3-9099-C40C66FF867C}">
                    <a14:compatExt spid="_x0000_s18677"/>
                  </a:ext>
                  <a:ext uri="{FF2B5EF4-FFF2-40B4-BE49-F238E27FC236}">
                    <a16:creationId xmlns:a16="http://schemas.microsoft.com/office/drawing/2014/main" id="{00000000-0008-0000-0000-0000F5480000}"/>
                  </a:ext>
                </a:extLst>
              </xdr:cNvPr>
              <xdr:cNvSpPr/>
            </xdr:nvSpPr>
            <xdr:spPr bwMode="auto">
              <a:xfrm>
                <a:off x="18967417" y="0"/>
                <a:ext cx="64769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678" name="Button 2294" hidden="1">
                <a:extLst>
                  <a:ext uri="{63B3BB69-23CF-44E3-9099-C40C66FF867C}">
                    <a14:compatExt spid="_x0000_s18678"/>
                  </a:ext>
                  <a:ext uri="{FF2B5EF4-FFF2-40B4-BE49-F238E27FC236}">
                    <a16:creationId xmlns:a16="http://schemas.microsoft.com/office/drawing/2014/main" id="{00000000-0008-0000-0000-0000F6480000}"/>
                  </a:ext>
                </a:extLst>
              </xdr:cNvPr>
              <xdr:cNvSpPr/>
            </xdr:nvSpPr>
            <xdr:spPr bwMode="auto">
              <a:xfrm>
                <a:off x="17819584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98</xdr:row>
          <xdr:rowOff>67130</xdr:rowOff>
        </xdr:from>
        <xdr:to>
          <xdr:col>37</xdr:col>
          <xdr:colOff>4455</xdr:colOff>
          <xdr:row>98</xdr:row>
          <xdr:rowOff>211910</xdr:rowOff>
        </xdr:to>
        <xdr:grpSp>
          <xdr:nvGrpSpPr>
            <xdr:cNvPr id="686" name="그룹 685">
              <a:extLst>
                <a:ext uri="{FF2B5EF4-FFF2-40B4-BE49-F238E27FC236}">
                  <a16:creationId xmlns:a16="http://schemas.microsoft.com/office/drawing/2014/main" id="{00000000-0008-0000-0000-0000AE020000}"/>
                </a:ext>
              </a:extLst>
            </xdr:cNvPr>
            <xdr:cNvGrpSpPr/>
          </xdr:nvGrpSpPr>
          <xdr:grpSpPr>
            <a:xfrm>
              <a:off x="22585441" y="32206597"/>
              <a:ext cx="956347" cy="144780"/>
              <a:chOff x="17819584" y="0"/>
              <a:chExt cx="1795528" cy="0"/>
            </a:xfrm>
          </xdr:grpSpPr>
          <xdr:sp macro="" textlink="">
            <xdr:nvSpPr>
              <xdr:cNvPr id="18679" name="Button 2295" hidden="1">
                <a:extLst>
                  <a:ext uri="{63B3BB69-23CF-44E3-9099-C40C66FF867C}">
                    <a14:compatExt spid="_x0000_s18679"/>
                  </a:ext>
                  <a:ext uri="{FF2B5EF4-FFF2-40B4-BE49-F238E27FC236}">
                    <a16:creationId xmlns:a16="http://schemas.microsoft.com/office/drawing/2014/main" id="{00000000-0008-0000-0000-0000F7480000}"/>
                  </a:ext>
                </a:extLst>
              </xdr:cNvPr>
              <xdr:cNvSpPr/>
            </xdr:nvSpPr>
            <xdr:spPr bwMode="auto">
              <a:xfrm>
                <a:off x="18967417" y="0"/>
                <a:ext cx="64769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680" name="Button 2296" hidden="1">
                <a:extLst>
                  <a:ext uri="{63B3BB69-23CF-44E3-9099-C40C66FF867C}">
                    <a14:compatExt spid="_x0000_s18680"/>
                  </a:ext>
                  <a:ext uri="{FF2B5EF4-FFF2-40B4-BE49-F238E27FC236}">
                    <a16:creationId xmlns:a16="http://schemas.microsoft.com/office/drawing/2014/main" id="{00000000-0008-0000-0000-0000F8480000}"/>
                  </a:ext>
                </a:extLst>
              </xdr:cNvPr>
              <xdr:cNvSpPr/>
            </xdr:nvSpPr>
            <xdr:spPr bwMode="auto">
              <a:xfrm>
                <a:off x="17819584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99</xdr:row>
          <xdr:rowOff>67130</xdr:rowOff>
        </xdr:from>
        <xdr:to>
          <xdr:col>37</xdr:col>
          <xdr:colOff>4455</xdr:colOff>
          <xdr:row>99</xdr:row>
          <xdr:rowOff>234770</xdr:rowOff>
        </xdr:to>
        <xdr:grpSp>
          <xdr:nvGrpSpPr>
            <xdr:cNvPr id="689" name="그룹 688">
              <a:extLst>
                <a:ext uri="{FF2B5EF4-FFF2-40B4-BE49-F238E27FC236}">
                  <a16:creationId xmlns:a16="http://schemas.microsoft.com/office/drawing/2014/main" id="{00000000-0008-0000-0000-0000B1020000}"/>
                </a:ext>
              </a:extLst>
            </xdr:cNvPr>
            <xdr:cNvGrpSpPr/>
          </xdr:nvGrpSpPr>
          <xdr:grpSpPr>
            <a:xfrm>
              <a:off x="22585441" y="32426730"/>
              <a:ext cx="956347" cy="167640"/>
              <a:chOff x="17819584" y="0"/>
              <a:chExt cx="1795528" cy="0"/>
            </a:xfrm>
          </xdr:grpSpPr>
          <xdr:sp macro="" textlink="">
            <xdr:nvSpPr>
              <xdr:cNvPr id="18681" name="Button 2297" hidden="1">
                <a:extLst>
                  <a:ext uri="{63B3BB69-23CF-44E3-9099-C40C66FF867C}">
                    <a14:compatExt spid="_x0000_s18681"/>
                  </a:ext>
                  <a:ext uri="{FF2B5EF4-FFF2-40B4-BE49-F238E27FC236}">
                    <a16:creationId xmlns:a16="http://schemas.microsoft.com/office/drawing/2014/main" id="{00000000-0008-0000-0000-0000F9480000}"/>
                  </a:ext>
                </a:extLst>
              </xdr:cNvPr>
              <xdr:cNvSpPr/>
            </xdr:nvSpPr>
            <xdr:spPr bwMode="auto">
              <a:xfrm>
                <a:off x="18967417" y="0"/>
                <a:ext cx="64769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682" name="Button 2298" hidden="1">
                <a:extLst>
                  <a:ext uri="{63B3BB69-23CF-44E3-9099-C40C66FF867C}">
                    <a14:compatExt spid="_x0000_s18682"/>
                  </a:ext>
                  <a:ext uri="{FF2B5EF4-FFF2-40B4-BE49-F238E27FC236}">
                    <a16:creationId xmlns:a16="http://schemas.microsoft.com/office/drawing/2014/main" id="{00000000-0008-0000-0000-0000FA480000}"/>
                  </a:ext>
                </a:extLst>
              </xdr:cNvPr>
              <xdr:cNvSpPr/>
            </xdr:nvSpPr>
            <xdr:spPr bwMode="auto">
              <a:xfrm>
                <a:off x="17819584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100</xdr:row>
          <xdr:rowOff>67130</xdr:rowOff>
        </xdr:from>
        <xdr:to>
          <xdr:col>37</xdr:col>
          <xdr:colOff>4455</xdr:colOff>
          <xdr:row>100</xdr:row>
          <xdr:rowOff>234770</xdr:rowOff>
        </xdr:to>
        <xdr:grpSp>
          <xdr:nvGrpSpPr>
            <xdr:cNvPr id="692" name="그룹 691">
              <a:extLst>
                <a:ext uri="{FF2B5EF4-FFF2-40B4-BE49-F238E27FC236}">
                  <a16:creationId xmlns:a16="http://schemas.microsoft.com/office/drawing/2014/main" id="{00000000-0008-0000-0000-0000B4020000}"/>
                </a:ext>
              </a:extLst>
            </xdr:cNvPr>
            <xdr:cNvGrpSpPr/>
          </xdr:nvGrpSpPr>
          <xdr:grpSpPr>
            <a:xfrm>
              <a:off x="22585441" y="32731530"/>
              <a:ext cx="956347" cy="167640"/>
              <a:chOff x="17819584" y="0"/>
              <a:chExt cx="1795528" cy="0"/>
            </a:xfrm>
          </xdr:grpSpPr>
          <xdr:sp macro="" textlink="">
            <xdr:nvSpPr>
              <xdr:cNvPr id="18683" name="Button 2299" hidden="1">
                <a:extLst>
                  <a:ext uri="{63B3BB69-23CF-44E3-9099-C40C66FF867C}">
                    <a14:compatExt spid="_x0000_s18683"/>
                  </a:ext>
                  <a:ext uri="{FF2B5EF4-FFF2-40B4-BE49-F238E27FC236}">
                    <a16:creationId xmlns:a16="http://schemas.microsoft.com/office/drawing/2014/main" id="{00000000-0008-0000-0000-0000FB480000}"/>
                  </a:ext>
                </a:extLst>
              </xdr:cNvPr>
              <xdr:cNvSpPr/>
            </xdr:nvSpPr>
            <xdr:spPr bwMode="auto">
              <a:xfrm>
                <a:off x="18967417" y="0"/>
                <a:ext cx="64769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684" name="Button 2300" hidden="1">
                <a:extLst>
                  <a:ext uri="{63B3BB69-23CF-44E3-9099-C40C66FF867C}">
                    <a14:compatExt spid="_x0000_s18684"/>
                  </a:ext>
                  <a:ext uri="{FF2B5EF4-FFF2-40B4-BE49-F238E27FC236}">
                    <a16:creationId xmlns:a16="http://schemas.microsoft.com/office/drawing/2014/main" id="{00000000-0008-0000-0000-0000FC480000}"/>
                  </a:ext>
                </a:extLst>
              </xdr:cNvPr>
              <xdr:cNvSpPr/>
            </xdr:nvSpPr>
            <xdr:spPr bwMode="auto">
              <a:xfrm>
                <a:off x="17819584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101</xdr:row>
          <xdr:rowOff>67130</xdr:rowOff>
        </xdr:from>
        <xdr:to>
          <xdr:col>37</xdr:col>
          <xdr:colOff>4455</xdr:colOff>
          <xdr:row>101</xdr:row>
          <xdr:rowOff>234770</xdr:rowOff>
        </xdr:to>
        <xdr:grpSp>
          <xdr:nvGrpSpPr>
            <xdr:cNvPr id="695" name="그룹 694">
              <a:extLst>
                <a:ext uri="{FF2B5EF4-FFF2-40B4-BE49-F238E27FC236}">
                  <a16:creationId xmlns:a16="http://schemas.microsoft.com/office/drawing/2014/main" id="{00000000-0008-0000-0000-0000B7020000}"/>
                </a:ext>
              </a:extLst>
            </xdr:cNvPr>
            <xdr:cNvGrpSpPr/>
          </xdr:nvGrpSpPr>
          <xdr:grpSpPr>
            <a:xfrm>
              <a:off x="22585441" y="33036330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685" name="Button 2301" hidden="1">
                <a:extLst>
                  <a:ext uri="{63B3BB69-23CF-44E3-9099-C40C66FF867C}">
                    <a14:compatExt spid="_x0000_s18685"/>
                  </a:ext>
                  <a:ext uri="{FF2B5EF4-FFF2-40B4-BE49-F238E27FC236}">
                    <a16:creationId xmlns:a16="http://schemas.microsoft.com/office/drawing/2014/main" id="{00000000-0008-0000-0000-0000FD48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686" name="Button 2302" hidden="1">
                <a:extLst>
                  <a:ext uri="{63B3BB69-23CF-44E3-9099-C40C66FF867C}">
                    <a14:compatExt spid="_x0000_s18686"/>
                  </a:ext>
                  <a:ext uri="{FF2B5EF4-FFF2-40B4-BE49-F238E27FC236}">
                    <a16:creationId xmlns:a16="http://schemas.microsoft.com/office/drawing/2014/main" id="{00000000-0008-0000-0000-0000FE48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63</xdr:row>
          <xdr:rowOff>67130</xdr:rowOff>
        </xdr:from>
        <xdr:to>
          <xdr:col>37</xdr:col>
          <xdr:colOff>4455</xdr:colOff>
          <xdr:row>63</xdr:row>
          <xdr:rowOff>234770</xdr:rowOff>
        </xdr:to>
        <xdr:grpSp>
          <xdr:nvGrpSpPr>
            <xdr:cNvPr id="698" name="그룹 697">
              <a:extLst>
                <a:ext uri="{FF2B5EF4-FFF2-40B4-BE49-F238E27FC236}">
                  <a16:creationId xmlns:a16="http://schemas.microsoft.com/office/drawing/2014/main" id="{00000000-0008-0000-0000-0000BA020000}"/>
                </a:ext>
              </a:extLst>
            </xdr:cNvPr>
            <xdr:cNvGrpSpPr/>
          </xdr:nvGrpSpPr>
          <xdr:grpSpPr>
            <a:xfrm>
              <a:off x="22585441" y="188800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687" name="Button 2303" hidden="1">
                <a:extLst>
                  <a:ext uri="{63B3BB69-23CF-44E3-9099-C40C66FF867C}">
                    <a14:compatExt spid="_x0000_s18687"/>
                  </a:ext>
                  <a:ext uri="{FF2B5EF4-FFF2-40B4-BE49-F238E27FC236}">
                    <a16:creationId xmlns:a16="http://schemas.microsoft.com/office/drawing/2014/main" id="{00000000-0008-0000-0000-0000FF48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688" name="Button 2304" hidden="1">
                <a:extLst>
                  <a:ext uri="{63B3BB69-23CF-44E3-9099-C40C66FF867C}">
                    <a14:compatExt spid="_x0000_s18688"/>
                  </a:ext>
                  <a:ext uri="{FF2B5EF4-FFF2-40B4-BE49-F238E27FC236}">
                    <a16:creationId xmlns:a16="http://schemas.microsoft.com/office/drawing/2014/main" id="{00000000-0008-0000-0000-00000049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63</xdr:row>
          <xdr:rowOff>65316</xdr:rowOff>
        </xdr:from>
        <xdr:to>
          <xdr:col>39</xdr:col>
          <xdr:colOff>768433</xdr:colOff>
          <xdr:row>63</xdr:row>
          <xdr:rowOff>232956</xdr:rowOff>
        </xdr:to>
        <xdr:grpSp>
          <xdr:nvGrpSpPr>
            <xdr:cNvPr id="701" name="그룹 700">
              <a:extLst>
                <a:ext uri="{FF2B5EF4-FFF2-40B4-BE49-F238E27FC236}">
                  <a16:creationId xmlns:a16="http://schemas.microsoft.com/office/drawing/2014/main" id="{00000000-0008-0000-0000-0000BD020000}"/>
                </a:ext>
              </a:extLst>
            </xdr:cNvPr>
            <xdr:cNvGrpSpPr/>
          </xdr:nvGrpSpPr>
          <xdr:grpSpPr>
            <a:xfrm>
              <a:off x="24593249" y="188782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689" name="Button 2305" hidden="1">
                <a:extLst>
                  <a:ext uri="{63B3BB69-23CF-44E3-9099-C40C66FF867C}">
                    <a14:compatExt spid="_x0000_s18689"/>
                  </a:ext>
                  <a:ext uri="{FF2B5EF4-FFF2-40B4-BE49-F238E27FC236}">
                    <a16:creationId xmlns:a16="http://schemas.microsoft.com/office/drawing/2014/main" id="{00000000-0008-0000-0000-00000149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690" name="Button 2306" hidden="1">
                <a:extLst>
                  <a:ext uri="{63B3BB69-23CF-44E3-9099-C40C66FF867C}">
                    <a14:compatExt spid="_x0000_s18690"/>
                  </a:ext>
                  <a:ext uri="{FF2B5EF4-FFF2-40B4-BE49-F238E27FC236}">
                    <a16:creationId xmlns:a16="http://schemas.microsoft.com/office/drawing/2014/main" id="{00000000-0008-0000-0000-00000249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62</xdr:row>
          <xdr:rowOff>67130</xdr:rowOff>
        </xdr:from>
        <xdr:to>
          <xdr:col>37</xdr:col>
          <xdr:colOff>4455</xdr:colOff>
          <xdr:row>62</xdr:row>
          <xdr:rowOff>234770</xdr:rowOff>
        </xdr:to>
        <xdr:grpSp>
          <xdr:nvGrpSpPr>
            <xdr:cNvPr id="717" name="그룹 716">
              <a:extLst>
                <a:ext uri="{FF2B5EF4-FFF2-40B4-BE49-F238E27FC236}">
                  <a16:creationId xmlns:a16="http://schemas.microsoft.com/office/drawing/2014/main" id="{00000000-0008-0000-0000-0000CD020000}"/>
                </a:ext>
              </a:extLst>
            </xdr:cNvPr>
            <xdr:cNvGrpSpPr/>
          </xdr:nvGrpSpPr>
          <xdr:grpSpPr>
            <a:xfrm>
              <a:off x="22585441" y="185752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699" name="Button 2315" hidden="1">
                <a:extLst>
                  <a:ext uri="{63B3BB69-23CF-44E3-9099-C40C66FF867C}">
                    <a14:compatExt spid="_x0000_s18699"/>
                  </a:ext>
                  <a:ext uri="{FF2B5EF4-FFF2-40B4-BE49-F238E27FC236}">
                    <a16:creationId xmlns:a16="http://schemas.microsoft.com/office/drawing/2014/main" id="{00000000-0008-0000-0000-00000B49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00" name="Button 2316" hidden="1">
                <a:extLst>
                  <a:ext uri="{63B3BB69-23CF-44E3-9099-C40C66FF867C}">
                    <a14:compatExt spid="_x0000_s18700"/>
                  </a:ext>
                  <a:ext uri="{FF2B5EF4-FFF2-40B4-BE49-F238E27FC236}">
                    <a16:creationId xmlns:a16="http://schemas.microsoft.com/office/drawing/2014/main" id="{00000000-0008-0000-0000-00000C49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62</xdr:row>
          <xdr:rowOff>65316</xdr:rowOff>
        </xdr:from>
        <xdr:to>
          <xdr:col>39</xdr:col>
          <xdr:colOff>768433</xdr:colOff>
          <xdr:row>62</xdr:row>
          <xdr:rowOff>232956</xdr:rowOff>
        </xdr:to>
        <xdr:grpSp>
          <xdr:nvGrpSpPr>
            <xdr:cNvPr id="720" name="그룹 719">
              <a:extLst>
                <a:ext uri="{FF2B5EF4-FFF2-40B4-BE49-F238E27FC236}">
                  <a16:creationId xmlns:a16="http://schemas.microsoft.com/office/drawing/2014/main" id="{00000000-0008-0000-0000-0000D0020000}"/>
                </a:ext>
              </a:extLst>
            </xdr:cNvPr>
            <xdr:cNvGrpSpPr/>
          </xdr:nvGrpSpPr>
          <xdr:grpSpPr>
            <a:xfrm>
              <a:off x="24593249" y="185734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701" name="Button 2317" hidden="1">
                <a:extLst>
                  <a:ext uri="{63B3BB69-23CF-44E3-9099-C40C66FF867C}">
                    <a14:compatExt spid="_x0000_s18701"/>
                  </a:ext>
                  <a:ext uri="{FF2B5EF4-FFF2-40B4-BE49-F238E27FC236}">
                    <a16:creationId xmlns:a16="http://schemas.microsoft.com/office/drawing/2014/main" id="{00000000-0008-0000-0000-00000D49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02" name="Button 2318" hidden="1">
                <a:extLst>
                  <a:ext uri="{63B3BB69-23CF-44E3-9099-C40C66FF867C}">
                    <a14:compatExt spid="_x0000_s18702"/>
                  </a:ext>
                  <a:ext uri="{FF2B5EF4-FFF2-40B4-BE49-F238E27FC236}">
                    <a16:creationId xmlns:a16="http://schemas.microsoft.com/office/drawing/2014/main" id="{00000000-0008-0000-0000-00000E49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60</xdr:row>
          <xdr:rowOff>67130</xdr:rowOff>
        </xdr:from>
        <xdr:to>
          <xdr:col>37</xdr:col>
          <xdr:colOff>4455</xdr:colOff>
          <xdr:row>60</xdr:row>
          <xdr:rowOff>234770</xdr:rowOff>
        </xdr:to>
        <xdr:grpSp>
          <xdr:nvGrpSpPr>
            <xdr:cNvPr id="730" name="그룹 729">
              <a:extLst>
                <a:ext uri="{FF2B5EF4-FFF2-40B4-BE49-F238E27FC236}">
                  <a16:creationId xmlns:a16="http://schemas.microsoft.com/office/drawing/2014/main" id="{00000000-0008-0000-0000-0000DA020000}"/>
                </a:ext>
              </a:extLst>
            </xdr:cNvPr>
            <xdr:cNvGrpSpPr/>
          </xdr:nvGrpSpPr>
          <xdr:grpSpPr>
            <a:xfrm>
              <a:off x="22585441" y="179656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709" name="Button 2325" hidden="1">
                <a:extLst>
                  <a:ext uri="{63B3BB69-23CF-44E3-9099-C40C66FF867C}">
                    <a14:compatExt spid="_x0000_s18709"/>
                  </a:ext>
                  <a:ext uri="{FF2B5EF4-FFF2-40B4-BE49-F238E27FC236}">
                    <a16:creationId xmlns:a16="http://schemas.microsoft.com/office/drawing/2014/main" id="{00000000-0008-0000-0000-00001549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10" name="Button 2326" hidden="1">
                <a:extLst>
                  <a:ext uri="{63B3BB69-23CF-44E3-9099-C40C66FF867C}">
                    <a14:compatExt spid="_x0000_s18710"/>
                  </a:ext>
                  <a:ext uri="{FF2B5EF4-FFF2-40B4-BE49-F238E27FC236}">
                    <a16:creationId xmlns:a16="http://schemas.microsoft.com/office/drawing/2014/main" id="{00000000-0008-0000-0000-00001649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60</xdr:row>
          <xdr:rowOff>65316</xdr:rowOff>
        </xdr:from>
        <xdr:to>
          <xdr:col>39</xdr:col>
          <xdr:colOff>768433</xdr:colOff>
          <xdr:row>60</xdr:row>
          <xdr:rowOff>232956</xdr:rowOff>
        </xdr:to>
        <xdr:grpSp>
          <xdr:nvGrpSpPr>
            <xdr:cNvPr id="732" name="그룹 731">
              <a:extLst>
                <a:ext uri="{FF2B5EF4-FFF2-40B4-BE49-F238E27FC236}">
                  <a16:creationId xmlns:a16="http://schemas.microsoft.com/office/drawing/2014/main" id="{00000000-0008-0000-0000-0000DC020000}"/>
                </a:ext>
              </a:extLst>
            </xdr:cNvPr>
            <xdr:cNvGrpSpPr/>
          </xdr:nvGrpSpPr>
          <xdr:grpSpPr>
            <a:xfrm>
              <a:off x="24593249" y="179638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711" name="Button 2327" hidden="1">
                <a:extLst>
                  <a:ext uri="{63B3BB69-23CF-44E3-9099-C40C66FF867C}">
                    <a14:compatExt spid="_x0000_s18711"/>
                  </a:ext>
                  <a:ext uri="{FF2B5EF4-FFF2-40B4-BE49-F238E27FC236}">
                    <a16:creationId xmlns:a16="http://schemas.microsoft.com/office/drawing/2014/main" id="{00000000-0008-0000-0000-00001749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12" name="Button 2328" hidden="1">
                <a:extLst>
                  <a:ext uri="{63B3BB69-23CF-44E3-9099-C40C66FF867C}">
                    <a14:compatExt spid="_x0000_s18712"/>
                  </a:ext>
                  <a:ext uri="{FF2B5EF4-FFF2-40B4-BE49-F238E27FC236}">
                    <a16:creationId xmlns:a16="http://schemas.microsoft.com/office/drawing/2014/main" id="{00000000-0008-0000-0000-00001849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75</xdr:row>
          <xdr:rowOff>67130</xdr:rowOff>
        </xdr:from>
        <xdr:to>
          <xdr:col>37</xdr:col>
          <xdr:colOff>4455</xdr:colOff>
          <xdr:row>75</xdr:row>
          <xdr:rowOff>234770</xdr:rowOff>
        </xdr:to>
        <xdr:grpSp>
          <xdr:nvGrpSpPr>
            <xdr:cNvPr id="736" name="그룹 735">
              <a:extLst>
                <a:ext uri="{FF2B5EF4-FFF2-40B4-BE49-F238E27FC236}">
                  <a16:creationId xmlns:a16="http://schemas.microsoft.com/office/drawing/2014/main" id="{00000000-0008-0000-0000-0000E0020000}"/>
                </a:ext>
              </a:extLst>
            </xdr:cNvPr>
            <xdr:cNvGrpSpPr/>
          </xdr:nvGrpSpPr>
          <xdr:grpSpPr>
            <a:xfrm>
              <a:off x="22585441" y="23655263"/>
              <a:ext cx="956347" cy="167640"/>
              <a:chOff x="17819584" y="0"/>
              <a:chExt cx="1795528" cy="0"/>
            </a:xfrm>
          </xdr:grpSpPr>
          <xdr:sp macro="" textlink="">
            <xdr:nvSpPr>
              <xdr:cNvPr id="18714" name="Button 2330" hidden="1">
                <a:extLst>
                  <a:ext uri="{63B3BB69-23CF-44E3-9099-C40C66FF867C}">
                    <a14:compatExt spid="_x0000_s18714"/>
                  </a:ext>
                  <a:ext uri="{FF2B5EF4-FFF2-40B4-BE49-F238E27FC236}">
                    <a16:creationId xmlns:a16="http://schemas.microsoft.com/office/drawing/2014/main" id="{00000000-0008-0000-0000-00001A490000}"/>
                  </a:ext>
                </a:extLst>
              </xdr:cNvPr>
              <xdr:cNvSpPr/>
            </xdr:nvSpPr>
            <xdr:spPr bwMode="auto">
              <a:xfrm>
                <a:off x="18967417" y="0"/>
                <a:ext cx="64769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15" name="Button 2331" hidden="1">
                <a:extLst>
                  <a:ext uri="{63B3BB69-23CF-44E3-9099-C40C66FF867C}">
                    <a14:compatExt spid="_x0000_s18715"/>
                  </a:ext>
                  <a:ext uri="{FF2B5EF4-FFF2-40B4-BE49-F238E27FC236}">
                    <a16:creationId xmlns:a16="http://schemas.microsoft.com/office/drawing/2014/main" id="{00000000-0008-0000-0000-00001B490000}"/>
                  </a:ext>
                </a:extLst>
              </xdr:cNvPr>
              <xdr:cNvSpPr/>
            </xdr:nvSpPr>
            <xdr:spPr bwMode="auto">
              <a:xfrm>
                <a:off x="17819584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75</xdr:row>
          <xdr:rowOff>65316</xdr:rowOff>
        </xdr:from>
        <xdr:to>
          <xdr:col>39</xdr:col>
          <xdr:colOff>768433</xdr:colOff>
          <xdr:row>75</xdr:row>
          <xdr:rowOff>232956</xdr:rowOff>
        </xdr:to>
        <xdr:grpSp>
          <xdr:nvGrpSpPr>
            <xdr:cNvPr id="739" name="그룹 738">
              <a:extLst>
                <a:ext uri="{FF2B5EF4-FFF2-40B4-BE49-F238E27FC236}">
                  <a16:creationId xmlns:a16="http://schemas.microsoft.com/office/drawing/2014/main" id="{00000000-0008-0000-0000-0000E3020000}"/>
                </a:ext>
              </a:extLst>
            </xdr:cNvPr>
            <xdr:cNvGrpSpPr/>
          </xdr:nvGrpSpPr>
          <xdr:grpSpPr>
            <a:xfrm>
              <a:off x="24593249" y="23653449"/>
              <a:ext cx="626917" cy="167640"/>
              <a:chOff x="21096322" y="0"/>
              <a:chExt cx="1338713" cy="0"/>
            </a:xfrm>
          </xdr:grpSpPr>
          <xdr:sp macro="" textlink="">
            <xdr:nvSpPr>
              <xdr:cNvPr id="18716" name="Button 2332" hidden="1">
                <a:extLst>
                  <a:ext uri="{63B3BB69-23CF-44E3-9099-C40C66FF867C}">
                    <a14:compatExt spid="_x0000_s18716"/>
                  </a:ext>
                  <a:ext uri="{FF2B5EF4-FFF2-40B4-BE49-F238E27FC236}">
                    <a16:creationId xmlns:a16="http://schemas.microsoft.com/office/drawing/2014/main" id="{00000000-0008-0000-0000-00001C490000}"/>
                  </a:ext>
                </a:extLst>
              </xdr:cNvPr>
              <xdr:cNvSpPr/>
            </xdr:nvSpPr>
            <xdr:spPr bwMode="auto">
              <a:xfrm>
                <a:off x="21096322" y="0"/>
                <a:ext cx="26926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17" name="Button 2333" hidden="1">
                <a:extLst>
                  <a:ext uri="{63B3BB69-23CF-44E3-9099-C40C66FF867C}">
                    <a14:compatExt spid="_x0000_s18717"/>
                  </a:ext>
                  <a:ext uri="{FF2B5EF4-FFF2-40B4-BE49-F238E27FC236}">
                    <a16:creationId xmlns:a16="http://schemas.microsoft.com/office/drawing/2014/main" id="{00000000-0008-0000-0000-00001D490000}"/>
                  </a:ext>
                </a:extLst>
              </xdr:cNvPr>
              <xdr:cNvSpPr/>
            </xdr:nvSpPr>
            <xdr:spPr bwMode="auto">
              <a:xfrm>
                <a:off x="22127754" y="0"/>
                <a:ext cx="30728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61</xdr:row>
          <xdr:rowOff>67130</xdr:rowOff>
        </xdr:from>
        <xdr:to>
          <xdr:col>37</xdr:col>
          <xdr:colOff>4455</xdr:colOff>
          <xdr:row>61</xdr:row>
          <xdr:rowOff>234770</xdr:rowOff>
        </xdr:to>
        <xdr:grpSp>
          <xdr:nvGrpSpPr>
            <xdr:cNvPr id="743" name="그룹 742">
              <a:extLst>
                <a:ext uri="{FF2B5EF4-FFF2-40B4-BE49-F238E27FC236}">
                  <a16:creationId xmlns:a16="http://schemas.microsoft.com/office/drawing/2014/main" id="{00000000-0008-0000-0000-0000E7020000}"/>
                </a:ext>
              </a:extLst>
            </xdr:cNvPr>
            <xdr:cNvGrpSpPr/>
          </xdr:nvGrpSpPr>
          <xdr:grpSpPr>
            <a:xfrm>
              <a:off x="22585441" y="182704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719" name="Button 2335" hidden="1">
                <a:extLst>
                  <a:ext uri="{63B3BB69-23CF-44E3-9099-C40C66FF867C}">
                    <a14:compatExt spid="_x0000_s18719"/>
                  </a:ext>
                  <a:ext uri="{FF2B5EF4-FFF2-40B4-BE49-F238E27FC236}">
                    <a16:creationId xmlns:a16="http://schemas.microsoft.com/office/drawing/2014/main" id="{00000000-0008-0000-0000-00001F49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20" name="Button 2336" hidden="1">
                <a:extLst>
                  <a:ext uri="{63B3BB69-23CF-44E3-9099-C40C66FF867C}">
                    <a14:compatExt spid="_x0000_s18720"/>
                  </a:ext>
                  <a:ext uri="{FF2B5EF4-FFF2-40B4-BE49-F238E27FC236}">
                    <a16:creationId xmlns:a16="http://schemas.microsoft.com/office/drawing/2014/main" id="{00000000-0008-0000-0000-00002049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61</xdr:row>
          <xdr:rowOff>65316</xdr:rowOff>
        </xdr:from>
        <xdr:to>
          <xdr:col>39</xdr:col>
          <xdr:colOff>768433</xdr:colOff>
          <xdr:row>61</xdr:row>
          <xdr:rowOff>232956</xdr:rowOff>
        </xdr:to>
        <xdr:grpSp>
          <xdr:nvGrpSpPr>
            <xdr:cNvPr id="746" name="그룹 745">
              <a:extLst>
                <a:ext uri="{FF2B5EF4-FFF2-40B4-BE49-F238E27FC236}">
                  <a16:creationId xmlns:a16="http://schemas.microsoft.com/office/drawing/2014/main" id="{00000000-0008-0000-0000-0000EA020000}"/>
                </a:ext>
              </a:extLst>
            </xdr:cNvPr>
            <xdr:cNvGrpSpPr/>
          </xdr:nvGrpSpPr>
          <xdr:grpSpPr>
            <a:xfrm>
              <a:off x="24593249" y="18268649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721" name="Button 2337" hidden="1">
                <a:extLst>
                  <a:ext uri="{63B3BB69-23CF-44E3-9099-C40C66FF867C}">
                    <a14:compatExt spid="_x0000_s18721"/>
                  </a:ext>
                  <a:ext uri="{FF2B5EF4-FFF2-40B4-BE49-F238E27FC236}">
                    <a16:creationId xmlns:a16="http://schemas.microsoft.com/office/drawing/2014/main" id="{00000000-0008-0000-0000-00002149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22" name="Button 2338" hidden="1">
                <a:extLst>
                  <a:ext uri="{63B3BB69-23CF-44E3-9099-C40C66FF867C}">
                    <a14:compatExt spid="_x0000_s18722"/>
                  </a:ext>
                  <a:ext uri="{FF2B5EF4-FFF2-40B4-BE49-F238E27FC236}">
                    <a16:creationId xmlns:a16="http://schemas.microsoft.com/office/drawing/2014/main" id="{00000000-0008-0000-0000-00002249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101600</xdr:colOff>
          <xdr:row>70</xdr:row>
          <xdr:rowOff>50800</xdr:rowOff>
        </xdr:from>
        <xdr:to>
          <xdr:col>10</xdr:col>
          <xdr:colOff>508000</xdr:colOff>
          <xdr:row>71</xdr:row>
          <xdr:rowOff>12700</xdr:rowOff>
        </xdr:to>
        <xdr:sp macro="" textlink="">
          <xdr:nvSpPr>
            <xdr:cNvPr id="18723" name="Check Box 2339" hidden="1">
              <a:extLst>
                <a:ext uri="{63B3BB69-23CF-44E3-9099-C40C66FF867C}">
                  <a14:compatExt spid="_x0000_s18723"/>
                </a:ext>
                <a:ext uri="{FF2B5EF4-FFF2-40B4-BE49-F238E27FC236}">
                  <a16:creationId xmlns:a16="http://schemas.microsoft.com/office/drawing/2014/main" id="{00000000-0008-0000-0000-0000234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133</xdr:row>
          <xdr:rowOff>67130</xdr:rowOff>
        </xdr:from>
        <xdr:to>
          <xdr:col>37</xdr:col>
          <xdr:colOff>4455</xdr:colOff>
          <xdr:row>133</xdr:row>
          <xdr:rowOff>234770</xdr:rowOff>
        </xdr:to>
        <xdr:grpSp>
          <xdr:nvGrpSpPr>
            <xdr:cNvPr id="724" name="그룹 723">
              <a:extLst>
                <a:ext uri="{FF2B5EF4-FFF2-40B4-BE49-F238E27FC236}">
                  <a16:creationId xmlns:a16="http://schemas.microsoft.com/office/drawing/2014/main" id="{00000000-0008-0000-0000-0000D4020000}"/>
                </a:ext>
              </a:extLst>
            </xdr:cNvPr>
            <xdr:cNvGrpSpPr/>
          </xdr:nvGrpSpPr>
          <xdr:grpSpPr>
            <a:xfrm>
              <a:off x="22585441" y="42535930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724" name="Button 2340" hidden="1">
                <a:extLst>
                  <a:ext uri="{63B3BB69-23CF-44E3-9099-C40C66FF867C}">
                    <a14:compatExt spid="_x0000_s18724"/>
                  </a:ext>
                  <a:ext uri="{FF2B5EF4-FFF2-40B4-BE49-F238E27FC236}">
                    <a16:creationId xmlns:a16="http://schemas.microsoft.com/office/drawing/2014/main" id="{00000000-0008-0000-0000-00002449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25" name="Button 2341" hidden="1">
                <a:extLst>
                  <a:ext uri="{63B3BB69-23CF-44E3-9099-C40C66FF867C}">
                    <a14:compatExt spid="_x0000_s18725"/>
                  </a:ext>
                  <a:ext uri="{FF2B5EF4-FFF2-40B4-BE49-F238E27FC236}">
                    <a16:creationId xmlns:a16="http://schemas.microsoft.com/office/drawing/2014/main" id="{00000000-0008-0000-0000-00002549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133</xdr:row>
          <xdr:rowOff>65316</xdr:rowOff>
        </xdr:from>
        <xdr:to>
          <xdr:col>39</xdr:col>
          <xdr:colOff>768433</xdr:colOff>
          <xdr:row>133</xdr:row>
          <xdr:rowOff>232956</xdr:rowOff>
        </xdr:to>
        <xdr:grpSp>
          <xdr:nvGrpSpPr>
            <xdr:cNvPr id="727" name="그룹 726">
              <a:extLst>
                <a:ext uri="{FF2B5EF4-FFF2-40B4-BE49-F238E27FC236}">
                  <a16:creationId xmlns:a16="http://schemas.microsoft.com/office/drawing/2014/main" id="{00000000-0008-0000-0000-0000D7020000}"/>
                </a:ext>
              </a:extLst>
            </xdr:cNvPr>
            <xdr:cNvGrpSpPr/>
          </xdr:nvGrpSpPr>
          <xdr:grpSpPr>
            <a:xfrm>
              <a:off x="24593249" y="425341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726" name="Button 2342" hidden="1">
                <a:extLst>
                  <a:ext uri="{63B3BB69-23CF-44E3-9099-C40C66FF867C}">
                    <a14:compatExt spid="_x0000_s18726"/>
                  </a:ext>
                  <a:ext uri="{FF2B5EF4-FFF2-40B4-BE49-F238E27FC236}">
                    <a16:creationId xmlns:a16="http://schemas.microsoft.com/office/drawing/2014/main" id="{00000000-0008-0000-0000-00002649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27" name="Button 2343" hidden="1">
                <a:extLst>
                  <a:ext uri="{63B3BB69-23CF-44E3-9099-C40C66FF867C}">
                    <a14:compatExt spid="_x0000_s18727"/>
                  </a:ext>
                  <a:ext uri="{FF2B5EF4-FFF2-40B4-BE49-F238E27FC236}">
                    <a16:creationId xmlns:a16="http://schemas.microsoft.com/office/drawing/2014/main" id="{00000000-0008-0000-0000-00002749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64</xdr:row>
          <xdr:rowOff>78740</xdr:rowOff>
        </xdr:from>
        <xdr:to>
          <xdr:col>36</xdr:col>
          <xdr:colOff>0</xdr:colOff>
          <xdr:row>64</xdr:row>
          <xdr:rowOff>246380</xdr:rowOff>
        </xdr:to>
        <xdr:grpSp>
          <xdr:nvGrpSpPr>
            <xdr:cNvPr id="733" name="그룹 732">
              <a:extLst>
                <a:ext uri="{FF2B5EF4-FFF2-40B4-BE49-F238E27FC236}">
                  <a16:creationId xmlns:a16="http://schemas.microsoft.com/office/drawing/2014/main" id="{00000000-0008-0000-0000-0000DD020000}"/>
                </a:ext>
              </a:extLst>
            </xdr:cNvPr>
            <xdr:cNvGrpSpPr/>
          </xdr:nvGrpSpPr>
          <xdr:grpSpPr>
            <a:xfrm>
              <a:off x="20741640" y="19196473"/>
              <a:ext cx="1745827" cy="167640"/>
              <a:chOff x="14505941" y="980440"/>
              <a:chExt cx="2461228" cy="167640"/>
            </a:xfrm>
          </xdr:grpSpPr>
          <xdr:sp macro="" textlink="">
            <xdr:nvSpPr>
              <xdr:cNvPr id="18728" name="Button 2344" hidden="1">
                <a:extLst>
                  <a:ext uri="{63B3BB69-23CF-44E3-9099-C40C66FF867C}">
                    <a14:compatExt spid="_x0000_s18728"/>
                  </a:ext>
                  <a:ext uri="{FF2B5EF4-FFF2-40B4-BE49-F238E27FC236}">
                    <a16:creationId xmlns:a16="http://schemas.microsoft.com/office/drawing/2014/main" id="{00000000-0008-0000-0000-00002849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m.interf</a:t>
                </a:r>
              </a:p>
            </xdr:txBody>
          </xdr:sp>
          <xdr:sp macro="" textlink="">
            <xdr:nvSpPr>
              <xdr:cNvPr id="18729" name="Button 2345" hidden="1">
                <a:extLst>
                  <a:ext uri="{63B3BB69-23CF-44E3-9099-C40C66FF867C}">
                    <a14:compatExt spid="_x0000_s18729"/>
                  </a:ext>
                  <a:ext uri="{FF2B5EF4-FFF2-40B4-BE49-F238E27FC236}">
                    <a16:creationId xmlns:a16="http://schemas.microsoft.com/office/drawing/2014/main" id="{00000000-0008-0000-0000-000029490000}"/>
                  </a:ext>
                </a:extLst>
              </xdr:cNvPr>
              <xdr:cNvSpPr/>
            </xdr:nvSpPr>
            <xdr:spPr bwMode="auto">
              <a:xfrm>
                <a:off x="14505941" y="980440"/>
                <a:ext cx="59435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m.index</a:t>
                </a:r>
              </a:p>
            </xdr:txBody>
          </xdr:sp>
          <xdr:sp macro="" textlink="">
            <xdr:nvSpPr>
              <xdr:cNvPr id="18730" name="Button 2346" hidden="1">
                <a:extLst>
                  <a:ext uri="{63B3BB69-23CF-44E3-9099-C40C66FF867C}">
                    <a14:compatExt spid="_x0000_s18730"/>
                  </a:ext>
                  <a:ext uri="{FF2B5EF4-FFF2-40B4-BE49-F238E27FC236}">
                    <a16:creationId xmlns:a16="http://schemas.microsoft.com/office/drawing/2014/main" id="{00000000-0008-0000-0000-00002A490000}"/>
                  </a:ext>
                </a:extLst>
              </xdr:cNvPr>
              <xdr:cNvSpPr/>
            </xdr:nvSpPr>
            <xdr:spPr bwMode="auto">
              <a:xfrm>
                <a:off x="15740373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  <xdr:sp macro="" textlink="">
            <xdr:nvSpPr>
              <xdr:cNvPr id="18731" name="Button 2347" hidden="1">
                <a:extLst>
                  <a:ext uri="{63B3BB69-23CF-44E3-9099-C40C66FF867C}">
                    <a14:compatExt spid="_x0000_s18731"/>
                  </a:ext>
                  <a:ext uri="{FF2B5EF4-FFF2-40B4-BE49-F238E27FC236}">
                    <a16:creationId xmlns:a16="http://schemas.microsoft.com/office/drawing/2014/main" id="{00000000-0008-0000-0000-00002B49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68</xdr:row>
          <xdr:rowOff>78740</xdr:rowOff>
        </xdr:from>
        <xdr:to>
          <xdr:col>36</xdr:col>
          <xdr:colOff>0</xdr:colOff>
          <xdr:row>68</xdr:row>
          <xdr:rowOff>246380</xdr:rowOff>
        </xdr:to>
        <xdr:grpSp>
          <xdr:nvGrpSpPr>
            <xdr:cNvPr id="734" name="그룹 733">
              <a:extLst>
                <a:ext uri="{FF2B5EF4-FFF2-40B4-BE49-F238E27FC236}">
                  <a16:creationId xmlns:a16="http://schemas.microsoft.com/office/drawing/2014/main" id="{00000000-0008-0000-0000-0000DE020000}"/>
                </a:ext>
              </a:extLst>
            </xdr:cNvPr>
            <xdr:cNvGrpSpPr/>
          </xdr:nvGrpSpPr>
          <xdr:grpSpPr>
            <a:xfrm>
              <a:off x="20741640" y="20415673"/>
              <a:ext cx="1745827" cy="167640"/>
              <a:chOff x="14505941" y="980440"/>
              <a:chExt cx="2461228" cy="167640"/>
            </a:xfrm>
          </xdr:grpSpPr>
          <xdr:sp macro="" textlink="">
            <xdr:nvSpPr>
              <xdr:cNvPr id="18732" name="Button 2348" hidden="1">
                <a:extLst>
                  <a:ext uri="{63B3BB69-23CF-44E3-9099-C40C66FF867C}">
                    <a14:compatExt spid="_x0000_s18732"/>
                  </a:ext>
                  <a:ext uri="{FF2B5EF4-FFF2-40B4-BE49-F238E27FC236}">
                    <a16:creationId xmlns:a16="http://schemas.microsoft.com/office/drawing/2014/main" id="{00000000-0008-0000-0000-00002C490000}"/>
                  </a:ext>
                </a:extLst>
              </xdr:cNvPr>
              <xdr:cNvSpPr/>
            </xdr:nvSpPr>
            <xdr:spPr bwMode="auto">
              <a:xfrm>
                <a:off x="15123160" y="980440"/>
                <a:ext cx="60197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m.interf</a:t>
                </a:r>
              </a:p>
            </xdr:txBody>
          </xdr:sp>
          <xdr:sp macro="" textlink="">
            <xdr:nvSpPr>
              <xdr:cNvPr id="18733" name="Button 2349" hidden="1">
                <a:extLst>
                  <a:ext uri="{63B3BB69-23CF-44E3-9099-C40C66FF867C}">
                    <a14:compatExt spid="_x0000_s18733"/>
                  </a:ext>
                  <a:ext uri="{FF2B5EF4-FFF2-40B4-BE49-F238E27FC236}">
                    <a16:creationId xmlns:a16="http://schemas.microsoft.com/office/drawing/2014/main" id="{00000000-0008-0000-0000-00002D490000}"/>
                  </a:ext>
                </a:extLst>
              </xdr:cNvPr>
              <xdr:cNvSpPr/>
            </xdr:nvSpPr>
            <xdr:spPr bwMode="auto">
              <a:xfrm>
                <a:off x="14505941" y="980440"/>
                <a:ext cx="59435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m.index</a:t>
                </a:r>
              </a:p>
            </xdr:txBody>
          </xdr:sp>
          <xdr:sp macro="" textlink="">
            <xdr:nvSpPr>
              <xdr:cNvPr id="18734" name="Button 2350" hidden="1">
                <a:extLst>
                  <a:ext uri="{63B3BB69-23CF-44E3-9099-C40C66FF867C}">
                    <a14:compatExt spid="_x0000_s18734"/>
                  </a:ext>
                  <a:ext uri="{FF2B5EF4-FFF2-40B4-BE49-F238E27FC236}">
                    <a16:creationId xmlns:a16="http://schemas.microsoft.com/office/drawing/2014/main" id="{00000000-0008-0000-0000-00002E490000}"/>
                  </a:ext>
                </a:extLst>
              </xdr:cNvPr>
              <xdr:cNvSpPr/>
            </xdr:nvSpPr>
            <xdr:spPr bwMode="auto">
              <a:xfrm>
                <a:off x="15740373" y="980440"/>
                <a:ext cx="723900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  <xdr:sp macro="" textlink="">
            <xdr:nvSpPr>
              <xdr:cNvPr id="18735" name="Button 2351" hidden="1">
                <a:extLst>
                  <a:ext uri="{63B3BB69-23CF-44E3-9099-C40C66FF867C}">
                    <a14:compatExt spid="_x0000_s18735"/>
                  </a:ext>
                  <a:ext uri="{FF2B5EF4-FFF2-40B4-BE49-F238E27FC236}">
                    <a16:creationId xmlns:a16="http://schemas.microsoft.com/office/drawing/2014/main" id="{00000000-0008-0000-0000-00002F490000}"/>
                  </a:ext>
                </a:extLst>
              </xdr:cNvPr>
              <xdr:cNvSpPr/>
            </xdr:nvSpPr>
            <xdr:spPr bwMode="auto">
              <a:xfrm>
                <a:off x="16494734" y="980440"/>
                <a:ext cx="472435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64</xdr:row>
          <xdr:rowOff>67130</xdr:rowOff>
        </xdr:from>
        <xdr:to>
          <xdr:col>37</xdr:col>
          <xdr:colOff>4455</xdr:colOff>
          <xdr:row>64</xdr:row>
          <xdr:rowOff>234770</xdr:rowOff>
        </xdr:to>
        <xdr:grpSp>
          <xdr:nvGrpSpPr>
            <xdr:cNvPr id="740" name="그룹 739">
              <a:extLst>
                <a:ext uri="{FF2B5EF4-FFF2-40B4-BE49-F238E27FC236}">
                  <a16:creationId xmlns:a16="http://schemas.microsoft.com/office/drawing/2014/main" id="{00000000-0008-0000-0000-0000E4020000}"/>
                </a:ext>
              </a:extLst>
            </xdr:cNvPr>
            <xdr:cNvGrpSpPr/>
          </xdr:nvGrpSpPr>
          <xdr:grpSpPr>
            <a:xfrm>
              <a:off x="22585441" y="191848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738" name="Button 2354" hidden="1">
                <a:extLst>
                  <a:ext uri="{63B3BB69-23CF-44E3-9099-C40C66FF867C}">
                    <a14:compatExt spid="_x0000_s18738"/>
                  </a:ext>
                  <a:ext uri="{FF2B5EF4-FFF2-40B4-BE49-F238E27FC236}">
                    <a16:creationId xmlns:a16="http://schemas.microsoft.com/office/drawing/2014/main" id="{00000000-0008-0000-0000-00003249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39" name="Button 2355" hidden="1">
                <a:extLst>
                  <a:ext uri="{63B3BB69-23CF-44E3-9099-C40C66FF867C}">
                    <a14:compatExt spid="_x0000_s18739"/>
                  </a:ext>
                  <a:ext uri="{FF2B5EF4-FFF2-40B4-BE49-F238E27FC236}">
                    <a16:creationId xmlns:a16="http://schemas.microsoft.com/office/drawing/2014/main" id="{00000000-0008-0000-0000-00003349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65</xdr:row>
          <xdr:rowOff>67130</xdr:rowOff>
        </xdr:from>
        <xdr:to>
          <xdr:col>37</xdr:col>
          <xdr:colOff>4455</xdr:colOff>
          <xdr:row>65</xdr:row>
          <xdr:rowOff>234770</xdr:rowOff>
        </xdr:to>
        <xdr:grpSp>
          <xdr:nvGrpSpPr>
            <xdr:cNvPr id="744" name="그룹 743">
              <a:extLst>
                <a:ext uri="{FF2B5EF4-FFF2-40B4-BE49-F238E27FC236}">
                  <a16:creationId xmlns:a16="http://schemas.microsoft.com/office/drawing/2014/main" id="{00000000-0008-0000-0000-0000E8020000}"/>
                </a:ext>
              </a:extLst>
            </xdr:cNvPr>
            <xdr:cNvGrpSpPr/>
          </xdr:nvGrpSpPr>
          <xdr:grpSpPr>
            <a:xfrm>
              <a:off x="22585441" y="194896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740" name="Button 2356" hidden="1">
                <a:extLst>
                  <a:ext uri="{63B3BB69-23CF-44E3-9099-C40C66FF867C}">
                    <a14:compatExt spid="_x0000_s18740"/>
                  </a:ext>
                  <a:ext uri="{FF2B5EF4-FFF2-40B4-BE49-F238E27FC236}">
                    <a16:creationId xmlns:a16="http://schemas.microsoft.com/office/drawing/2014/main" id="{00000000-0008-0000-0000-00003449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41" name="Button 2357" hidden="1">
                <a:extLst>
                  <a:ext uri="{63B3BB69-23CF-44E3-9099-C40C66FF867C}">
                    <a14:compatExt spid="_x0000_s18741"/>
                  </a:ext>
                  <a:ext uri="{FF2B5EF4-FFF2-40B4-BE49-F238E27FC236}">
                    <a16:creationId xmlns:a16="http://schemas.microsoft.com/office/drawing/2014/main" id="{00000000-0008-0000-0000-00003549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66</xdr:row>
          <xdr:rowOff>67130</xdr:rowOff>
        </xdr:from>
        <xdr:to>
          <xdr:col>37</xdr:col>
          <xdr:colOff>4455</xdr:colOff>
          <xdr:row>66</xdr:row>
          <xdr:rowOff>234770</xdr:rowOff>
        </xdr:to>
        <xdr:grpSp>
          <xdr:nvGrpSpPr>
            <xdr:cNvPr id="747" name="그룹 746">
              <a:extLst>
                <a:ext uri="{FF2B5EF4-FFF2-40B4-BE49-F238E27FC236}">
                  <a16:creationId xmlns:a16="http://schemas.microsoft.com/office/drawing/2014/main" id="{00000000-0008-0000-0000-0000EB020000}"/>
                </a:ext>
              </a:extLst>
            </xdr:cNvPr>
            <xdr:cNvGrpSpPr/>
          </xdr:nvGrpSpPr>
          <xdr:grpSpPr>
            <a:xfrm>
              <a:off x="22585441" y="197944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742" name="Button 2358" hidden="1">
                <a:extLst>
                  <a:ext uri="{63B3BB69-23CF-44E3-9099-C40C66FF867C}">
                    <a14:compatExt spid="_x0000_s18742"/>
                  </a:ext>
                  <a:ext uri="{FF2B5EF4-FFF2-40B4-BE49-F238E27FC236}">
                    <a16:creationId xmlns:a16="http://schemas.microsoft.com/office/drawing/2014/main" id="{00000000-0008-0000-0000-00003649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43" name="Button 2359" hidden="1">
                <a:extLst>
                  <a:ext uri="{63B3BB69-23CF-44E3-9099-C40C66FF867C}">
                    <a14:compatExt spid="_x0000_s18743"/>
                  </a:ext>
                  <a:ext uri="{FF2B5EF4-FFF2-40B4-BE49-F238E27FC236}">
                    <a16:creationId xmlns:a16="http://schemas.microsoft.com/office/drawing/2014/main" id="{00000000-0008-0000-0000-00003749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67</xdr:row>
          <xdr:rowOff>67130</xdr:rowOff>
        </xdr:from>
        <xdr:to>
          <xdr:col>37</xdr:col>
          <xdr:colOff>4455</xdr:colOff>
          <xdr:row>67</xdr:row>
          <xdr:rowOff>234770</xdr:rowOff>
        </xdr:to>
        <xdr:grpSp>
          <xdr:nvGrpSpPr>
            <xdr:cNvPr id="749" name="그룹 748">
              <a:extLst>
                <a:ext uri="{FF2B5EF4-FFF2-40B4-BE49-F238E27FC236}">
                  <a16:creationId xmlns:a16="http://schemas.microsoft.com/office/drawing/2014/main" id="{00000000-0008-0000-0000-0000ED020000}"/>
                </a:ext>
              </a:extLst>
            </xdr:cNvPr>
            <xdr:cNvGrpSpPr/>
          </xdr:nvGrpSpPr>
          <xdr:grpSpPr>
            <a:xfrm>
              <a:off x="22585441" y="200992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744" name="Button 2360" hidden="1">
                <a:extLst>
                  <a:ext uri="{63B3BB69-23CF-44E3-9099-C40C66FF867C}">
                    <a14:compatExt spid="_x0000_s18744"/>
                  </a:ext>
                  <a:ext uri="{FF2B5EF4-FFF2-40B4-BE49-F238E27FC236}">
                    <a16:creationId xmlns:a16="http://schemas.microsoft.com/office/drawing/2014/main" id="{00000000-0008-0000-0000-00003849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45" name="Button 2361" hidden="1">
                <a:extLst>
                  <a:ext uri="{63B3BB69-23CF-44E3-9099-C40C66FF867C}">
                    <a14:compatExt spid="_x0000_s18745"/>
                  </a:ext>
                  <a:ext uri="{FF2B5EF4-FFF2-40B4-BE49-F238E27FC236}">
                    <a16:creationId xmlns:a16="http://schemas.microsoft.com/office/drawing/2014/main" id="{00000000-0008-0000-0000-00003949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68</xdr:row>
          <xdr:rowOff>67130</xdr:rowOff>
        </xdr:from>
        <xdr:to>
          <xdr:col>37</xdr:col>
          <xdr:colOff>4455</xdr:colOff>
          <xdr:row>68</xdr:row>
          <xdr:rowOff>234770</xdr:rowOff>
        </xdr:to>
        <xdr:grpSp>
          <xdr:nvGrpSpPr>
            <xdr:cNvPr id="752" name="그룹 751">
              <a:extLst>
                <a:ext uri="{FF2B5EF4-FFF2-40B4-BE49-F238E27FC236}">
                  <a16:creationId xmlns:a16="http://schemas.microsoft.com/office/drawing/2014/main" id="{00000000-0008-0000-0000-0000F0020000}"/>
                </a:ext>
              </a:extLst>
            </xdr:cNvPr>
            <xdr:cNvGrpSpPr/>
          </xdr:nvGrpSpPr>
          <xdr:grpSpPr>
            <a:xfrm>
              <a:off x="22585441" y="204040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746" name="Button 2362" hidden="1">
                <a:extLst>
                  <a:ext uri="{63B3BB69-23CF-44E3-9099-C40C66FF867C}">
                    <a14:compatExt spid="_x0000_s18746"/>
                  </a:ext>
                  <a:ext uri="{FF2B5EF4-FFF2-40B4-BE49-F238E27FC236}">
                    <a16:creationId xmlns:a16="http://schemas.microsoft.com/office/drawing/2014/main" id="{00000000-0008-0000-0000-00003A49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47" name="Button 2363" hidden="1">
                <a:extLst>
                  <a:ext uri="{63B3BB69-23CF-44E3-9099-C40C66FF867C}">
                    <a14:compatExt spid="_x0000_s18747"/>
                  </a:ext>
                  <a:ext uri="{FF2B5EF4-FFF2-40B4-BE49-F238E27FC236}">
                    <a16:creationId xmlns:a16="http://schemas.microsoft.com/office/drawing/2014/main" id="{00000000-0008-0000-0000-00003B49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69</xdr:row>
          <xdr:rowOff>67130</xdr:rowOff>
        </xdr:from>
        <xdr:to>
          <xdr:col>37</xdr:col>
          <xdr:colOff>4455</xdr:colOff>
          <xdr:row>69</xdr:row>
          <xdr:rowOff>234770</xdr:rowOff>
        </xdr:to>
        <xdr:grpSp>
          <xdr:nvGrpSpPr>
            <xdr:cNvPr id="755" name="그룹 754">
              <a:extLst>
                <a:ext uri="{FF2B5EF4-FFF2-40B4-BE49-F238E27FC236}">
                  <a16:creationId xmlns:a16="http://schemas.microsoft.com/office/drawing/2014/main" id="{00000000-0008-0000-0000-0000F3020000}"/>
                </a:ext>
              </a:extLst>
            </xdr:cNvPr>
            <xdr:cNvGrpSpPr/>
          </xdr:nvGrpSpPr>
          <xdr:grpSpPr>
            <a:xfrm>
              <a:off x="22585441" y="207088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748" name="Button 2364" hidden="1">
                <a:extLst>
                  <a:ext uri="{63B3BB69-23CF-44E3-9099-C40C66FF867C}">
                    <a14:compatExt spid="_x0000_s18748"/>
                  </a:ext>
                  <a:ext uri="{FF2B5EF4-FFF2-40B4-BE49-F238E27FC236}">
                    <a16:creationId xmlns:a16="http://schemas.microsoft.com/office/drawing/2014/main" id="{00000000-0008-0000-0000-00003C49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49" name="Button 2365" hidden="1">
                <a:extLst>
                  <a:ext uri="{63B3BB69-23CF-44E3-9099-C40C66FF867C}">
                    <a14:compatExt spid="_x0000_s18749"/>
                  </a:ext>
                  <a:ext uri="{FF2B5EF4-FFF2-40B4-BE49-F238E27FC236}">
                    <a16:creationId xmlns:a16="http://schemas.microsoft.com/office/drawing/2014/main" id="{00000000-0008-0000-0000-00003D49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70</xdr:row>
          <xdr:rowOff>67130</xdr:rowOff>
        </xdr:from>
        <xdr:to>
          <xdr:col>37</xdr:col>
          <xdr:colOff>4455</xdr:colOff>
          <xdr:row>70</xdr:row>
          <xdr:rowOff>234770</xdr:rowOff>
        </xdr:to>
        <xdr:grpSp>
          <xdr:nvGrpSpPr>
            <xdr:cNvPr id="758" name="그룹 757">
              <a:extLst>
                <a:ext uri="{FF2B5EF4-FFF2-40B4-BE49-F238E27FC236}">
                  <a16:creationId xmlns:a16="http://schemas.microsoft.com/office/drawing/2014/main" id="{00000000-0008-0000-0000-0000F6020000}"/>
                </a:ext>
              </a:extLst>
            </xdr:cNvPr>
            <xdr:cNvGrpSpPr/>
          </xdr:nvGrpSpPr>
          <xdr:grpSpPr>
            <a:xfrm>
              <a:off x="22585441" y="210136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750" name="Button 2366" hidden="1">
                <a:extLst>
                  <a:ext uri="{63B3BB69-23CF-44E3-9099-C40C66FF867C}">
                    <a14:compatExt spid="_x0000_s18750"/>
                  </a:ext>
                  <a:ext uri="{FF2B5EF4-FFF2-40B4-BE49-F238E27FC236}">
                    <a16:creationId xmlns:a16="http://schemas.microsoft.com/office/drawing/2014/main" id="{00000000-0008-0000-0000-00003E49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51" name="Button 2367" hidden="1">
                <a:extLst>
                  <a:ext uri="{63B3BB69-23CF-44E3-9099-C40C66FF867C}">
                    <a14:compatExt spid="_x0000_s18751"/>
                  </a:ext>
                  <a:ext uri="{FF2B5EF4-FFF2-40B4-BE49-F238E27FC236}">
                    <a16:creationId xmlns:a16="http://schemas.microsoft.com/office/drawing/2014/main" id="{00000000-0008-0000-0000-00003F49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71</xdr:row>
          <xdr:rowOff>67130</xdr:rowOff>
        </xdr:from>
        <xdr:to>
          <xdr:col>37</xdr:col>
          <xdr:colOff>4455</xdr:colOff>
          <xdr:row>71</xdr:row>
          <xdr:rowOff>234770</xdr:rowOff>
        </xdr:to>
        <xdr:grpSp>
          <xdr:nvGrpSpPr>
            <xdr:cNvPr id="761" name="그룹 760">
              <a:extLst>
                <a:ext uri="{FF2B5EF4-FFF2-40B4-BE49-F238E27FC236}">
                  <a16:creationId xmlns:a16="http://schemas.microsoft.com/office/drawing/2014/main" id="{00000000-0008-0000-0000-0000F9020000}"/>
                </a:ext>
              </a:extLst>
            </xdr:cNvPr>
            <xdr:cNvGrpSpPr/>
          </xdr:nvGrpSpPr>
          <xdr:grpSpPr>
            <a:xfrm>
              <a:off x="22585441" y="21318463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752" name="Button 2368" hidden="1">
                <a:extLst>
                  <a:ext uri="{63B3BB69-23CF-44E3-9099-C40C66FF867C}">
                    <a14:compatExt spid="_x0000_s18752"/>
                  </a:ext>
                  <a:ext uri="{FF2B5EF4-FFF2-40B4-BE49-F238E27FC236}">
                    <a16:creationId xmlns:a16="http://schemas.microsoft.com/office/drawing/2014/main" id="{00000000-0008-0000-0000-00004049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53" name="Button 2369" hidden="1">
                <a:extLst>
                  <a:ext uri="{63B3BB69-23CF-44E3-9099-C40C66FF867C}">
                    <a14:compatExt spid="_x0000_s18753"/>
                  </a:ext>
                  <a:ext uri="{FF2B5EF4-FFF2-40B4-BE49-F238E27FC236}">
                    <a16:creationId xmlns:a16="http://schemas.microsoft.com/office/drawing/2014/main" id="{00000000-0008-0000-0000-00004149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72</xdr:row>
          <xdr:rowOff>67130</xdr:rowOff>
        </xdr:from>
        <xdr:to>
          <xdr:col>37</xdr:col>
          <xdr:colOff>4455</xdr:colOff>
          <xdr:row>72</xdr:row>
          <xdr:rowOff>234770</xdr:rowOff>
        </xdr:to>
        <xdr:grpSp>
          <xdr:nvGrpSpPr>
            <xdr:cNvPr id="764" name="그룹 763">
              <a:extLst>
                <a:ext uri="{FF2B5EF4-FFF2-40B4-BE49-F238E27FC236}">
                  <a16:creationId xmlns:a16="http://schemas.microsoft.com/office/drawing/2014/main" id="{00000000-0008-0000-0000-0000FC020000}"/>
                </a:ext>
              </a:extLst>
            </xdr:cNvPr>
            <xdr:cNvGrpSpPr/>
          </xdr:nvGrpSpPr>
          <xdr:grpSpPr>
            <a:xfrm>
              <a:off x="22585441" y="22266730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754" name="Button 2370" hidden="1">
                <a:extLst>
                  <a:ext uri="{63B3BB69-23CF-44E3-9099-C40C66FF867C}">
                    <a14:compatExt spid="_x0000_s18754"/>
                  </a:ext>
                  <a:ext uri="{FF2B5EF4-FFF2-40B4-BE49-F238E27FC236}">
                    <a16:creationId xmlns:a16="http://schemas.microsoft.com/office/drawing/2014/main" id="{00000000-0008-0000-0000-00004249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55" name="Button 2371" hidden="1">
                <a:extLst>
                  <a:ext uri="{63B3BB69-23CF-44E3-9099-C40C66FF867C}">
                    <a14:compatExt spid="_x0000_s18755"/>
                  </a:ext>
                  <a:ext uri="{FF2B5EF4-FFF2-40B4-BE49-F238E27FC236}">
                    <a16:creationId xmlns:a16="http://schemas.microsoft.com/office/drawing/2014/main" id="{00000000-0008-0000-0000-00004349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73</xdr:row>
          <xdr:rowOff>67130</xdr:rowOff>
        </xdr:from>
        <xdr:to>
          <xdr:col>37</xdr:col>
          <xdr:colOff>4455</xdr:colOff>
          <xdr:row>73</xdr:row>
          <xdr:rowOff>234770</xdr:rowOff>
        </xdr:to>
        <xdr:grpSp>
          <xdr:nvGrpSpPr>
            <xdr:cNvPr id="767" name="그룹 766">
              <a:extLst>
                <a:ext uri="{FF2B5EF4-FFF2-40B4-BE49-F238E27FC236}">
                  <a16:creationId xmlns:a16="http://schemas.microsoft.com/office/drawing/2014/main" id="{00000000-0008-0000-0000-0000FF020000}"/>
                </a:ext>
              </a:extLst>
            </xdr:cNvPr>
            <xdr:cNvGrpSpPr/>
          </xdr:nvGrpSpPr>
          <xdr:grpSpPr>
            <a:xfrm>
              <a:off x="22585441" y="22571530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756" name="Button 2372" hidden="1">
                <a:extLst>
                  <a:ext uri="{63B3BB69-23CF-44E3-9099-C40C66FF867C}">
                    <a14:compatExt spid="_x0000_s18756"/>
                  </a:ext>
                  <a:ext uri="{FF2B5EF4-FFF2-40B4-BE49-F238E27FC236}">
                    <a16:creationId xmlns:a16="http://schemas.microsoft.com/office/drawing/2014/main" id="{00000000-0008-0000-0000-00004449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57" name="Button 2373" hidden="1">
                <a:extLst>
                  <a:ext uri="{63B3BB69-23CF-44E3-9099-C40C66FF867C}">
                    <a14:compatExt spid="_x0000_s18757"/>
                  </a:ext>
                  <a:ext uri="{FF2B5EF4-FFF2-40B4-BE49-F238E27FC236}">
                    <a16:creationId xmlns:a16="http://schemas.microsoft.com/office/drawing/2014/main" id="{00000000-0008-0000-0000-00004549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128</xdr:row>
          <xdr:rowOff>67130</xdr:rowOff>
        </xdr:from>
        <xdr:to>
          <xdr:col>37</xdr:col>
          <xdr:colOff>4455</xdr:colOff>
          <xdr:row>128</xdr:row>
          <xdr:rowOff>234770</xdr:rowOff>
        </xdr:to>
        <xdr:grpSp>
          <xdr:nvGrpSpPr>
            <xdr:cNvPr id="735" name="그룹 734">
              <a:extLst>
                <a:ext uri="{FF2B5EF4-FFF2-40B4-BE49-F238E27FC236}">
                  <a16:creationId xmlns:a16="http://schemas.microsoft.com/office/drawing/2014/main" id="{00000000-0008-0000-0000-0000DF020000}"/>
                </a:ext>
              </a:extLst>
            </xdr:cNvPr>
            <xdr:cNvGrpSpPr/>
          </xdr:nvGrpSpPr>
          <xdr:grpSpPr>
            <a:xfrm>
              <a:off x="22585441" y="41011930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758" name="Button 2374" hidden="1">
                <a:extLst>
                  <a:ext uri="{63B3BB69-23CF-44E3-9099-C40C66FF867C}">
                    <a14:compatExt spid="_x0000_s18758"/>
                  </a:ext>
                  <a:ext uri="{FF2B5EF4-FFF2-40B4-BE49-F238E27FC236}">
                    <a16:creationId xmlns:a16="http://schemas.microsoft.com/office/drawing/2014/main" id="{00000000-0008-0000-0000-00004649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59" name="Button 2375" hidden="1">
                <a:extLst>
                  <a:ext uri="{63B3BB69-23CF-44E3-9099-C40C66FF867C}">
                    <a14:compatExt spid="_x0000_s18759"/>
                  </a:ext>
                  <a:ext uri="{FF2B5EF4-FFF2-40B4-BE49-F238E27FC236}">
                    <a16:creationId xmlns:a16="http://schemas.microsoft.com/office/drawing/2014/main" id="{00000000-0008-0000-0000-00004749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129</xdr:row>
          <xdr:rowOff>67130</xdr:rowOff>
        </xdr:from>
        <xdr:to>
          <xdr:col>37</xdr:col>
          <xdr:colOff>4455</xdr:colOff>
          <xdr:row>129</xdr:row>
          <xdr:rowOff>234770</xdr:rowOff>
        </xdr:to>
        <xdr:grpSp>
          <xdr:nvGrpSpPr>
            <xdr:cNvPr id="738" name="그룹 737">
              <a:extLst>
                <a:ext uri="{FF2B5EF4-FFF2-40B4-BE49-F238E27FC236}">
                  <a16:creationId xmlns:a16="http://schemas.microsoft.com/office/drawing/2014/main" id="{00000000-0008-0000-0000-0000E2020000}"/>
                </a:ext>
              </a:extLst>
            </xdr:cNvPr>
            <xdr:cNvGrpSpPr/>
          </xdr:nvGrpSpPr>
          <xdr:grpSpPr>
            <a:xfrm>
              <a:off x="22585441" y="41316730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760" name="Button 2376" hidden="1">
                <a:extLst>
                  <a:ext uri="{63B3BB69-23CF-44E3-9099-C40C66FF867C}">
                    <a14:compatExt spid="_x0000_s18760"/>
                  </a:ext>
                  <a:ext uri="{FF2B5EF4-FFF2-40B4-BE49-F238E27FC236}">
                    <a16:creationId xmlns:a16="http://schemas.microsoft.com/office/drawing/2014/main" id="{00000000-0008-0000-0000-00004849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61" name="Button 2377" hidden="1">
                <a:extLst>
                  <a:ext uri="{63B3BB69-23CF-44E3-9099-C40C66FF867C}">
                    <a14:compatExt spid="_x0000_s18761"/>
                  </a:ext>
                  <a:ext uri="{FF2B5EF4-FFF2-40B4-BE49-F238E27FC236}">
                    <a16:creationId xmlns:a16="http://schemas.microsoft.com/office/drawing/2014/main" id="{00000000-0008-0000-0000-00004949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84</xdr:row>
          <xdr:rowOff>65316</xdr:rowOff>
        </xdr:from>
        <xdr:to>
          <xdr:col>39</xdr:col>
          <xdr:colOff>768433</xdr:colOff>
          <xdr:row>84</xdr:row>
          <xdr:rowOff>232956</xdr:rowOff>
        </xdr:to>
        <xdr:grpSp>
          <xdr:nvGrpSpPr>
            <xdr:cNvPr id="748" name="그룹 747">
              <a:extLst>
                <a:ext uri="{FF2B5EF4-FFF2-40B4-BE49-F238E27FC236}">
                  <a16:creationId xmlns:a16="http://schemas.microsoft.com/office/drawing/2014/main" id="{00000000-0008-0000-0000-0000EC020000}"/>
                </a:ext>
              </a:extLst>
            </xdr:cNvPr>
            <xdr:cNvGrpSpPr/>
          </xdr:nvGrpSpPr>
          <xdr:grpSpPr>
            <a:xfrm>
              <a:off x="24593249" y="26210383"/>
              <a:ext cx="626917" cy="167640"/>
              <a:chOff x="21096322" y="0"/>
              <a:chExt cx="1338713" cy="0"/>
            </a:xfrm>
          </xdr:grpSpPr>
          <xdr:sp macro="" textlink="">
            <xdr:nvSpPr>
              <xdr:cNvPr id="18770" name="Button 2386" hidden="1">
                <a:extLst>
                  <a:ext uri="{63B3BB69-23CF-44E3-9099-C40C66FF867C}">
                    <a14:compatExt spid="_x0000_s18770"/>
                  </a:ext>
                  <a:ext uri="{FF2B5EF4-FFF2-40B4-BE49-F238E27FC236}">
                    <a16:creationId xmlns:a16="http://schemas.microsoft.com/office/drawing/2014/main" id="{00000000-0008-0000-0000-000052490000}"/>
                  </a:ext>
                </a:extLst>
              </xdr:cNvPr>
              <xdr:cNvSpPr/>
            </xdr:nvSpPr>
            <xdr:spPr bwMode="auto">
              <a:xfrm>
                <a:off x="21096322" y="0"/>
                <a:ext cx="269263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71" name="Button 2387" hidden="1">
                <a:extLst>
                  <a:ext uri="{63B3BB69-23CF-44E3-9099-C40C66FF867C}">
                    <a14:compatExt spid="_x0000_s18771"/>
                  </a:ext>
                  <a:ext uri="{FF2B5EF4-FFF2-40B4-BE49-F238E27FC236}">
                    <a16:creationId xmlns:a16="http://schemas.microsoft.com/office/drawing/2014/main" id="{00000000-0008-0000-0000-000053490000}"/>
                  </a:ext>
                </a:extLst>
              </xdr:cNvPr>
              <xdr:cNvSpPr/>
            </xdr:nvSpPr>
            <xdr:spPr bwMode="auto">
              <a:xfrm>
                <a:off x="22127754" y="0"/>
                <a:ext cx="307281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84</xdr:row>
          <xdr:rowOff>67130</xdr:rowOff>
        </xdr:from>
        <xdr:to>
          <xdr:col>37</xdr:col>
          <xdr:colOff>4455</xdr:colOff>
          <xdr:row>84</xdr:row>
          <xdr:rowOff>234770</xdr:rowOff>
        </xdr:to>
        <xdr:grpSp>
          <xdr:nvGrpSpPr>
            <xdr:cNvPr id="750" name="그룹 749">
              <a:extLst>
                <a:ext uri="{FF2B5EF4-FFF2-40B4-BE49-F238E27FC236}">
                  <a16:creationId xmlns:a16="http://schemas.microsoft.com/office/drawing/2014/main" id="{00000000-0008-0000-0000-0000EE020000}"/>
                </a:ext>
              </a:extLst>
            </xdr:cNvPr>
            <xdr:cNvGrpSpPr/>
          </xdr:nvGrpSpPr>
          <xdr:grpSpPr>
            <a:xfrm>
              <a:off x="22585441" y="26212197"/>
              <a:ext cx="956347" cy="167640"/>
              <a:chOff x="17819584" y="0"/>
              <a:chExt cx="1795528" cy="0"/>
            </a:xfrm>
          </xdr:grpSpPr>
          <xdr:sp macro="" textlink="">
            <xdr:nvSpPr>
              <xdr:cNvPr id="18772" name="Button 2388" hidden="1">
                <a:extLst>
                  <a:ext uri="{63B3BB69-23CF-44E3-9099-C40C66FF867C}">
                    <a14:compatExt spid="_x0000_s18772"/>
                  </a:ext>
                  <a:ext uri="{FF2B5EF4-FFF2-40B4-BE49-F238E27FC236}">
                    <a16:creationId xmlns:a16="http://schemas.microsoft.com/office/drawing/2014/main" id="{00000000-0008-0000-0000-000054490000}"/>
                  </a:ext>
                </a:extLst>
              </xdr:cNvPr>
              <xdr:cNvSpPr/>
            </xdr:nvSpPr>
            <xdr:spPr bwMode="auto">
              <a:xfrm>
                <a:off x="18967417" y="0"/>
                <a:ext cx="64769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73" name="Button 2389" hidden="1">
                <a:extLst>
                  <a:ext uri="{63B3BB69-23CF-44E3-9099-C40C66FF867C}">
                    <a14:compatExt spid="_x0000_s18773"/>
                  </a:ext>
                  <a:ext uri="{FF2B5EF4-FFF2-40B4-BE49-F238E27FC236}">
                    <a16:creationId xmlns:a16="http://schemas.microsoft.com/office/drawing/2014/main" id="{00000000-0008-0000-0000-000055490000}"/>
                  </a:ext>
                </a:extLst>
              </xdr:cNvPr>
              <xdr:cNvSpPr/>
            </xdr:nvSpPr>
            <xdr:spPr bwMode="auto">
              <a:xfrm>
                <a:off x="17819584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84</xdr:row>
          <xdr:rowOff>67130</xdr:rowOff>
        </xdr:from>
        <xdr:to>
          <xdr:col>37</xdr:col>
          <xdr:colOff>4455</xdr:colOff>
          <xdr:row>84</xdr:row>
          <xdr:rowOff>234770</xdr:rowOff>
        </xdr:to>
        <xdr:grpSp>
          <xdr:nvGrpSpPr>
            <xdr:cNvPr id="751" name="그룹 750">
              <a:extLst>
                <a:ext uri="{FF2B5EF4-FFF2-40B4-BE49-F238E27FC236}">
                  <a16:creationId xmlns:a16="http://schemas.microsoft.com/office/drawing/2014/main" id="{00000000-0008-0000-0000-0000EF020000}"/>
                </a:ext>
              </a:extLst>
            </xdr:cNvPr>
            <xdr:cNvGrpSpPr/>
          </xdr:nvGrpSpPr>
          <xdr:grpSpPr>
            <a:xfrm>
              <a:off x="22585441" y="26212197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774" name="Button 2390" hidden="1">
                <a:extLst>
                  <a:ext uri="{63B3BB69-23CF-44E3-9099-C40C66FF867C}">
                    <a14:compatExt spid="_x0000_s18774"/>
                  </a:ext>
                  <a:ext uri="{FF2B5EF4-FFF2-40B4-BE49-F238E27FC236}">
                    <a16:creationId xmlns:a16="http://schemas.microsoft.com/office/drawing/2014/main" id="{00000000-0008-0000-0000-00005649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75" name="Button 2391" hidden="1">
                <a:extLst>
                  <a:ext uri="{63B3BB69-23CF-44E3-9099-C40C66FF867C}">
                    <a14:compatExt spid="_x0000_s18775"/>
                  </a:ext>
                  <a:ext uri="{FF2B5EF4-FFF2-40B4-BE49-F238E27FC236}">
                    <a16:creationId xmlns:a16="http://schemas.microsoft.com/office/drawing/2014/main" id="{00000000-0008-0000-0000-00005749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84</xdr:row>
          <xdr:rowOff>65316</xdr:rowOff>
        </xdr:from>
        <xdr:to>
          <xdr:col>39</xdr:col>
          <xdr:colOff>768433</xdr:colOff>
          <xdr:row>84</xdr:row>
          <xdr:rowOff>232956</xdr:rowOff>
        </xdr:to>
        <xdr:grpSp>
          <xdr:nvGrpSpPr>
            <xdr:cNvPr id="753" name="그룹 752">
              <a:extLst>
                <a:ext uri="{FF2B5EF4-FFF2-40B4-BE49-F238E27FC236}">
                  <a16:creationId xmlns:a16="http://schemas.microsoft.com/office/drawing/2014/main" id="{00000000-0008-0000-0000-0000F1020000}"/>
                </a:ext>
              </a:extLst>
            </xdr:cNvPr>
            <xdr:cNvGrpSpPr/>
          </xdr:nvGrpSpPr>
          <xdr:grpSpPr>
            <a:xfrm>
              <a:off x="24593249" y="26210383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776" name="Button 2392" hidden="1">
                <a:extLst>
                  <a:ext uri="{63B3BB69-23CF-44E3-9099-C40C66FF867C}">
                    <a14:compatExt spid="_x0000_s18776"/>
                  </a:ext>
                  <a:ext uri="{FF2B5EF4-FFF2-40B4-BE49-F238E27FC236}">
                    <a16:creationId xmlns:a16="http://schemas.microsoft.com/office/drawing/2014/main" id="{00000000-0008-0000-0000-000058490000}"/>
                  </a:ext>
                </a:extLst>
              </xdr:cNvPr>
              <xdr:cNvSpPr/>
            </xdr:nvSpPr>
            <xdr:spPr bwMode="auto">
              <a:xfrm>
                <a:off x="21808043" y="18909312"/>
                <a:ext cx="26926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77" name="Button 2393" hidden="1">
                <a:extLst>
                  <a:ext uri="{63B3BB69-23CF-44E3-9099-C40C66FF867C}">
                    <a14:compatExt spid="_x0000_s18777"/>
                  </a:ext>
                  <a:ext uri="{FF2B5EF4-FFF2-40B4-BE49-F238E27FC236}">
                    <a16:creationId xmlns:a16="http://schemas.microsoft.com/office/drawing/2014/main" id="{00000000-0008-0000-0000-000059490000}"/>
                  </a:ext>
                </a:extLst>
              </xdr:cNvPr>
              <xdr:cNvSpPr/>
            </xdr:nvSpPr>
            <xdr:spPr bwMode="auto">
              <a:xfrm>
                <a:off x="22127678" y="18909312"/>
                <a:ext cx="307282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85</xdr:row>
          <xdr:rowOff>67130</xdr:rowOff>
        </xdr:from>
        <xdr:to>
          <xdr:col>37</xdr:col>
          <xdr:colOff>4455</xdr:colOff>
          <xdr:row>85</xdr:row>
          <xdr:rowOff>234770</xdr:rowOff>
        </xdr:to>
        <xdr:grpSp>
          <xdr:nvGrpSpPr>
            <xdr:cNvPr id="745" name="그룹 744">
              <a:extLst>
                <a:ext uri="{FF2B5EF4-FFF2-40B4-BE49-F238E27FC236}">
                  <a16:creationId xmlns:a16="http://schemas.microsoft.com/office/drawing/2014/main" id="{00000000-0008-0000-0000-0000E9020000}"/>
                </a:ext>
              </a:extLst>
            </xdr:cNvPr>
            <xdr:cNvGrpSpPr/>
          </xdr:nvGrpSpPr>
          <xdr:grpSpPr>
            <a:xfrm>
              <a:off x="22585441" y="26516997"/>
              <a:ext cx="956347" cy="167640"/>
              <a:chOff x="17819584" y="0"/>
              <a:chExt cx="1795528" cy="0"/>
            </a:xfrm>
          </xdr:grpSpPr>
          <xdr:sp macro="" textlink="">
            <xdr:nvSpPr>
              <xdr:cNvPr id="18778" name="Button 2394" hidden="1">
                <a:extLst>
                  <a:ext uri="{63B3BB69-23CF-44E3-9099-C40C66FF867C}">
                    <a14:compatExt spid="_x0000_s18778"/>
                  </a:ext>
                  <a:ext uri="{FF2B5EF4-FFF2-40B4-BE49-F238E27FC236}">
                    <a16:creationId xmlns:a16="http://schemas.microsoft.com/office/drawing/2014/main" id="{00000000-0008-0000-0000-00005A490000}"/>
                  </a:ext>
                </a:extLst>
              </xdr:cNvPr>
              <xdr:cNvSpPr/>
            </xdr:nvSpPr>
            <xdr:spPr bwMode="auto">
              <a:xfrm>
                <a:off x="18967417" y="0"/>
                <a:ext cx="647695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79" name="Button 2395" hidden="1">
                <a:extLst>
                  <a:ext uri="{63B3BB69-23CF-44E3-9099-C40C66FF867C}">
                    <a14:compatExt spid="_x0000_s18779"/>
                  </a:ext>
                  <a:ext uri="{FF2B5EF4-FFF2-40B4-BE49-F238E27FC236}">
                    <a16:creationId xmlns:a16="http://schemas.microsoft.com/office/drawing/2014/main" id="{00000000-0008-0000-0000-00005B490000}"/>
                  </a:ext>
                </a:extLst>
              </xdr:cNvPr>
              <xdr:cNvSpPr/>
            </xdr:nvSpPr>
            <xdr:spPr bwMode="auto">
              <a:xfrm>
                <a:off x="17819584" y="0"/>
                <a:ext cx="739140" cy="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85</xdr:row>
          <xdr:rowOff>67130</xdr:rowOff>
        </xdr:from>
        <xdr:to>
          <xdr:col>37</xdr:col>
          <xdr:colOff>4455</xdr:colOff>
          <xdr:row>85</xdr:row>
          <xdr:rowOff>234770</xdr:rowOff>
        </xdr:to>
        <xdr:grpSp>
          <xdr:nvGrpSpPr>
            <xdr:cNvPr id="754" name="그룹 753">
              <a:extLst>
                <a:ext uri="{FF2B5EF4-FFF2-40B4-BE49-F238E27FC236}">
                  <a16:creationId xmlns:a16="http://schemas.microsoft.com/office/drawing/2014/main" id="{00000000-0008-0000-0000-0000F2020000}"/>
                </a:ext>
              </a:extLst>
            </xdr:cNvPr>
            <xdr:cNvGrpSpPr/>
          </xdr:nvGrpSpPr>
          <xdr:grpSpPr>
            <a:xfrm>
              <a:off x="22585441" y="26516997"/>
              <a:ext cx="956347" cy="167640"/>
              <a:chOff x="17065125" y="994230"/>
              <a:chExt cx="1493665" cy="167640"/>
            </a:xfrm>
          </xdr:grpSpPr>
          <xdr:sp macro="" textlink="">
            <xdr:nvSpPr>
              <xdr:cNvPr id="18780" name="Button 2396" hidden="1">
                <a:extLst>
                  <a:ext uri="{63B3BB69-23CF-44E3-9099-C40C66FF867C}">
                    <a14:compatExt spid="_x0000_s18780"/>
                  </a:ext>
                  <a:ext uri="{FF2B5EF4-FFF2-40B4-BE49-F238E27FC236}">
                    <a16:creationId xmlns:a16="http://schemas.microsoft.com/office/drawing/2014/main" id="{00000000-0008-0000-0000-00005C490000}"/>
                  </a:ext>
                </a:extLst>
              </xdr:cNvPr>
              <xdr:cNvSpPr/>
            </xdr:nvSpPr>
            <xdr:spPr bwMode="auto">
              <a:xfrm>
                <a:off x="17065125" y="994230"/>
                <a:ext cx="647698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</a:t>
                </a:r>
              </a:p>
            </xdr:txBody>
          </xdr:sp>
          <xdr:sp macro="" textlink="">
            <xdr:nvSpPr>
              <xdr:cNvPr id="18781" name="Button 2397" hidden="1">
                <a:extLst>
                  <a:ext uri="{63B3BB69-23CF-44E3-9099-C40C66FF867C}">
                    <a14:compatExt spid="_x0000_s18781"/>
                  </a:ext>
                  <a:ext uri="{FF2B5EF4-FFF2-40B4-BE49-F238E27FC236}">
                    <a16:creationId xmlns:a16="http://schemas.microsoft.com/office/drawing/2014/main" id="{00000000-0008-0000-0000-00005D490000}"/>
                  </a:ext>
                </a:extLst>
              </xdr:cNvPr>
              <xdr:cNvSpPr/>
            </xdr:nvSpPr>
            <xdr:spPr bwMode="auto">
              <a:xfrm>
                <a:off x="17819651" y="994230"/>
                <a:ext cx="739139" cy="16764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83</xdr:row>
          <xdr:rowOff>50800</xdr:rowOff>
        </xdr:from>
        <xdr:to>
          <xdr:col>10</xdr:col>
          <xdr:colOff>406400</xdr:colOff>
          <xdr:row>84</xdr:row>
          <xdr:rowOff>25400</xdr:rowOff>
        </xdr:to>
        <xdr:sp macro="" textlink="">
          <xdr:nvSpPr>
            <xdr:cNvPr id="18782" name="Check Box 2398" hidden="1">
              <a:extLst>
                <a:ext uri="{63B3BB69-23CF-44E3-9099-C40C66FF867C}">
                  <a14:compatExt spid="_x0000_s18782"/>
                </a:ext>
                <a:ext uri="{FF2B5EF4-FFF2-40B4-BE49-F238E27FC236}">
                  <a16:creationId xmlns:a16="http://schemas.microsoft.com/office/drawing/2014/main" id="{00000000-0008-0000-0000-00005E4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24</xdr:col>
      <xdr:colOff>38100</xdr:colOff>
      <xdr:row>0</xdr:row>
      <xdr:rowOff>228600</xdr:rowOff>
    </xdr:from>
    <xdr:to>
      <xdr:col>24</xdr:col>
      <xdr:colOff>812800</xdr:colOff>
      <xdr:row>0</xdr:row>
      <xdr:rowOff>533400</xdr:rowOff>
    </xdr:to>
    <xdr:pic>
      <xdr:nvPicPr>
        <xdr:cNvPr id="2" name="ComboBox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28700" y="228600"/>
          <a:ext cx="7747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1460500</xdr:colOff>
          <xdr:row>0</xdr:row>
          <xdr:rowOff>0</xdr:rowOff>
        </xdr:from>
        <xdr:to>
          <xdr:col>36</xdr:col>
          <xdr:colOff>266700</xdr:colOff>
          <xdr:row>0</xdr:row>
          <xdr:rowOff>533400</xdr:rowOff>
        </xdr:to>
        <xdr:sp macro="" textlink="">
          <xdr:nvSpPr>
            <xdr:cNvPr id="18787" name="CheckBox1" hidden="1">
              <a:extLst>
                <a:ext uri="{63B3BB69-23CF-44E3-9099-C40C66FF867C}">
                  <a14:compatExt spid="_x0000_s18787"/>
                </a:ext>
                <a:ext uri="{FF2B5EF4-FFF2-40B4-BE49-F238E27FC236}">
                  <a16:creationId xmlns:a16="http://schemas.microsoft.com/office/drawing/2014/main" id="{00000000-0008-0000-0000-0000634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952500</xdr:colOff>
          <xdr:row>0</xdr:row>
          <xdr:rowOff>355600</xdr:rowOff>
        </xdr:from>
        <xdr:to>
          <xdr:col>35</xdr:col>
          <xdr:colOff>1511300</xdr:colOff>
          <xdr:row>0</xdr:row>
          <xdr:rowOff>508000</xdr:rowOff>
        </xdr:to>
        <xdr:sp macro="" textlink="">
          <xdr:nvSpPr>
            <xdr:cNvPr id="18789" name="Check Box 2405" hidden="1">
              <a:extLst>
                <a:ext uri="{63B3BB69-23CF-44E3-9099-C40C66FF867C}">
                  <a14:compatExt spid="_x0000_s18789"/>
                </a:ext>
                <a:ext uri="{FF2B5EF4-FFF2-40B4-BE49-F238E27FC236}">
                  <a16:creationId xmlns:a16="http://schemas.microsoft.com/office/drawing/2014/main" id="{00000000-0008-0000-0000-0000654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13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확인란</a:t>
              </a:r>
              <a:r>
                <a:rPr lang="ko-KR" altLang="en-US" sz="1300" b="0" i="0" u="none" strike="noStrike" baseline="0">
                  <a:solidFill>
                    <a:srgbClr val="000000"/>
                  </a:solidFill>
                  <a:latin typeface="Lucida Grande" charset="0"/>
                  <a:ea typeface="맑은 고딕" charset="-127"/>
                  <a:cs typeface="Lucida Grande" charset="0"/>
                </a:rPr>
                <a:t> 2405</a:t>
              </a:r>
              <a:endParaRPr lang="ko-KR" altLang="en-US" sz="1300" b="0" i="0" u="none" strike="noStrike" baseline="0">
                <a:solidFill>
                  <a:srgbClr val="000000"/>
                </a:solidFill>
                <a:latin typeface="Lucida Grande" charset="0"/>
                <a:cs typeface="Lucida Grande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185058</xdr:colOff>
          <xdr:row>0</xdr:row>
          <xdr:rowOff>54429</xdr:rowOff>
        </xdr:from>
        <xdr:to>
          <xdr:col>9</xdr:col>
          <xdr:colOff>2909752</xdr:colOff>
          <xdr:row>1</xdr:row>
          <xdr:rowOff>153489</xdr:rowOff>
        </xdr:to>
        <xdr:grpSp>
          <xdr:nvGrpSpPr>
            <xdr:cNvPr id="2" name="그룹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4956629" y="54429"/>
              <a:ext cx="3649980" cy="316774"/>
              <a:chOff x="16365589" y="228600"/>
              <a:chExt cx="3639096" cy="316774"/>
            </a:xfrm>
          </xdr:grpSpPr>
          <xdr:sp macro="" textlink="">
            <xdr:nvSpPr>
              <xdr:cNvPr id="3073" name="Button 1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200-0000010C0000}"/>
                  </a:ext>
                </a:extLst>
              </xdr:cNvPr>
              <xdr:cNvSpPr/>
            </xdr:nvSpPr>
            <xdr:spPr bwMode="auto">
              <a:xfrm>
                <a:off x="19325416" y="251460"/>
                <a:ext cx="679269" cy="29391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모두생성</a:t>
                </a:r>
              </a:p>
            </xdr:txBody>
          </xdr:sp>
          <xdr:sp macro="" textlink="">
            <xdr:nvSpPr>
              <xdr:cNvPr id="3074" name="Button 2" hidden="1">
                <a:extLst>
                  <a:ext uri="{63B3BB69-23CF-44E3-9099-C40C66FF867C}">
                    <a14:compatExt spid="_x0000_s3074"/>
                  </a:ext>
                  <a:ext uri="{FF2B5EF4-FFF2-40B4-BE49-F238E27FC236}">
                    <a16:creationId xmlns:a16="http://schemas.microsoft.com/office/drawing/2014/main" id="{00000000-0008-0000-0200-0000020C0000}"/>
                  </a:ext>
                </a:extLst>
              </xdr:cNvPr>
              <xdr:cNvSpPr/>
            </xdr:nvSpPr>
            <xdr:spPr bwMode="auto">
              <a:xfrm>
                <a:off x="18550346" y="251460"/>
                <a:ext cx="775063" cy="29391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  <a:ext uri="{FF2B5EF4-FFF2-40B4-BE49-F238E27FC236}">
                    <a16:creationId xmlns:a16="http://schemas.microsoft.com/office/drawing/2014/main" id="{00000000-0008-0000-0200-0000030C0000}"/>
                  </a:ext>
                </a:extLst>
              </xdr:cNvPr>
              <xdr:cNvSpPr/>
            </xdr:nvSpPr>
            <xdr:spPr bwMode="auto">
              <a:xfrm>
                <a:off x="17356183" y="251460"/>
                <a:ext cx="1194163" cy="29391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module.interface</a:t>
                </a:r>
              </a:p>
            </xdr:txBody>
          </xdr:sp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  <a:ext uri="{FF2B5EF4-FFF2-40B4-BE49-F238E27FC236}">
                    <a16:creationId xmlns:a16="http://schemas.microsoft.com/office/drawing/2014/main" id="{00000000-0008-0000-0200-0000040C0000}"/>
                  </a:ext>
                </a:extLst>
              </xdr:cNvPr>
              <xdr:cNvSpPr/>
            </xdr:nvSpPr>
            <xdr:spPr bwMode="auto">
              <a:xfrm>
                <a:off x="16365589" y="228600"/>
                <a:ext cx="998225" cy="3167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module.index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3</xdr:row>
          <xdr:rowOff>30480</xdr:rowOff>
        </xdr:from>
        <xdr:to>
          <xdr:col>6</xdr:col>
          <xdr:colOff>225334</xdr:colOff>
          <xdr:row>4</xdr:row>
          <xdr:rowOff>126274</xdr:rowOff>
        </xdr:to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GrpSpPr/>
          </xdr:nvGrpSpPr>
          <xdr:grpSpPr>
            <a:xfrm>
              <a:off x="609600" y="678180"/>
              <a:ext cx="3654334" cy="311694"/>
              <a:chOff x="16365580" y="228598"/>
              <a:chExt cx="3639099" cy="316776"/>
            </a:xfrm>
          </xdr:grpSpPr>
          <xdr:sp macro="" textlink="">
            <xdr:nvSpPr>
              <xdr:cNvPr id="5125" name="Button 5" hidden="1">
                <a:extLst>
                  <a:ext uri="{63B3BB69-23CF-44E3-9099-C40C66FF867C}">
                    <a14:compatExt spid="_x0000_s5125"/>
                  </a:ext>
                  <a:ext uri="{FF2B5EF4-FFF2-40B4-BE49-F238E27FC236}">
                    <a16:creationId xmlns:a16="http://schemas.microsoft.com/office/drawing/2014/main" id="{00000000-0008-0000-0400-000005140000}"/>
                  </a:ext>
                </a:extLst>
              </xdr:cNvPr>
              <xdr:cNvSpPr/>
            </xdr:nvSpPr>
            <xdr:spPr bwMode="auto">
              <a:xfrm>
                <a:off x="19325411" y="251460"/>
                <a:ext cx="679268" cy="29391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모두생성</a:t>
                </a:r>
              </a:p>
            </xdr:txBody>
          </xdr:sp>
          <xdr:sp macro="" textlink="">
            <xdr:nvSpPr>
              <xdr:cNvPr id="5126" name="Button 6" hidden="1">
                <a:extLst>
                  <a:ext uri="{63B3BB69-23CF-44E3-9099-C40C66FF867C}">
                    <a14:compatExt spid="_x0000_s5126"/>
                  </a:ext>
                  <a:ext uri="{FF2B5EF4-FFF2-40B4-BE49-F238E27FC236}">
                    <a16:creationId xmlns:a16="http://schemas.microsoft.com/office/drawing/2014/main" id="{00000000-0008-0000-0400-000006140000}"/>
                  </a:ext>
                </a:extLst>
              </xdr:cNvPr>
              <xdr:cNvSpPr/>
            </xdr:nvSpPr>
            <xdr:spPr bwMode="auto">
              <a:xfrm>
                <a:off x="18550346" y="251460"/>
                <a:ext cx="775063" cy="29391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controller</a:t>
                </a:r>
              </a:p>
            </xdr:txBody>
          </xdr:sp>
          <xdr:sp macro="" textlink="">
            <xdr:nvSpPr>
              <xdr:cNvPr id="5127" name="Button 7" hidden="1">
                <a:extLst>
                  <a:ext uri="{63B3BB69-23CF-44E3-9099-C40C66FF867C}">
                    <a14:compatExt spid="_x0000_s5127"/>
                  </a:ext>
                  <a:ext uri="{FF2B5EF4-FFF2-40B4-BE49-F238E27FC236}">
                    <a16:creationId xmlns:a16="http://schemas.microsoft.com/office/drawing/2014/main" id="{00000000-0008-0000-0400-000007140000}"/>
                  </a:ext>
                </a:extLst>
              </xdr:cNvPr>
              <xdr:cNvSpPr/>
            </xdr:nvSpPr>
            <xdr:spPr bwMode="auto">
              <a:xfrm>
                <a:off x="17356183" y="251460"/>
                <a:ext cx="1194163" cy="29391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module.interface</a:t>
                </a:r>
              </a:p>
            </xdr:txBody>
          </xdr:sp>
          <xdr:sp macro="" textlink="">
            <xdr:nvSpPr>
              <xdr:cNvPr id="5128" name="Button 8" hidden="1">
                <a:extLst>
                  <a:ext uri="{63B3BB69-23CF-44E3-9099-C40C66FF867C}">
                    <a14:compatExt spid="_x0000_s5128"/>
                  </a:ext>
                  <a:ext uri="{FF2B5EF4-FFF2-40B4-BE49-F238E27FC236}">
                    <a16:creationId xmlns:a16="http://schemas.microsoft.com/office/drawing/2014/main" id="{00000000-0008-0000-0400-000008140000}"/>
                  </a:ext>
                </a:extLst>
              </xdr:cNvPr>
              <xdr:cNvSpPr/>
            </xdr:nvSpPr>
            <xdr:spPr bwMode="auto">
              <a:xfrm>
                <a:off x="16365580" y="228598"/>
                <a:ext cx="998219" cy="3167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 charset="-127"/>
                    <a:ea typeface="맑은 고딕" charset="-127"/>
                  </a:rPr>
                  <a:t>module.index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215900</xdr:colOff>
          <xdr:row>6</xdr:row>
          <xdr:rowOff>76200</xdr:rowOff>
        </xdr:from>
        <xdr:to>
          <xdr:col>9</xdr:col>
          <xdr:colOff>215900</xdr:colOff>
          <xdr:row>8</xdr:row>
          <xdr:rowOff>76200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데이터 가져오기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.xml"/><Relationship Id="rId21" Type="http://schemas.openxmlformats.org/officeDocument/2006/relationships/hyperlink" Target="../../../../../../Work/ecoinsight/work/base_code/question.DeleteQuestion.module.ts" TargetMode="External"/><Relationship Id="rId324" Type="http://schemas.openxmlformats.org/officeDocument/2006/relationships/ctrlProp" Target="../ctrlProps/ctrlProp214.xml"/><Relationship Id="rId531" Type="http://schemas.openxmlformats.org/officeDocument/2006/relationships/ctrlProp" Target="../ctrlProps/ctrlProp421.xml"/><Relationship Id="rId170" Type="http://schemas.openxmlformats.org/officeDocument/2006/relationships/ctrlProp" Target="../ctrlProps/ctrlProp60.xml"/><Relationship Id="rId268" Type="http://schemas.openxmlformats.org/officeDocument/2006/relationships/ctrlProp" Target="../ctrlProps/ctrlProp158.xml"/><Relationship Id="rId475" Type="http://schemas.openxmlformats.org/officeDocument/2006/relationships/ctrlProp" Target="../ctrlProps/ctrlProp365.xml"/><Relationship Id="rId32" Type="http://schemas.openxmlformats.org/officeDocument/2006/relationships/hyperlink" Target="../../../../../../Work/ecoinsight/work/base_code/company.UpdatePasswordConfirmForCompany.controller.ts" TargetMode="External"/><Relationship Id="rId128" Type="http://schemas.openxmlformats.org/officeDocument/2006/relationships/ctrlProp" Target="../ctrlProps/ctrlProp18.xml"/><Relationship Id="rId335" Type="http://schemas.openxmlformats.org/officeDocument/2006/relationships/ctrlProp" Target="../ctrlProps/ctrlProp225.xml"/><Relationship Id="rId542" Type="http://schemas.openxmlformats.org/officeDocument/2006/relationships/ctrlProp" Target="../ctrlProps/ctrlProp432.xml"/><Relationship Id="rId181" Type="http://schemas.openxmlformats.org/officeDocument/2006/relationships/ctrlProp" Target="../ctrlProps/ctrlProp71.xml"/><Relationship Id="rId402" Type="http://schemas.openxmlformats.org/officeDocument/2006/relationships/ctrlProp" Target="../ctrlProps/ctrlProp292.xml"/><Relationship Id="rId279" Type="http://schemas.openxmlformats.org/officeDocument/2006/relationships/ctrlProp" Target="../ctrlProps/ctrlProp169.xml"/><Relationship Id="rId486" Type="http://schemas.openxmlformats.org/officeDocument/2006/relationships/ctrlProp" Target="../ctrlProps/ctrlProp376.xml"/><Relationship Id="rId43" Type="http://schemas.openxmlformats.org/officeDocument/2006/relationships/hyperlink" Target="../../../../../../Work/ecoinsight/work/base_code/company.CheckCompanyEmail.module.ts" TargetMode="External"/><Relationship Id="rId139" Type="http://schemas.openxmlformats.org/officeDocument/2006/relationships/ctrlProp" Target="../ctrlProps/ctrlProp29.xml"/><Relationship Id="rId346" Type="http://schemas.openxmlformats.org/officeDocument/2006/relationships/ctrlProp" Target="../ctrlProps/ctrlProp236.xml"/><Relationship Id="rId553" Type="http://schemas.openxmlformats.org/officeDocument/2006/relationships/ctrlProp" Target="../ctrlProps/ctrlProp443.xml"/><Relationship Id="rId192" Type="http://schemas.openxmlformats.org/officeDocument/2006/relationships/ctrlProp" Target="../ctrlProps/ctrlProp82.xml"/><Relationship Id="rId206" Type="http://schemas.openxmlformats.org/officeDocument/2006/relationships/ctrlProp" Target="../ctrlProps/ctrlProp96.xml"/><Relationship Id="rId413" Type="http://schemas.openxmlformats.org/officeDocument/2006/relationships/ctrlProp" Target="../ctrlProps/ctrlProp303.xml"/><Relationship Id="rId497" Type="http://schemas.openxmlformats.org/officeDocument/2006/relationships/ctrlProp" Target="../ctrlProps/ctrlProp387.xml"/><Relationship Id="rId620" Type="http://schemas.openxmlformats.org/officeDocument/2006/relationships/ctrlProp" Target="../ctrlProps/ctrlProp510.xml"/><Relationship Id="rId357" Type="http://schemas.openxmlformats.org/officeDocument/2006/relationships/ctrlProp" Target="../ctrlProps/ctrlProp247.xml"/><Relationship Id="rId54" Type="http://schemas.openxmlformats.org/officeDocument/2006/relationships/hyperlink" Target="../../../../../../Work/ecoinsight/work/base_code/member.SaveUserProfile.controller.ts" TargetMode="External"/><Relationship Id="rId217" Type="http://schemas.openxmlformats.org/officeDocument/2006/relationships/ctrlProp" Target="../ctrlProps/ctrlProp107.xml"/><Relationship Id="rId564" Type="http://schemas.openxmlformats.org/officeDocument/2006/relationships/ctrlProp" Target="../ctrlProps/ctrlProp454.xml"/><Relationship Id="rId424" Type="http://schemas.openxmlformats.org/officeDocument/2006/relationships/ctrlProp" Target="../ctrlProps/ctrlProp314.xml"/><Relationship Id="rId270" Type="http://schemas.openxmlformats.org/officeDocument/2006/relationships/ctrlProp" Target="../ctrlProps/ctrlProp160.xml"/><Relationship Id="rId65" Type="http://schemas.openxmlformats.org/officeDocument/2006/relationships/hyperlink" Target="../../../../../../Work/ecoinsight/work/base_code/member.GetToken.module.ts" TargetMode="External"/><Relationship Id="rId130" Type="http://schemas.openxmlformats.org/officeDocument/2006/relationships/ctrlProp" Target="../ctrlProps/ctrlProp20.xml"/><Relationship Id="rId368" Type="http://schemas.openxmlformats.org/officeDocument/2006/relationships/ctrlProp" Target="../ctrlProps/ctrlProp258.xml"/><Relationship Id="rId575" Type="http://schemas.openxmlformats.org/officeDocument/2006/relationships/ctrlProp" Target="../ctrlProps/ctrlProp465.xml"/><Relationship Id="rId228" Type="http://schemas.openxmlformats.org/officeDocument/2006/relationships/ctrlProp" Target="../ctrlProps/ctrlProp118.xml"/><Relationship Id="rId435" Type="http://schemas.openxmlformats.org/officeDocument/2006/relationships/ctrlProp" Target="../ctrlProps/ctrlProp325.xml"/><Relationship Id="rId281" Type="http://schemas.openxmlformats.org/officeDocument/2006/relationships/ctrlProp" Target="../ctrlProps/ctrlProp171.xml"/><Relationship Id="rId502" Type="http://schemas.openxmlformats.org/officeDocument/2006/relationships/ctrlProp" Target="../ctrlProps/ctrlProp392.xml"/><Relationship Id="rId76" Type="http://schemas.openxmlformats.org/officeDocument/2006/relationships/hyperlink" Target="../../../../../../Work/ecoinsight/work/base_code/apply.GetApplys.module.ts" TargetMode="External"/><Relationship Id="rId141" Type="http://schemas.openxmlformats.org/officeDocument/2006/relationships/ctrlProp" Target="../ctrlProps/ctrlProp31.xml"/><Relationship Id="rId379" Type="http://schemas.openxmlformats.org/officeDocument/2006/relationships/ctrlProp" Target="../ctrlProps/ctrlProp269.xml"/><Relationship Id="rId586" Type="http://schemas.openxmlformats.org/officeDocument/2006/relationships/ctrlProp" Target="../ctrlProps/ctrlProp476.xml"/><Relationship Id="rId7" Type="http://schemas.openxmlformats.org/officeDocument/2006/relationships/hyperlink" Target="../../../../../../Work/ecoinsight/work/base_code/recruit.AddRecruit.module.ts" TargetMode="External"/><Relationship Id="rId239" Type="http://schemas.openxmlformats.org/officeDocument/2006/relationships/ctrlProp" Target="../ctrlProps/ctrlProp129.xml"/><Relationship Id="rId446" Type="http://schemas.openxmlformats.org/officeDocument/2006/relationships/ctrlProp" Target="../ctrlProps/ctrlProp336.xml"/><Relationship Id="rId292" Type="http://schemas.openxmlformats.org/officeDocument/2006/relationships/ctrlProp" Target="../ctrlProps/ctrlProp182.xml"/><Relationship Id="rId306" Type="http://schemas.openxmlformats.org/officeDocument/2006/relationships/ctrlProp" Target="../ctrlProps/ctrlProp196.xml"/><Relationship Id="rId87" Type="http://schemas.openxmlformats.org/officeDocument/2006/relationships/hyperlink" Target="../../../../../../Work/ecoinsight/work/base_code/document.DeleteDocument.module.ts" TargetMode="External"/><Relationship Id="rId513" Type="http://schemas.openxmlformats.org/officeDocument/2006/relationships/ctrlProp" Target="../ctrlProps/ctrlProp403.xml"/><Relationship Id="rId597" Type="http://schemas.openxmlformats.org/officeDocument/2006/relationships/ctrlProp" Target="../ctrlProps/ctrlProp487.xml"/><Relationship Id="rId152" Type="http://schemas.openxmlformats.org/officeDocument/2006/relationships/ctrlProp" Target="../ctrlProps/ctrlProp42.xml"/><Relationship Id="rId457" Type="http://schemas.openxmlformats.org/officeDocument/2006/relationships/ctrlProp" Target="../ctrlProps/ctrlProp347.xml"/><Relationship Id="rId14" Type="http://schemas.openxmlformats.org/officeDocument/2006/relationships/hyperlink" Target="../../../../../../Work/ecoinsight/work/base_code/question.GetQuestions.controller.ts" TargetMode="External"/><Relationship Id="rId317" Type="http://schemas.openxmlformats.org/officeDocument/2006/relationships/ctrlProp" Target="../ctrlProps/ctrlProp207.xml"/><Relationship Id="rId524" Type="http://schemas.openxmlformats.org/officeDocument/2006/relationships/ctrlProp" Target="../ctrlProps/ctrlProp414.xml"/><Relationship Id="rId98" Type="http://schemas.openxmlformats.org/officeDocument/2006/relationships/hyperlink" Target="../../../../../../Work/ecoinsight/work/base_code/interviewQuestion.GetInterviewQuestion.module.ts" TargetMode="External"/><Relationship Id="rId163" Type="http://schemas.openxmlformats.org/officeDocument/2006/relationships/ctrlProp" Target="../ctrlProps/ctrlProp53.xml"/><Relationship Id="rId370" Type="http://schemas.openxmlformats.org/officeDocument/2006/relationships/ctrlProp" Target="../ctrlProps/ctrlProp260.xml"/><Relationship Id="rId230" Type="http://schemas.openxmlformats.org/officeDocument/2006/relationships/ctrlProp" Target="../ctrlProps/ctrlProp120.xml"/><Relationship Id="rId468" Type="http://schemas.openxmlformats.org/officeDocument/2006/relationships/ctrlProp" Target="../ctrlProps/ctrlProp358.xml"/><Relationship Id="rId25" Type="http://schemas.openxmlformats.org/officeDocument/2006/relationships/hyperlink" Target="../../../../../../Work/ecoinsight/work/base_code/question.GetQuestions.module.ts" TargetMode="External"/><Relationship Id="rId328" Type="http://schemas.openxmlformats.org/officeDocument/2006/relationships/ctrlProp" Target="../ctrlProps/ctrlProp218.xml"/><Relationship Id="rId535" Type="http://schemas.openxmlformats.org/officeDocument/2006/relationships/ctrlProp" Target="../ctrlProps/ctrlProp425.xml"/><Relationship Id="rId174" Type="http://schemas.openxmlformats.org/officeDocument/2006/relationships/ctrlProp" Target="../ctrlProps/ctrlProp64.xml"/><Relationship Id="rId381" Type="http://schemas.openxmlformats.org/officeDocument/2006/relationships/ctrlProp" Target="../ctrlProps/ctrlProp271.xml"/><Relationship Id="rId602" Type="http://schemas.openxmlformats.org/officeDocument/2006/relationships/ctrlProp" Target="../ctrlProps/ctrlProp492.xml"/><Relationship Id="rId241" Type="http://schemas.openxmlformats.org/officeDocument/2006/relationships/ctrlProp" Target="../ctrlProps/ctrlProp131.xml"/><Relationship Id="rId479" Type="http://schemas.openxmlformats.org/officeDocument/2006/relationships/ctrlProp" Target="../ctrlProps/ctrlProp369.xml"/><Relationship Id="rId36" Type="http://schemas.openxmlformats.org/officeDocument/2006/relationships/hyperlink" Target="../../../../../../Work/ecoinsight/work/base_code/company.UpdatePasswordOfCompanyForRequest.controller.ts" TargetMode="External"/><Relationship Id="rId283" Type="http://schemas.openxmlformats.org/officeDocument/2006/relationships/ctrlProp" Target="../ctrlProps/ctrlProp173.xml"/><Relationship Id="rId339" Type="http://schemas.openxmlformats.org/officeDocument/2006/relationships/ctrlProp" Target="../ctrlProps/ctrlProp229.xml"/><Relationship Id="rId490" Type="http://schemas.openxmlformats.org/officeDocument/2006/relationships/ctrlProp" Target="../ctrlProps/ctrlProp380.xml"/><Relationship Id="rId504" Type="http://schemas.openxmlformats.org/officeDocument/2006/relationships/ctrlProp" Target="../ctrlProps/ctrlProp394.xml"/><Relationship Id="rId546" Type="http://schemas.openxmlformats.org/officeDocument/2006/relationships/ctrlProp" Target="../ctrlProps/ctrlProp436.xml"/><Relationship Id="rId78" Type="http://schemas.openxmlformats.org/officeDocument/2006/relationships/hyperlink" Target="../../../../../../Work/ecoinsight/work/base_code/apply.GetApplysForCompany.module.ts" TargetMode="External"/><Relationship Id="rId101" Type="http://schemas.openxmlformats.org/officeDocument/2006/relationships/hyperlink" Target="../../../../../../Work/ecoinsight/work/base_code/interview.SaveInterview.module.ts" TargetMode="External"/><Relationship Id="rId143" Type="http://schemas.openxmlformats.org/officeDocument/2006/relationships/ctrlProp" Target="../ctrlProps/ctrlProp33.xml"/><Relationship Id="rId185" Type="http://schemas.openxmlformats.org/officeDocument/2006/relationships/ctrlProp" Target="../ctrlProps/ctrlProp75.xml"/><Relationship Id="rId350" Type="http://schemas.openxmlformats.org/officeDocument/2006/relationships/ctrlProp" Target="../ctrlProps/ctrlProp240.xml"/><Relationship Id="rId406" Type="http://schemas.openxmlformats.org/officeDocument/2006/relationships/ctrlProp" Target="../ctrlProps/ctrlProp296.xml"/><Relationship Id="rId588" Type="http://schemas.openxmlformats.org/officeDocument/2006/relationships/ctrlProp" Target="../ctrlProps/ctrlProp478.xml"/><Relationship Id="rId9" Type="http://schemas.openxmlformats.org/officeDocument/2006/relationships/hyperlink" Target="../../../../../../Work/ecoinsight/work/base_code/recruit.GetRecruitsForHome.module.ts" TargetMode="External"/><Relationship Id="rId210" Type="http://schemas.openxmlformats.org/officeDocument/2006/relationships/ctrlProp" Target="../ctrlProps/ctrlProp100.xml"/><Relationship Id="rId392" Type="http://schemas.openxmlformats.org/officeDocument/2006/relationships/ctrlProp" Target="../ctrlProps/ctrlProp282.xml"/><Relationship Id="rId448" Type="http://schemas.openxmlformats.org/officeDocument/2006/relationships/ctrlProp" Target="../ctrlProps/ctrlProp338.xml"/><Relationship Id="rId613" Type="http://schemas.openxmlformats.org/officeDocument/2006/relationships/ctrlProp" Target="../ctrlProps/ctrlProp503.xml"/><Relationship Id="rId252" Type="http://schemas.openxmlformats.org/officeDocument/2006/relationships/ctrlProp" Target="../ctrlProps/ctrlProp142.xml"/><Relationship Id="rId294" Type="http://schemas.openxmlformats.org/officeDocument/2006/relationships/ctrlProp" Target="../ctrlProps/ctrlProp184.xml"/><Relationship Id="rId308" Type="http://schemas.openxmlformats.org/officeDocument/2006/relationships/ctrlProp" Target="../ctrlProps/ctrlProp198.xml"/><Relationship Id="rId515" Type="http://schemas.openxmlformats.org/officeDocument/2006/relationships/ctrlProp" Target="../ctrlProps/ctrlProp405.xml"/><Relationship Id="rId47" Type="http://schemas.openxmlformats.org/officeDocument/2006/relationships/hyperlink" Target="../../../../../../Work/ecoinsight/work/base_code/company.GetCompanyDetail.module.ts" TargetMode="External"/><Relationship Id="rId89" Type="http://schemas.openxmlformats.org/officeDocument/2006/relationships/hyperlink" Target="../../../../../../Work/ecoinsight/work/base_code/member.SaveUserProfile.controller.ts" TargetMode="External"/><Relationship Id="rId112" Type="http://schemas.openxmlformats.org/officeDocument/2006/relationships/ctrlProp" Target="../ctrlProps/ctrlProp2.xml"/><Relationship Id="rId154" Type="http://schemas.openxmlformats.org/officeDocument/2006/relationships/ctrlProp" Target="../ctrlProps/ctrlProp44.xml"/><Relationship Id="rId361" Type="http://schemas.openxmlformats.org/officeDocument/2006/relationships/ctrlProp" Target="../ctrlProps/ctrlProp251.xml"/><Relationship Id="rId557" Type="http://schemas.openxmlformats.org/officeDocument/2006/relationships/ctrlProp" Target="../ctrlProps/ctrlProp447.xml"/><Relationship Id="rId599" Type="http://schemas.openxmlformats.org/officeDocument/2006/relationships/ctrlProp" Target="../ctrlProps/ctrlProp489.xml"/><Relationship Id="rId196" Type="http://schemas.openxmlformats.org/officeDocument/2006/relationships/ctrlProp" Target="../ctrlProps/ctrlProp86.xml"/><Relationship Id="rId417" Type="http://schemas.openxmlformats.org/officeDocument/2006/relationships/ctrlProp" Target="../ctrlProps/ctrlProp307.xml"/><Relationship Id="rId459" Type="http://schemas.openxmlformats.org/officeDocument/2006/relationships/ctrlProp" Target="../ctrlProps/ctrlProp349.xml"/><Relationship Id="rId624" Type="http://schemas.openxmlformats.org/officeDocument/2006/relationships/ctrlProp" Target="../ctrlProps/ctrlProp514.xml"/><Relationship Id="rId16" Type="http://schemas.openxmlformats.org/officeDocument/2006/relationships/hyperlink" Target="../../../../../../Work/ecoinsight/work/base_code/question.DeleteQuestion.controller.ts" TargetMode="External"/><Relationship Id="rId221" Type="http://schemas.openxmlformats.org/officeDocument/2006/relationships/ctrlProp" Target="../ctrlProps/ctrlProp111.xml"/><Relationship Id="rId263" Type="http://schemas.openxmlformats.org/officeDocument/2006/relationships/ctrlProp" Target="../ctrlProps/ctrlProp153.xml"/><Relationship Id="rId319" Type="http://schemas.openxmlformats.org/officeDocument/2006/relationships/ctrlProp" Target="../ctrlProps/ctrlProp209.xml"/><Relationship Id="rId470" Type="http://schemas.openxmlformats.org/officeDocument/2006/relationships/ctrlProp" Target="../ctrlProps/ctrlProp360.xml"/><Relationship Id="rId526" Type="http://schemas.openxmlformats.org/officeDocument/2006/relationships/ctrlProp" Target="../ctrlProps/ctrlProp416.xml"/><Relationship Id="rId58" Type="http://schemas.openxmlformats.org/officeDocument/2006/relationships/hyperlink" Target="../../../../../../Work/ecoinsight/work/base_code/member.Logout.controller.ts" TargetMode="External"/><Relationship Id="rId123" Type="http://schemas.openxmlformats.org/officeDocument/2006/relationships/ctrlProp" Target="../ctrlProps/ctrlProp13.xml"/><Relationship Id="rId330" Type="http://schemas.openxmlformats.org/officeDocument/2006/relationships/ctrlProp" Target="../ctrlProps/ctrlProp220.xml"/><Relationship Id="rId568" Type="http://schemas.openxmlformats.org/officeDocument/2006/relationships/ctrlProp" Target="../ctrlProps/ctrlProp458.xml"/><Relationship Id="rId165" Type="http://schemas.openxmlformats.org/officeDocument/2006/relationships/ctrlProp" Target="../ctrlProps/ctrlProp55.xml"/><Relationship Id="rId372" Type="http://schemas.openxmlformats.org/officeDocument/2006/relationships/ctrlProp" Target="../ctrlProps/ctrlProp262.xml"/><Relationship Id="rId428" Type="http://schemas.openxmlformats.org/officeDocument/2006/relationships/ctrlProp" Target="../ctrlProps/ctrlProp318.xml"/><Relationship Id="rId232" Type="http://schemas.openxmlformats.org/officeDocument/2006/relationships/ctrlProp" Target="../ctrlProps/ctrlProp122.xml"/><Relationship Id="rId274" Type="http://schemas.openxmlformats.org/officeDocument/2006/relationships/ctrlProp" Target="../ctrlProps/ctrlProp164.xml"/><Relationship Id="rId481" Type="http://schemas.openxmlformats.org/officeDocument/2006/relationships/ctrlProp" Target="../ctrlProps/ctrlProp371.xml"/><Relationship Id="rId27" Type="http://schemas.openxmlformats.org/officeDocument/2006/relationships/hyperlink" Target="../../../../../../Work/ecoinsight/work/base_code/questionFolder.AddQuestionFolder.module.ts" TargetMode="External"/><Relationship Id="rId69" Type="http://schemas.openxmlformats.org/officeDocument/2006/relationships/hyperlink" Target="../../../../../../Work/ecoinsight/work/base_code/interviewQuestion.GetInterviewQuestionForUser.module.ts" TargetMode="External"/><Relationship Id="rId134" Type="http://schemas.openxmlformats.org/officeDocument/2006/relationships/ctrlProp" Target="../ctrlProps/ctrlProp24.xml"/><Relationship Id="rId537" Type="http://schemas.openxmlformats.org/officeDocument/2006/relationships/ctrlProp" Target="../ctrlProps/ctrlProp427.xml"/><Relationship Id="rId579" Type="http://schemas.openxmlformats.org/officeDocument/2006/relationships/ctrlProp" Target="../ctrlProps/ctrlProp469.xml"/><Relationship Id="rId80" Type="http://schemas.openxmlformats.org/officeDocument/2006/relationships/hyperlink" Target="../../../../../../Work/ecoinsight/work/base_code/apply.GetApplyDetail.module.ts" TargetMode="External"/><Relationship Id="rId176" Type="http://schemas.openxmlformats.org/officeDocument/2006/relationships/ctrlProp" Target="../ctrlProps/ctrlProp66.xml"/><Relationship Id="rId341" Type="http://schemas.openxmlformats.org/officeDocument/2006/relationships/ctrlProp" Target="../ctrlProps/ctrlProp231.xml"/><Relationship Id="rId383" Type="http://schemas.openxmlformats.org/officeDocument/2006/relationships/ctrlProp" Target="../ctrlProps/ctrlProp273.xml"/><Relationship Id="rId439" Type="http://schemas.openxmlformats.org/officeDocument/2006/relationships/ctrlProp" Target="../ctrlProps/ctrlProp329.xml"/><Relationship Id="rId590" Type="http://schemas.openxmlformats.org/officeDocument/2006/relationships/ctrlProp" Target="../ctrlProps/ctrlProp480.xml"/><Relationship Id="rId604" Type="http://schemas.openxmlformats.org/officeDocument/2006/relationships/ctrlProp" Target="../ctrlProps/ctrlProp494.xml"/><Relationship Id="rId201" Type="http://schemas.openxmlformats.org/officeDocument/2006/relationships/ctrlProp" Target="../ctrlProps/ctrlProp91.xml"/><Relationship Id="rId243" Type="http://schemas.openxmlformats.org/officeDocument/2006/relationships/ctrlProp" Target="../ctrlProps/ctrlProp133.xml"/><Relationship Id="rId285" Type="http://schemas.openxmlformats.org/officeDocument/2006/relationships/ctrlProp" Target="../ctrlProps/ctrlProp175.xml"/><Relationship Id="rId450" Type="http://schemas.openxmlformats.org/officeDocument/2006/relationships/ctrlProp" Target="../ctrlProps/ctrlProp340.xml"/><Relationship Id="rId506" Type="http://schemas.openxmlformats.org/officeDocument/2006/relationships/ctrlProp" Target="../ctrlProps/ctrlProp396.xml"/><Relationship Id="rId38" Type="http://schemas.openxmlformats.org/officeDocument/2006/relationships/hyperlink" Target="../../../../../../Work/ecoinsight/work/base_code/company.RequestPasswordOfCompany.controller.ts" TargetMode="External"/><Relationship Id="rId103" Type="http://schemas.openxmlformats.org/officeDocument/2006/relationships/hyperlink" Target="../../../../../../Work/ecoinsight/work/base_code/apply.GetApplysForCompany.controller.ts" TargetMode="External"/><Relationship Id="rId310" Type="http://schemas.openxmlformats.org/officeDocument/2006/relationships/ctrlProp" Target="../ctrlProps/ctrlProp200.xml"/><Relationship Id="rId492" Type="http://schemas.openxmlformats.org/officeDocument/2006/relationships/ctrlProp" Target="../ctrlProps/ctrlProp382.xml"/><Relationship Id="rId548" Type="http://schemas.openxmlformats.org/officeDocument/2006/relationships/ctrlProp" Target="../ctrlProps/ctrlProp438.xml"/><Relationship Id="rId91" Type="http://schemas.openxmlformats.org/officeDocument/2006/relationships/hyperlink" Target="../../../../../../Work/ecoinsight/work/base_code/upload.UploadCompanyLogo.module.ts" TargetMode="External"/><Relationship Id="rId145" Type="http://schemas.openxmlformats.org/officeDocument/2006/relationships/ctrlProp" Target="../ctrlProps/ctrlProp35.xml"/><Relationship Id="rId187" Type="http://schemas.openxmlformats.org/officeDocument/2006/relationships/ctrlProp" Target="../ctrlProps/ctrlProp77.xml"/><Relationship Id="rId352" Type="http://schemas.openxmlformats.org/officeDocument/2006/relationships/ctrlProp" Target="../ctrlProps/ctrlProp242.xml"/><Relationship Id="rId394" Type="http://schemas.openxmlformats.org/officeDocument/2006/relationships/ctrlProp" Target="../ctrlProps/ctrlProp284.xml"/><Relationship Id="rId408" Type="http://schemas.openxmlformats.org/officeDocument/2006/relationships/ctrlProp" Target="../ctrlProps/ctrlProp298.xml"/><Relationship Id="rId615" Type="http://schemas.openxmlformats.org/officeDocument/2006/relationships/ctrlProp" Target="../ctrlProps/ctrlProp505.xml"/><Relationship Id="rId212" Type="http://schemas.openxmlformats.org/officeDocument/2006/relationships/ctrlProp" Target="../ctrlProps/ctrlProp102.xml"/><Relationship Id="rId254" Type="http://schemas.openxmlformats.org/officeDocument/2006/relationships/ctrlProp" Target="../ctrlProps/ctrlProp144.xml"/><Relationship Id="rId49" Type="http://schemas.openxmlformats.org/officeDocument/2006/relationships/hyperlink" Target="../../../../../../Work/ecoinsight/work/base_code/member.GetUserDetail.module.ts" TargetMode="External"/><Relationship Id="rId114" Type="http://schemas.openxmlformats.org/officeDocument/2006/relationships/ctrlProp" Target="../ctrlProps/ctrlProp4.xml"/><Relationship Id="rId296" Type="http://schemas.openxmlformats.org/officeDocument/2006/relationships/ctrlProp" Target="../ctrlProps/ctrlProp186.xml"/><Relationship Id="rId461" Type="http://schemas.openxmlformats.org/officeDocument/2006/relationships/ctrlProp" Target="../ctrlProps/ctrlProp351.xml"/><Relationship Id="rId517" Type="http://schemas.openxmlformats.org/officeDocument/2006/relationships/ctrlProp" Target="../ctrlProps/ctrlProp407.xml"/><Relationship Id="rId559" Type="http://schemas.openxmlformats.org/officeDocument/2006/relationships/ctrlProp" Target="../ctrlProps/ctrlProp449.xml"/><Relationship Id="rId60" Type="http://schemas.openxmlformats.org/officeDocument/2006/relationships/hyperlink" Target="../../../../../../Work/ecoinsight/work/base_code/member.UpdatePasswordConfirm.module.ts" TargetMode="External"/><Relationship Id="rId156" Type="http://schemas.openxmlformats.org/officeDocument/2006/relationships/ctrlProp" Target="../ctrlProps/ctrlProp46.xml"/><Relationship Id="rId198" Type="http://schemas.openxmlformats.org/officeDocument/2006/relationships/ctrlProp" Target="../ctrlProps/ctrlProp88.xml"/><Relationship Id="rId321" Type="http://schemas.openxmlformats.org/officeDocument/2006/relationships/ctrlProp" Target="../ctrlProps/ctrlProp211.xml"/><Relationship Id="rId363" Type="http://schemas.openxmlformats.org/officeDocument/2006/relationships/ctrlProp" Target="../ctrlProps/ctrlProp253.xml"/><Relationship Id="rId419" Type="http://schemas.openxmlformats.org/officeDocument/2006/relationships/ctrlProp" Target="../ctrlProps/ctrlProp309.xml"/><Relationship Id="rId570" Type="http://schemas.openxmlformats.org/officeDocument/2006/relationships/ctrlProp" Target="../ctrlProps/ctrlProp460.xml"/><Relationship Id="rId626" Type="http://schemas.openxmlformats.org/officeDocument/2006/relationships/ctrlProp" Target="../ctrlProps/ctrlProp516.xml"/><Relationship Id="rId223" Type="http://schemas.openxmlformats.org/officeDocument/2006/relationships/ctrlProp" Target="../ctrlProps/ctrlProp113.xml"/><Relationship Id="rId430" Type="http://schemas.openxmlformats.org/officeDocument/2006/relationships/ctrlProp" Target="../ctrlProps/ctrlProp320.xml"/><Relationship Id="rId18" Type="http://schemas.openxmlformats.org/officeDocument/2006/relationships/hyperlink" Target="../../../../../../Work/ecoinsight/work/base_code/question.GetQuestion.controller.ts" TargetMode="External"/><Relationship Id="rId265" Type="http://schemas.openxmlformats.org/officeDocument/2006/relationships/ctrlProp" Target="../ctrlProps/ctrlProp155.xml"/><Relationship Id="rId472" Type="http://schemas.openxmlformats.org/officeDocument/2006/relationships/ctrlProp" Target="../ctrlProps/ctrlProp362.xml"/><Relationship Id="rId528" Type="http://schemas.openxmlformats.org/officeDocument/2006/relationships/ctrlProp" Target="../ctrlProps/ctrlProp418.xml"/><Relationship Id="rId125" Type="http://schemas.openxmlformats.org/officeDocument/2006/relationships/ctrlProp" Target="../ctrlProps/ctrlProp15.xml"/><Relationship Id="rId167" Type="http://schemas.openxmlformats.org/officeDocument/2006/relationships/ctrlProp" Target="../ctrlProps/ctrlProp57.xml"/><Relationship Id="rId332" Type="http://schemas.openxmlformats.org/officeDocument/2006/relationships/ctrlProp" Target="../ctrlProps/ctrlProp222.xml"/><Relationship Id="rId374" Type="http://schemas.openxmlformats.org/officeDocument/2006/relationships/ctrlProp" Target="../ctrlProps/ctrlProp264.xml"/><Relationship Id="rId581" Type="http://schemas.openxmlformats.org/officeDocument/2006/relationships/ctrlProp" Target="../ctrlProps/ctrlProp471.xml"/><Relationship Id="rId71" Type="http://schemas.openxmlformats.org/officeDocument/2006/relationships/hyperlink" Target="../../../../../../Work/ecoinsight/work/base_code/interviewQuestion.GetInterviewQuestions.module.ts" TargetMode="External"/><Relationship Id="rId234" Type="http://schemas.openxmlformats.org/officeDocument/2006/relationships/ctrlProp" Target="../ctrlProps/ctrlProp124.xml"/><Relationship Id="rId2" Type="http://schemas.openxmlformats.org/officeDocument/2006/relationships/hyperlink" Target="../../../../../../Work/ecoinsight/work/base_code/recruit.FinishRecruit.module.ts" TargetMode="External"/><Relationship Id="rId29" Type="http://schemas.openxmlformats.org/officeDocument/2006/relationships/hyperlink" Target="../../../../../../Work/ecoinsight/work/base_code/questionFolder.GetQuestionFolders.module.ts" TargetMode="External"/><Relationship Id="rId276" Type="http://schemas.openxmlformats.org/officeDocument/2006/relationships/ctrlProp" Target="../ctrlProps/ctrlProp166.xml"/><Relationship Id="rId441" Type="http://schemas.openxmlformats.org/officeDocument/2006/relationships/ctrlProp" Target="../ctrlProps/ctrlProp331.xml"/><Relationship Id="rId483" Type="http://schemas.openxmlformats.org/officeDocument/2006/relationships/ctrlProp" Target="../ctrlProps/ctrlProp373.xml"/><Relationship Id="rId539" Type="http://schemas.openxmlformats.org/officeDocument/2006/relationships/ctrlProp" Target="../ctrlProps/ctrlProp429.xml"/><Relationship Id="rId40" Type="http://schemas.openxmlformats.org/officeDocument/2006/relationships/hyperlink" Target="../../../../../../Work/ecoinsight/work/base_code/company.GetTokenForCompany.controller.ts" TargetMode="External"/><Relationship Id="rId136" Type="http://schemas.openxmlformats.org/officeDocument/2006/relationships/ctrlProp" Target="../ctrlProps/ctrlProp26.xml"/><Relationship Id="rId178" Type="http://schemas.openxmlformats.org/officeDocument/2006/relationships/ctrlProp" Target="../ctrlProps/ctrlProp68.xml"/><Relationship Id="rId301" Type="http://schemas.openxmlformats.org/officeDocument/2006/relationships/ctrlProp" Target="../ctrlProps/ctrlProp191.xml"/><Relationship Id="rId343" Type="http://schemas.openxmlformats.org/officeDocument/2006/relationships/ctrlProp" Target="../ctrlProps/ctrlProp233.xml"/><Relationship Id="rId550" Type="http://schemas.openxmlformats.org/officeDocument/2006/relationships/ctrlProp" Target="../ctrlProps/ctrlProp440.xml"/><Relationship Id="rId82" Type="http://schemas.openxmlformats.org/officeDocument/2006/relationships/hyperlink" Target="../../../../../../Work/ecoinsight/work/base_code/favorite.SaveFavorite.module.ts" TargetMode="External"/><Relationship Id="rId203" Type="http://schemas.openxmlformats.org/officeDocument/2006/relationships/ctrlProp" Target="../ctrlProps/ctrlProp93.xml"/><Relationship Id="rId385" Type="http://schemas.openxmlformats.org/officeDocument/2006/relationships/ctrlProp" Target="../ctrlProps/ctrlProp275.xml"/><Relationship Id="rId592" Type="http://schemas.openxmlformats.org/officeDocument/2006/relationships/ctrlProp" Target="../ctrlProps/ctrlProp482.xml"/><Relationship Id="rId606" Type="http://schemas.openxmlformats.org/officeDocument/2006/relationships/ctrlProp" Target="../ctrlProps/ctrlProp496.xml"/><Relationship Id="rId245" Type="http://schemas.openxmlformats.org/officeDocument/2006/relationships/ctrlProp" Target="../ctrlProps/ctrlProp135.xml"/><Relationship Id="rId287" Type="http://schemas.openxmlformats.org/officeDocument/2006/relationships/ctrlProp" Target="../ctrlProps/ctrlProp177.xml"/><Relationship Id="rId410" Type="http://schemas.openxmlformats.org/officeDocument/2006/relationships/ctrlProp" Target="../ctrlProps/ctrlProp300.xml"/><Relationship Id="rId452" Type="http://schemas.openxmlformats.org/officeDocument/2006/relationships/ctrlProp" Target="../ctrlProps/ctrlProp342.xml"/><Relationship Id="rId494" Type="http://schemas.openxmlformats.org/officeDocument/2006/relationships/ctrlProp" Target="../ctrlProps/ctrlProp384.xml"/><Relationship Id="rId508" Type="http://schemas.openxmlformats.org/officeDocument/2006/relationships/ctrlProp" Target="../ctrlProps/ctrlProp398.xml"/><Relationship Id="rId105" Type="http://schemas.openxmlformats.org/officeDocument/2006/relationships/hyperlink" Target="../../../../../../Work/ecoinsight/work/base_code/config.SaveConfig.module.ts" TargetMode="External"/><Relationship Id="rId147" Type="http://schemas.openxmlformats.org/officeDocument/2006/relationships/ctrlProp" Target="../ctrlProps/ctrlProp37.xml"/><Relationship Id="rId312" Type="http://schemas.openxmlformats.org/officeDocument/2006/relationships/ctrlProp" Target="../ctrlProps/ctrlProp202.xml"/><Relationship Id="rId354" Type="http://schemas.openxmlformats.org/officeDocument/2006/relationships/ctrlProp" Target="../ctrlProps/ctrlProp244.xml"/><Relationship Id="rId51" Type="http://schemas.openxmlformats.org/officeDocument/2006/relationships/hyperlink" Target="../../../../../../Work/ecoinsight/work/base_code/member.GetToken.controller.ts" TargetMode="External"/><Relationship Id="rId93" Type="http://schemas.openxmlformats.org/officeDocument/2006/relationships/hyperlink" Target="../../../../../../Work/ecoinsight/work/base_code/apply.SubmitDocumentForApply.module.ts" TargetMode="External"/><Relationship Id="rId189" Type="http://schemas.openxmlformats.org/officeDocument/2006/relationships/ctrlProp" Target="../ctrlProps/ctrlProp79.xml"/><Relationship Id="rId396" Type="http://schemas.openxmlformats.org/officeDocument/2006/relationships/ctrlProp" Target="../ctrlProps/ctrlProp286.xml"/><Relationship Id="rId561" Type="http://schemas.openxmlformats.org/officeDocument/2006/relationships/ctrlProp" Target="../ctrlProps/ctrlProp451.xml"/><Relationship Id="rId617" Type="http://schemas.openxmlformats.org/officeDocument/2006/relationships/ctrlProp" Target="../ctrlProps/ctrlProp507.xml"/><Relationship Id="rId214" Type="http://schemas.openxmlformats.org/officeDocument/2006/relationships/ctrlProp" Target="../ctrlProps/ctrlProp104.xml"/><Relationship Id="rId256" Type="http://schemas.openxmlformats.org/officeDocument/2006/relationships/ctrlProp" Target="../ctrlProps/ctrlProp146.xml"/><Relationship Id="rId298" Type="http://schemas.openxmlformats.org/officeDocument/2006/relationships/ctrlProp" Target="../ctrlProps/ctrlProp188.xml"/><Relationship Id="rId421" Type="http://schemas.openxmlformats.org/officeDocument/2006/relationships/ctrlProp" Target="../ctrlProps/ctrlProp311.xml"/><Relationship Id="rId463" Type="http://schemas.openxmlformats.org/officeDocument/2006/relationships/ctrlProp" Target="../ctrlProps/ctrlProp353.xml"/><Relationship Id="rId519" Type="http://schemas.openxmlformats.org/officeDocument/2006/relationships/ctrlProp" Target="../ctrlProps/ctrlProp409.xml"/><Relationship Id="rId116" Type="http://schemas.openxmlformats.org/officeDocument/2006/relationships/ctrlProp" Target="../ctrlProps/ctrlProp6.xml"/><Relationship Id="rId158" Type="http://schemas.openxmlformats.org/officeDocument/2006/relationships/ctrlProp" Target="../ctrlProps/ctrlProp48.xml"/><Relationship Id="rId323" Type="http://schemas.openxmlformats.org/officeDocument/2006/relationships/ctrlProp" Target="../ctrlProps/ctrlProp213.xml"/><Relationship Id="rId530" Type="http://schemas.openxmlformats.org/officeDocument/2006/relationships/ctrlProp" Target="../ctrlProps/ctrlProp420.xml"/><Relationship Id="rId20" Type="http://schemas.openxmlformats.org/officeDocument/2006/relationships/hyperlink" Target="../../../../../../Work/ecoinsight/work/base_code/question.MoveQuestion.module.ts" TargetMode="External"/><Relationship Id="rId62" Type="http://schemas.openxmlformats.org/officeDocument/2006/relationships/hyperlink" Target="../../../../../../Work/ecoinsight/work/base_code/member.UpdatePasswordForRequest.module.ts" TargetMode="External"/><Relationship Id="rId365" Type="http://schemas.openxmlformats.org/officeDocument/2006/relationships/ctrlProp" Target="../ctrlProps/ctrlProp255.xml"/><Relationship Id="rId572" Type="http://schemas.openxmlformats.org/officeDocument/2006/relationships/ctrlProp" Target="../ctrlProps/ctrlProp462.xml"/><Relationship Id="rId628" Type="http://schemas.openxmlformats.org/officeDocument/2006/relationships/ctrlProp" Target="../ctrlProps/ctrlProp518.xml"/><Relationship Id="rId225" Type="http://schemas.openxmlformats.org/officeDocument/2006/relationships/ctrlProp" Target="../ctrlProps/ctrlProp115.xml"/><Relationship Id="rId267" Type="http://schemas.openxmlformats.org/officeDocument/2006/relationships/ctrlProp" Target="../ctrlProps/ctrlProp157.xml"/><Relationship Id="rId432" Type="http://schemas.openxmlformats.org/officeDocument/2006/relationships/ctrlProp" Target="../ctrlProps/ctrlProp322.xml"/><Relationship Id="rId474" Type="http://schemas.openxmlformats.org/officeDocument/2006/relationships/ctrlProp" Target="../ctrlProps/ctrlProp364.xml"/><Relationship Id="rId127" Type="http://schemas.openxmlformats.org/officeDocument/2006/relationships/ctrlProp" Target="../ctrlProps/ctrlProp17.xml"/><Relationship Id="rId31" Type="http://schemas.openxmlformats.org/officeDocument/2006/relationships/hyperlink" Target="../../../../../../Work/ecoinsight/work/base_code/company.SaveCompanyLogo.module.ts" TargetMode="External"/><Relationship Id="rId73" Type="http://schemas.openxmlformats.org/officeDocument/2006/relationships/hyperlink" Target="../../../../../../Work/ecoinsight/work/base_code/interviewQuestion.GetInterviewQuestionsForUser.module.ts" TargetMode="External"/><Relationship Id="rId169" Type="http://schemas.openxmlformats.org/officeDocument/2006/relationships/ctrlProp" Target="../ctrlProps/ctrlProp59.xml"/><Relationship Id="rId334" Type="http://schemas.openxmlformats.org/officeDocument/2006/relationships/ctrlProp" Target="../ctrlProps/ctrlProp224.xml"/><Relationship Id="rId376" Type="http://schemas.openxmlformats.org/officeDocument/2006/relationships/ctrlProp" Target="../ctrlProps/ctrlProp266.xml"/><Relationship Id="rId541" Type="http://schemas.openxmlformats.org/officeDocument/2006/relationships/ctrlProp" Target="../ctrlProps/ctrlProp431.xml"/><Relationship Id="rId583" Type="http://schemas.openxmlformats.org/officeDocument/2006/relationships/ctrlProp" Target="../ctrlProps/ctrlProp473.xml"/><Relationship Id="rId4" Type="http://schemas.openxmlformats.org/officeDocument/2006/relationships/hyperlink" Target="../../../../../../Work/ecoinsight/work/base_code/recruit.GetRecruitsForCompany.module.ts" TargetMode="External"/><Relationship Id="rId180" Type="http://schemas.openxmlformats.org/officeDocument/2006/relationships/ctrlProp" Target="../ctrlProps/ctrlProp70.xml"/><Relationship Id="rId236" Type="http://schemas.openxmlformats.org/officeDocument/2006/relationships/ctrlProp" Target="../ctrlProps/ctrlProp126.xml"/><Relationship Id="rId278" Type="http://schemas.openxmlformats.org/officeDocument/2006/relationships/ctrlProp" Target="../ctrlProps/ctrlProp168.xml"/><Relationship Id="rId401" Type="http://schemas.openxmlformats.org/officeDocument/2006/relationships/ctrlProp" Target="../ctrlProps/ctrlProp291.xml"/><Relationship Id="rId443" Type="http://schemas.openxmlformats.org/officeDocument/2006/relationships/ctrlProp" Target="../ctrlProps/ctrlProp333.xml"/><Relationship Id="rId303" Type="http://schemas.openxmlformats.org/officeDocument/2006/relationships/ctrlProp" Target="../ctrlProps/ctrlProp193.xml"/><Relationship Id="rId485" Type="http://schemas.openxmlformats.org/officeDocument/2006/relationships/ctrlProp" Target="../ctrlProps/ctrlProp375.xml"/><Relationship Id="rId42" Type="http://schemas.openxmlformats.org/officeDocument/2006/relationships/hyperlink" Target="../../../../../../Work/ecoinsight/work/base_code/company.CheckCompanyEmail.controller.ts" TargetMode="External"/><Relationship Id="rId84" Type="http://schemas.openxmlformats.org/officeDocument/2006/relationships/hyperlink" Target="../../../../../../Work/ecoinsight/work/base_code/document.AddDocument.module.ts" TargetMode="External"/><Relationship Id="rId138" Type="http://schemas.openxmlformats.org/officeDocument/2006/relationships/ctrlProp" Target="../ctrlProps/ctrlProp28.xml"/><Relationship Id="rId345" Type="http://schemas.openxmlformats.org/officeDocument/2006/relationships/ctrlProp" Target="../ctrlProps/ctrlProp235.xml"/><Relationship Id="rId387" Type="http://schemas.openxmlformats.org/officeDocument/2006/relationships/ctrlProp" Target="../ctrlProps/ctrlProp277.xml"/><Relationship Id="rId510" Type="http://schemas.openxmlformats.org/officeDocument/2006/relationships/ctrlProp" Target="../ctrlProps/ctrlProp400.xml"/><Relationship Id="rId552" Type="http://schemas.openxmlformats.org/officeDocument/2006/relationships/ctrlProp" Target="../ctrlProps/ctrlProp442.xml"/><Relationship Id="rId594" Type="http://schemas.openxmlformats.org/officeDocument/2006/relationships/ctrlProp" Target="../ctrlProps/ctrlProp484.xml"/><Relationship Id="rId608" Type="http://schemas.openxmlformats.org/officeDocument/2006/relationships/ctrlProp" Target="../ctrlProps/ctrlProp498.xml"/><Relationship Id="rId191" Type="http://schemas.openxmlformats.org/officeDocument/2006/relationships/ctrlProp" Target="../ctrlProps/ctrlProp81.xml"/><Relationship Id="rId205" Type="http://schemas.openxmlformats.org/officeDocument/2006/relationships/ctrlProp" Target="../ctrlProps/ctrlProp95.xml"/><Relationship Id="rId247" Type="http://schemas.openxmlformats.org/officeDocument/2006/relationships/ctrlProp" Target="../ctrlProps/ctrlProp137.xml"/><Relationship Id="rId412" Type="http://schemas.openxmlformats.org/officeDocument/2006/relationships/ctrlProp" Target="../ctrlProps/ctrlProp302.xml"/><Relationship Id="rId107" Type="http://schemas.openxmlformats.org/officeDocument/2006/relationships/hyperlink" Target="../../../../../../Work/ecoinsight/work/base_code/favorite.DeleteFavorite.module.ts" TargetMode="External"/><Relationship Id="rId289" Type="http://schemas.openxmlformats.org/officeDocument/2006/relationships/ctrlProp" Target="../ctrlProps/ctrlProp179.xml"/><Relationship Id="rId454" Type="http://schemas.openxmlformats.org/officeDocument/2006/relationships/ctrlProp" Target="../ctrlProps/ctrlProp344.xml"/><Relationship Id="rId496" Type="http://schemas.openxmlformats.org/officeDocument/2006/relationships/ctrlProp" Target="../ctrlProps/ctrlProp386.xml"/><Relationship Id="rId11" Type="http://schemas.openxmlformats.org/officeDocument/2006/relationships/hyperlink" Target="../../../../../../Work/ecoinsight/work/base_code/questionFolder.SaveQuestionFolder.module.ts" TargetMode="External"/><Relationship Id="rId53" Type="http://schemas.openxmlformats.org/officeDocument/2006/relationships/hyperlink" Target="../../../../../../Work/ecoinsight/work/base_code/member.SaveUserProfile.module.ts" TargetMode="External"/><Relationship Id="rId149" Type="http://schemas.openxmlformats.org/officeDocument/2006/relationships/ctrlProp" Target="../ctrlProps/ctrlProp39.xml"/><Relationship Id="rId314" Type="http://schemas.openxmlformats.org/officeDocument/2006/relationships/ctrlProp" Target="../ctrlProps/ctrlProp204.xml"/><Relationship Id="rId356" Type="http://schemas.openxmlformats.org/officeDocument/2006/relationships/ctrlProp" Target="../ctrlProps/ctrlProp246.xml"/><Relationship Id="rId398" Type="http://schemas.openxmlformats.org/officeDocument/2006/relationships/ctrlProp" Target="../ctrlProps/ctrlProp288.xml"/><Relationship Id="rId521" Type="http://schemas.openxmlformats.org/officeDocument/2006/relationships/ctrlProp" Target="../ctrlProps/ctrlProp411.xml"/><Relationship Id="rId563" Type="http://schemas.openxmlformats.org/officeDocument/2006/relationships/ctrlProp" Target="../ctrlProps/ctrlProp453.xml"/><Relationship Id="rId619" Type="http://schemas.openxmlformats.org/officeDocument/2006/relationships/ctrlProp" Target="../ctrlProps/ctrlProp509.xml"/><Relationship Id="rId95" Type="http://schemas.openxmlformats.org/officeDocument/2006/relationships/hyperlink" Target="../../../../../../Work/ecoinsight/work/base_code/recruit.GetInterviewQuestionsForUser.module.ts" TargetMode="External"/><Relationship Id="rId160" Type="http://schemas.openxmlformats.org/officeDocument/2006/relationships/ctrlProp" Target="../ctrlProps/ctrlProp50.xml"/><Relationship Id="rId216" Type="http://schemas.openxmlformats.org/officeDocument/2006/relationships/ctrlProp" Target="../ctrlProps/ctrlProp106.xml"/><Relationship Id="rId423" Type="http://schemas.openxmlformats.org/officeDocument/2006/relationships/ctrlProp" Target="../ctrlProps/ctrlProp313.xml"/><Relationship Id="rId258" Type="http://schemas.openxmlformats.org/officeDocument/2006/relationships/ctrlProp" Target="../ctrlProps/ctrlProp148.xml"/><Relationship Id="rId465" Type="http://schemas.openxmlformats.org/officeDocument/2006/relationships/ctrlProp" Target="../ctrlProps/ctrlProp355.xml"/><Relationship Id="rId22" Type="http://schemas.openxmlformats.org/officeDocument/2006/relationships/hyperlink" Target="../../../../../../Work/ecoinsight/work/base_code/question.SaveQuestion.module.ts" TargetMode="External"/><Relationship Id="rId64" Type="http://schemas.openxmlformats.org/officeDocument/2006/relationships/hyperlink" Target="../../../../../../Work/ecoinsight/work/base_code/member.Logout.module.ts" TargetMode="External"/><Relationship Id="rId118" Type="http://schemas.openxmlformats.org/officeDocument/2006/relationships/ctrlProp" Target="../ctrlProps/ctrlProp8.xml"/><Relationship Id="rId325" Type="http://schemas.openxmlformats.org/officeDocument/2006/relationships/ctrlProp" Target="../ctrlProps/ctrlProp215.xml"/><Relationship Id="rId367" Type="http://schemas.openxmlformats.org/officeDocument/2006/relationships/ctrlProp" Target="../ctrlProps/ctrlProp257.xml"/><Relationship Id="rId532" Type="http://schemas.openxmlformats.org/officeDocument/2006/relationships/ctrlProp" Target="../ctrlProps/ctrlProp422.xml"/><Relationship Id="rId574" Type="http://schemas.openxmlformats.org/officeDocument/2006/relationships/ctrlProp" Target="../ctrlProps/ctrlProp464.xml"/><Relationship Id="rId171" Type="http://schemas.openxmlformats.org/officeDocument/2006/relationships/ctrlProp" Target="../ctrlProps/ctrlProp61.xml"/><Relationship Id="rId227" Type="http://schemas.openxmlformats.org/officeDocument/2006/relationships/ctrlProp" Target="../ctrlProps/ctrlProp117.xml"/><Relationship Id="rId269" Type="http://schemas.openxmlformats.org/officeDocument/2006/relationships/ctrlProp" Target="../ctrlProps/ctrlProp159.xml"/><Relationship Id="rId434" Type="http://schemas.openxmlformats.org/officeDocument/2006/relationships/ctrlProp" Target="../ctrlProps/ctrlProp324.xml"/><Relationship Id="rId476" Type="http://schemas.openxmlformats.org/officeDocument/2006/relationships/ctrlProp" Target="../ctrlProps/ctrlProp366.xml"/><Relationship Id="rId33" Type="http://schemas.openxmlformats.org/officeDocument/2006/relationships/hyperlink" Target="../../../../../../Work/ecoinsight/work/base_code/company.UpdatePasswordConfirmForCompany.module.ts" TargetMode="External"/><Relationship Id="rId129" Type="http://schemas.openxmlformats.org/officeDocument/2006/relationships/ctrlProp" Target="../ctrlProps/ctrlProp19.xml"/><Relationship Id="rId280" Type="http://schemas.openxmlformats.org/officeDocument/2006/relationships/ctrlProp" Target="../ctrlProps/ctrlProp170.xml"/><Relationship Id="rId336" Type="http://schemas.openxmlformats.org/officeDocument/2006/relationships/ctrlProp" Target="../ctrlProps/ctrlProp226.xml"/><Relationship Id="rId501" Type="http://schemas.openxmlformats.org/officeDocument/2006/relationships/ctrlProp" Target="../ctrlProps/ctrlProp391.xml"/><Relationship Id="rId543" Type="http://schemas.openxmlformats.org/officeDocument/2006/relationships/ctrlProp" Target="../ctrlProps/ctrlProp433.xml"/><Relationship Id="rId75" Type="http://schemas.openxmlformats.org/officeDocument/2006/relationships/hyperlink" Target="../../../../../../Work/ecoinsight/work/base_code/recruit.GetAutoCompleteForSearch.module.ts" TargetMode="External"/><Relationship Id="rId140" Type="http://schemas.openxmlformats.org/officeDocument/2006/relationships/ctrlProp" Target="../ctrlProps/ctrlProp30.xml"/><Relationship Id="rId182" Type="http://schemas.openxmlformats.org/officeDocument/2006/relationships/ctrlProp" Target="../ctrlProps/ctrlProp72.xml"/><Relationship Id="rId378" Type="http://schemas.openxmlformats.org/officeDocument/2006/relationships/ctrlProp" Target="../ctrlProps/ctrlProp268.xml"/><Relationship Id="rId403" Type="http://schemas.openxmlformats.org/officeDocument/2006/relationships/ctrlProp" Target="../ctrlProps/ctrlProp293.xml"/><Relationship Id="rId585" Type="http://schemas.openxmlformats.org/officeDocument/2006/relationships/ctrlProp" Target="../ctrlProps/ctrlProp475.xml"/><Relationship Id="rId6" Type="http://schemas.openxmlformats.org/officeDocument/2006/relationships/hyperlink" Target="../../../../../../Work/ecoinsight/work/base_code/recruit.GetRecruit.module.ts" TargetMode="External"/><Relationship Id="rId238" Type="http://schemas.openxmlformats.org/officeDocument/2006/relationships/ctrlProp" Target="../ctrlProps/ctrlProp128.xml"/><Relationship Id="rId445" Type="http://schemas.openxmlformats.org/officeDocument/2006/relationships/ctrlProp" Target="../ctrlProps/ctrlProp335.xml"/><Relationship Id="rId487" Type="http://schemas.openxmlformats.org/officeDocument/2006/relationships/ctrlProp" Target="../ctrlProps/ctrlProp377.xml"/><Relationship Id="rId610" Type="http://schemas.openxmlformats.org/officeDocument/2006/relationships/ctrlProp" Target="../ctrlProps/ctrlProp500.xml"/><Relationship Id="rId291" Type="http://schemas.openxmlformats.org/officeDocument/2006/relationships/ctrlProp" Target="../ctrlProps/ctrlProp181.xml"/><Relationship Id="rId305" Type="http://schemas.openxmlformats.org/officeDocument/2006/relationships/ctrlProp" Target="../ctrlProps/ctrlProp195.xml"/><Relationship Id="rId347" Type="http://schemas.openxmlformats.org/officeDocument/2006/relationships/ctrlProp" Target="../ctrlProps/ctrlProp237.xml"/><Relationship Id="rId512" Type="http://schemas.openxmlformats.org/officeDocument/2006/relationships/ctrlProp" Target="../ctrlProps/ctrlProp402.xml"/><Relationship Id="rId44" Type="http://schemas.openxmlformats.org/officeDocument/2006/relationships/hyperlink" Target="../../../../../../Work/ecoinsight/work/base_code/company.CreateCompany.controller.ts" TargetMode="External"/><Relationship Id="rId86" Type="http://schemas.openxmlformats.org/officeDocument/2006/relationships/hyperlink" Target="../../../../../../Work/ecoinsight/work/base_code/document.GetDocumentsForApply.module.ts" TargetMode="External"/><Relationship Id="rId151" Type="http://schemas.openxmlformats.org/officeDocument/2006/relationships/ctrlProp" Target="../ctrlProps/ctrlProp41.xml"/><Relationship Id="rId389" Type="http://schemas.openxmlformats.org/officeDocument/2006/relationships/ctrlProp" Target="../ctrlProps/ctrlProp279.xml"/><Relationship Id="rId554" Type="http://schemas.openxmlformats.org/officeDocument/2006/relationships/ctrlProp" Target="../ctrlProps/ctrlProp444.xml"/><Relationship Id="rId596" Type="http://schemas.openxmlformats.org/officeDocument/2006/relationships/ctrlProp" Target="../ctrlProps/ctrlProp486.xml"/><Relationship Id="rId193" Type="http://schemas.openxmlformats.org/officeDocument/2006/relationships/ctrlProp" Target="../ctrlProps/ctrlProp83.xml"/><Relationship Id="rId207" Type="http://schemas.openxmlformats.org/officeDocument/2006/relationships/ctrlProp" Target="../ctrlProps/ctrlProp97.xml"/><Relationship Id="rId249" Type="http://schemas.openxmlformats.org/officeDocument/2006/relationships/ctrlProp" Target="../ctrlProps/ctrlProp139.xml"/><Relationship Id="rId414" Type="http://schemas.openxmlformats.org/officeDocument/2006/relationships/ctrlProp" Target="../ctrlProps/ctrlProp304.xml"/><Relationship Id="rId456" Type="http://schemas.openxmlformats.org/officeDocument/2006/relationships/ctrlProp" Target="../ctrlProps/ctrlProp346.xml"/><Relationship Id="rId498" Type="http://schemas.openxmlformats.org/officeDocument/2006/relationships/ctrlProp" Target="../ctrlProps/ctrlProp388.xml"/><Relationship Id="rId621" Type="http://schemas.openxmlformats.org/officeDocument/2006/relationships/ctrlProp" Target="../ctrlProps/ctrlProp511.xml"/><Relationship Id="rId13" Type="http://schemas.openxmlformats.org/officeDocument/2006/relationships/hyperlink" Target="../../../../../../Work/ecoinsight/work/base_code/questionFolder.DeleteQuestionFolder.module.ts" TargetMode="External"/><Relationship Id="rId109" Type="http://schemas.openxmlformats.org/officeDocument/2006/relationships/drawing" Target="../drawings/drawing1.xml"/><Relationship Id="rId260" Type="http://schemas.openxmlformats.org/officeDocument/2006/relationships/ctrlProp" Target="../ctrlProps/ctrlProp150.xml"/><Relationship Id="rId316" Type="http://schemas.openxmlformats.org/officeDocument/2006/relationships/ctrlProp" Target="../ctrlProps/ctrlProp206.xml"/><Relationship Id="rId523" Type="http://schemas.openxmlformats.org/officeDocument/2006/relationships/ctrlProp" Target="../ctrlProps/ctrlProp413.xml"/><Relationship Id="rId55" Type="http://schemas.openxmlformats.org/officeDocument/2006/relationships/hyperlink" Target="../../../../../../Work/ecoinsight/work/base_code/member.UpdatePasswordConfirm.controller.ts" TargetMode="External"/><Relationship Id="rId97" Type="http://schemas.openxmlformats.org/officeDocument/2006/relationships/hyperlink" Target="../../../../../../Work/ecoinsight/work/base_code/recruit.GetInterviewQuestionForUser.module.ts" TargetMode="External"/><Relationship Id="rId120" Type="http://schemas.openxmlformats.org/officeDocument/2006/relationships/ctrlProp" Target="../ctrlProps/ctrlProp10.xml"/><Relationship Id="rId358" Type="http://schemas.openxmlformats.org/officeDocument/2006/relationships/ctrlProp" Target="../ctrlProps/ctrlProp248.xml"/><Relationship Id="rId565" Type="http://schemas.openxmlformats.org/officeDocument/2006/relationships/ctrlProp" Target="../ctrlProps/ctrlProp455.xml"/><Relationship Id="rId162" Type="http://schemas.openxmlformats.org/officeDocument/2006/relationships/ctrlProp" Target="../ctrlProps/ctrlProp52.xml"/><Relationship Id="rId218" Type="http://schemas.openxmlformats.org/officeDocument/2006/relationships/ctrlProp" Target="../ctrlProps/ctrlProp108.xml"/><Relationship Id="rId425" Type="http://schemas.openxmlformats.org/officeDocument/2006/relationships/ctrlProp" Target="../ctrlProps/ctrlProp315.xml"/><Relationship Id="rId467" Type="http://schemas.openxmlformats.org/officeDocument/2006/relationships/ctrlProp" Target="../ctrlProps/ctrlProp357.xml"/><Relationship Id="rId271" Type="http://schemas.openxmlformats.org/officeDocument/2006/relationships/ctrlProp" Target="../ctrlProps/ctrlProp161.xml"/><Relationship Id="rId24" Type="http://schemas.openxmlformats.org/officeDocument/2006/relationships/hyperlink" Target="../../../../../../Work/ecoinsight/work/base_code/question.AddQuestion.module.ts" TargetMode="External"/><Relationship Id="rId66" Type="http://schemas.openxmlformats.org/officeDocument/2006/relationships/hyperlink" Target="../../../../../../Work/ecoinsight/work/base_code/member.CreateUser.module.ts" TargetMode="External"/><Relationship Id="rId131" Type="http://schemas.openxmlformats.org/officeDocument/2006/relationships/ctrlProp" Target="../ctrlProps/ctrlProp21.xml"/><Relationship Id="rId327" Type="http://schemas.openxmlformats.org/officeDocument/2006/relationships/ctrlProp" Target="../ctrlProps/ctrlProp217.xml"/><Relationship Id="rId369" Type="http://schemas.openxmlformats.org/officeDocument/2006/relationships/ctrlProp" Target="../ctrlProps/ctrlProp259.xml"/><Relationship Id="rId534" Type="http://schemas.openxmlformats.org/officeDocument/2006/relationships/ctrlProp" Target="../ctrlProps/ctrlProp424.xml"/><Relationship Id="rId576" Type="http://schemas.openxmlformats.org/officeDocument/2006/relationships/ctrlProp" Target="../ctrlProps/ctrlProp466.xml"/><Relationship Id="rId173" Type="http://schemas.openxmlformats.org/officeDocument/2006/relationships/ctrlProp" Target="../ctrlProps/ctrlProp63.xml"/><Relationship Id="rId229" Type="http://schemas.openxmlformats.org/officeDocument/2006/relationships/ctrlProp" Target="../ctrlProps/ctrlProp119.xml"/><Relationship Id="rId380" Type="http://schemas.openxmlformats.org/officeDocument/2006/relationships/ctrlProp" Target="../ctrlProps/ctrlProp270.xml"/><Relationship Id="rId436" Type="http://schemas.openxmlformats.org/officeDocument/2006/relationships/ctrlProp" Target="../ctrlProps/ctrlProp326.xml"/><Relationship Id="rId601" Type="http://schemas.openxmlformats.org/officeDocument/2006/relationships/ctrlProp" Target="../ctrlProps/ctrlProp491.xml"/><Relationship Id="rId240" Type="http://schemas.openxmlformats.org/officeDocument/2006/relationships/ctrlProp" Target="../ctrlProps/ctrlProp130.xml"/><Relationship Id="rId478" Type="http://schemas.openxmlformats.org/officeDocument/2006/relationships/ctrlProp" Target="../ctrlProps/ctrlProp368.xml"/><Relationship Id="rId35" Type="http://schemas.openxmlformats.org/officeDocument/2006/relationships/hyperlink" Target="../../../../../../Work/ecoinsight/work/base_code/company.SaveCompany.module.ts" TargetMode="External"/><Relationship Id="rId77" Type="http://schemas.openxmlformats.org/officeDocument/2006/relationships/hyperlink" Target="../../../../../../Work/ecoinsight/work/base_code/apply.GetApply.module.ts" TargetMode="External"/><Relationship Id="rId100" Type="http://schemas.openxmlformats.org/officeDocument/2006/relationships/hyperlink" Target="../../../../../../Work/ecoinsight/work/base_code/upload.UploadInterview.module.ts" TargetMode="External"/><Relationship Id="rId282" Type="http://schemas.openxmlformats.org/officeDocument/2006/relationships/ctrlProp" Target="../ctrlProps/ctrlProp172.xml"/><Relationship Id="rId338" Type="http://schemas.openxmlformats.org/officeDocument/2006/relationships/ctrlProp" Target="../ctrlProps/ctrlProp228.xml"/><Relationship Id="rId503" Type="http://schemas.openxmlformats.org/officeDocument/2006/relationships/ctrlProp" Target="../ctrlProps/ctrlProp393.xml"/><Relationship Id="rId545" Type="http://schemas.openxmlformats.org/officeDocument/2006/relationships/ctrlProp" Target="../ctrlProps/ctrlProp435.xml"/><Relationship Id="rId587" Type="http://schemas.openxmlformats.org/officeDocument/2006/relationships/ctrlProp" Target="../ctrlProps/ctrlProp477.xml"/><Relationship Id="rId8" Type="http://schemas.openxmlformats.org/officeDocument/2006/relationships/hyperlink" Target="../../../../../../Work/ecoinsight/work/base_code/recruit.GetRecruitsForHome.controller.ts" TargetMode="External"/><Relationship Id="rId142" Type="http://schemas.openxmlformats.org/officeDocument/2006/relationships/ctrlProp" Target="../ctrlProps/ctrlProp32.xml"/><Relationship Id="rId184" Type="http://schemas.openxmlformats.org/officeDocument/2006/relationships/ctrlProp" Target="../ctrlProps/ctrlProp74.xml"/><Relationship Id="rId391" Type="http://schemas.openxmlformats.org/officeDocument/2006/relationships/ctrlProp" Target="../ctrlProps/ctrlProp281.xml"/><Relationship Id="rId405" Type="http://schemas.openxmlformats.org/officeDocument/2006/relationships/ctrlProp" Target="../ctrlProps/ctrlProp295.xml"/><Relationship Id="rId447" Type="http://schemas.openxmlformats.org/officeDocument/2006/relationships/ctrlProp" Target="../ctrlProps/ctrlProp337.xml"/><Relationship Id="rId612" Type="http://schemas.openxmlformats.org/officeDocument/2006/relationships/ctrlProp" Target="../ctrlProps/ctrlProp502.xml"/><Relationship Id="rId251" Type="http://schemas.openxmlformats.org/officeDocument/2006/relationships/ctrlProp" Target="../ctrlProps/ctrlProp141.xml"/><Relationship Id="rId489" Type="http://schemas.openxmlformats.org/officeDocument/2006/relationships/ctrlProp" Target="../ctrlProps/ctrlProp379.xml"/><Relationship Id="rId46" Type="http://schemas.openxmlformats.org/officeDocument/2006/relationships/hyperlink" Target="../../../../../../Work/ecoinsight/work/base_code/company.GetCompanyDetail.controller.ts" TargetMode="External"/><Relationship Id="rId293" Type="http://schemas.openxmlformats.org/officeDocument/2006/relationships/ctrlProp" Target="../ctrlProps/ctrlProp183.xml"/><Relationship Id="rId307" Type="http://schemas.openxmlformats.org/officeDocument/2006/relationships/ctrlProp" Target="../ctrlProps/ctrlProp197.xml"/><Relationship Id="rId349" Type="http://schemas.openxmlformats.org/officeDocument/2006/relationships/ctrlProp" Target="../ctrlProps/ctrlProp239.xml"/><Relationship Id="rId514" Type="http://schemas.openxmlformats.org/officeDocument/2006/relationships/ctrlProp" Target="../ctrlProps/ctrlProp404.xml"/><Relationship Id="rId556" Type="http://schemas.openxmlformats.org/officeDocument/2006/relationships/ctrlProp" Target="../ctrlProps/ctrlProp446.xml"/><Relationship Id="rId88" Type="http://schemas.openxmlformats.org/officeDocument/2006/relationships/hyperlink" Target="../../../../../../Work/ecoinsight/work/base_code/upload.UploadUserProfile.module.ts" TargetMode="External"/><Relationship Id="rId111" Type="http://schemas.openxmlformats.org/officeDocument/2006/relationships/ctrlProp" Target="../ctrlProps/ctrlProp1.xml"/><Relationship Id="rId153" Type="http://schemas.openxmlformats.org/officeDocument/2006/relationships/ctrlProp" Target="../ctrlProps/ctrlProp43.xml"/><Relationship Id="rId195" Type="http://schemas.openxmlformats.org/officeDocument/2006/relationships/ctrlProp" Target="../ctrlProps/ctrlProp85.xml"/><Relationship Id="rId209" Type="http://schemas.openxmlformats.org/officeDocument/2006/relationships/ctrlProp" Target="../ctrlProps/ctrlProp99.xml"/><Relationship Id="rId360" Type="http://schemas.openxmlformats.org/officeDocument/2006/relationships/ctrlProp" Target="../ctrlProps/ctrlProp250.xml"/><Relationship Id="rId416" Type="http://schemas.openxmlformats.org/officeDocument/2006/relationships/ctrlProp" Target="../ctrlProps/ctrlProp306.xml"/><Relationship Id="rId598" Type="http://schemas.openxmlformats.org/officeDocument/2006/relationships/ctrlProp" Target="../ctrlProps/ctrlProp488.xml"/><Relationship Id="rId220" Type="http://schemas.openxmlformats.org/officeDocument/2006/relationships/ctrlProp" Target="../ctrlProps/ctrlProp110.xml"/><Relationship Id="rId458" Type="http://schemas.openxmlformats.org/officeDocument/2006/relationships/ctrlProp" Target="../ctrlProps/ctrlProp348.xml"/><Relationship Id="rId623" Type="http://schemas.openxmlformats.org/officeDocument/2006/relationships/ctrlProp" Target="../ctrlProps/ctrlProp513.xml"/><Relationship Id="rId15" Type="http://schemas.openxmlformats.org/officeDocument/2006/relationships/hyperlink" Target="../../../../../../Work/ecoinsight/work/base_code/question.MoveQuestion.controller.ts" TargetMode="External"/><Relationship Id="rId57" Type="http://schemas.openxmlformats.org/officeDocument/2006/relationships/hyperlink" Target="../../../../../../Work/ecoinsight/work/base_code/member.RequestPassword.controller.ts" TargetMode="External"/><Relationship Id="rId262" Type="http://schemas.openxmlformats.org/officeDocument/2006/relationships/ctrlProp" Target="../ctrlProps/ctrlProp152.xml"/><Relationship Id="rId318" Type="http://schemas.openxmlformats.org/officeDocument/2006/relationships/ctrlProp" Target="../ctrlProps/ctrlProp208.xml"/><Relationship Id="rId525" Type="http://schemas.openxmlformats.org/officeDocument/2006/relationships/ctrlProp" Target="../ctrlProps/ctrlProp415.xml"/><Relationship Id="rId567" Type="http://schemas.openxmlformats.org/officeDocument/2006/relationships/ctrlProp" Target="../ctrlProps/ctrlProp457.xml"/><Relationship Id="rId99" Type="http://schemas.openxmlformats.org/officeDocument/2006/relationships/hyperlink" Target="../../../../../../Work/ecoinsight/work/base_code/recruit.GetInterviewQuestion.module.ts" TargetMode="External"/><Relationship Id="rId122" Type="http://schemas.openxmlformats.org/officeDocument/2006/relationships/ctrlProp" Target="../ctrlProps/ctrlProp12.xml"/><Relationship Id="rId164" Type="http://schemas.openxmlformats.org/officeDocument/2006/relationships/ctrlProp" Target="../ctrlProps/ctrlProp54.xml"/><Relationship Id="rId371" Type="http://schemas.openxmlformats.org/officeDocument/2006/relationships/ctrlProp" Target="../ctrlProps/ctrlProp261.xml"/><Relationship Id="rId427" Type="http://schemas.openxmlformats.org/officeDocument/2006/relationships/ctrlProp" Target="../ctrlProps/ctrlProp317.xml"/><Relationship Id="rId469" Type="http://schemas.openxmlformats.org/officeDocument/2006/relationships/ctrlProp" Target="../ctrlProps/ctrlProp359.xml"/><Relationship Id="rId26" Type="http://schemas.openxmlformats.org/officeDocument/2006/relationships/hyperlink" Target="../../../../../../Work/ecoinsight/work/base_code/questionFolder.AddQuestionFolder.controller.ts" TargetMode="External"/><Relationship Id="rId231" Type="http://schemas.openxmlformats.org/officeDocument/2006/relationships/ctrlProp" Target="../ctrlProps/ctrlProp121.xml"/><Relationship Id="rId273" Type="http://schemas.openxmlformats.org/officeDocument/2006/relationships/ctrlProp" Target="../ctrlProps/ctrlProp163.xml"/><Relationship Id="rId329" Type="http://schemas.openxmlformats.org/officeDocument/2006/relationships/ctrlProp" Target="../ctrlProps/ctrlProp219.xml"/><Relationship Id="rId480" Type="http://schemas.openxmlformats.org/officeDocument/2006/relationships/ctrlProp" Target="../ctrlProps/ctrlProp370.xml"/><Relationship Id="rId536" Type="http://schemas.openxmlformats.org/officeDocument/2006/relationships/ctrlProp" Target="../ctrlProps/ctrlProp426.xml"/><Relationship Id="rId68" Type="http://schemas.openxmlformats.org/officeDocument/2006/relationships/hyperlink" Target="../../../../../../Work/ecoinsight/work/base_code/recruit.CopyRecruit.module.ts" TargetMode="External"/><Relationship Id="rId133" Type="http://schemas.openxmlformats.org/officeDocument/2006/relationships/ctrlProp" Target="../ctrlProps/ctrlProp23.xml"/><Relationship Id="rId175" Type="http://schemas.openxmlformats.org/officeDocument/2006/relationships/ctrlProp" Target="../ctrlProps/ctrlProp65.xml"/><Relationship Id="rId340" Type="http://schemas.openxmlformats.org/officeDocument/2006/relationships/ctrlProp" Target="../ctrlProps/ctrlProp230.xml"/><Relationship Id="rId578" Type="http://schemas.openxmlformats.org/officeDocument/2006/relationships/ctrlProp" Target="../ctrlProps/ctrlProp468.xml"/><Relationship Id="rId200" Type="http://schemas.openxmlformats.org/officeDocument/2006/relationships/ctrlProp" Target="../ctrlProps/ctrlProp90.xml"/><Relationship Id="rId382" Type="http://schemas.openxmlformats.org/officeDocument/2006/relationships/ctrlProp" Target="../ctrlProps/ctrlProp272.xml"/><Relationship Id="rId438" Type="http://schemas.openxmlformats.org/officeDocument/2006/relationships/ctrlProp" Target="../ctrlProps/ctrlProp328.xml"/><Relationship Id="rId603" Type="http://schemas.openxmlformats.org/officeDocument/2006/relationships/ctrlProp" Target="../ctrlProps/ctrlProp493.xml"/><Relationship Id="rId242" Type="http://schemas.openxmlformats.org/officeDocument/2006/relationships/ctrlProp" Target="../ctrlProps/ctrlProp132.xml"/><Relationship Id="rId284" Type="http://schemas.openxmlformats.org/officeDocument/2006/relationships/ctrlProp" Target="../ctrlProps/ctrlProp174.xml"/><Relationship Id="rId491" Type="http://schemas.openxmlformats.org/officeDocument/2006/relationships/ctrlProp" Target="../ctrlProps/ctrlProp381.xml"/><Relationship Id="rId505" Type="http://schemas.openxmlformats.org/officeDocument/2006/relationships/ctrlProp" Target="../ctrlProps/ctrlProp395.xml"/><Relationship Id="rId37" Type="http://schemas.openxmlformats.org/officeDocument/2006/relationships/hyperlink" Target="../../../../../../Work/ecoinsight/work/base_code/company.UpdatePasswordOfCompanyForRequest.module.ts" TargetMode="External"/><Relationship Id="rId79" Type="http://schemas.openxmlformats.org/officeDocument/2006/relationships/hyperlink" Target="../../../../../../Work/ecoinsight/work/base_code/apply.ReadApply.module.ts" TargetMode="External"/><Relationship Id="rId102" Type="http://schemas.openxmlformats.org/officeDocument/2006/relationships/hyperlink" Target="../../../../../../Work/ecoinsight/work/base_code/interview.FinishInterview.module.ts" TargetMode="External"/><Relationship Id="rId144" Type="http://schemas.openxmlformats.org/officeDocument/2006/relationships/ctrlProp" Target="../ctrlProps/ctrlProp34.xml"/><Relationship Id="rId547" Type="http://schemas.openxmlformats.org/officeDocument/2006/relationships/ctrlProp" Target="../ctrlProps/ctrlProp437.xml"/><Relationship Id="rId589" Type="http://schemas.openxmlformats.org/officeDocument/2006/relationships/ctrlProp" Target="../ctrlProps/ctrlProp479.xml"/><Relationship Id="rId90" Type="http://schemas.openxmlformats.org/officeDocument/2006/relationships/hyperlink" Target="../../../../../../Work/ecoinsight/work/base_code/company.SaveCompanyLogo.controller.ts" TargetMode="External"/><Relationship Id="rId186" Type="http://schemas.openxmlformats.org/officeDocument/2006/relationships/ctrlProp" Target="../ctrlProps/ctrlProp76.xml"/><Relationship Id="rId351" Type="http://schemas.openxmlformats.org/officeDocument/2006/relationships/ctrlProp" Target="../ctrlProps/ctrlProp241.xml"/><Relationship Id="rId393" Type="http://schemas.openxmlformats.org/officeDocument/2006/relationships/ctrlProp" Target="../ctrlProps/ctrlProp283.xml"/><Relationship Id="rId407" Type="http://schemas.openxmlformats.org/officeDocument/2006/relationships/ctrlProp" Target="../ctrlProps/ctrlProp297.xml"/><Relationship Id="rId449" Type="http://schemas.openxmlformats.org/officeDocument/2006/relationships/ctrlProp" Target="../ctrlProps/ctrlProp339.xml"/><Relationship Id="rId614" Type="http://schemas.openxmlformats.org/officeDocument/2006/relationships/ctrlProp" Target="../ctrlProps/ctrlProp504.xml"/><Relationship Id="rId211" Type="http://schemas.openxmlformats.org/officeDocument/2006/relationships/ctrlProp" Target="../ctrlProps/ctrlProp101.xml"/><Relationship Id="rId253" Type="http://schemas.openxmlformats.org/officeDocument/2006/relationships/ctrlProp" Target="../ctrlProps/ctrlProp143.xml"/><Relationship Id="rId295" Type="http://schemas.openxmlformats.org/officeDocument/2006/relationships/ctrlProp" Target="../ctrlProps/ctrlProp185.xml"/><Relationship Id="rId309" Type="http://schemas.openxmlformats.org/officeDocument/2006/relationships/ctrlProp" Target="../ctrlProps/ctrlProp199.xml"/><Relationship Id="rId460" Type="http://schemas.openxmlformats.org/officeDocument/2006/relationships/ctrlProp" Target="../ctrlProps/ctrlProp350.xml"/><Relationship Id="rId516" Type="http://schemas.openxmlformats.org/officeDocument/2006/relationships/ctrlProp" Target="../ctrlProps/ctrlProp406.xml"/><Relationship Id="rId48" Type="http://schemas.openxmlformats.org/officeDocument/2006/relationships/hyperlink" Target="../../../../../../Work/ecoinsight/work/base_code/member.GetUserDetail.controller.ts" TargetMode="External"/><Relationship Id="rId113" Type="http://schemas.openxmlformats.org/officeDocument/2006/relationships/ctrlProp" Target="../ctrlProps/ctrlProp3.xml"/><Relationship Id="rId320" Type="http://schemas.openxmlformats.org/officeDocument/2006/relationships/ctrlProp" Target="../ctrlProps/ctrlProp210.xml"/><Relationship Id="rId558" Type="http://schemas.openxmlformats.org/officeDocument/2006/relationships/ctrlProp" Target="../ctrlProps/ctrlProp448.xml"/><Relationship Id="rId155" Type="http://schemas.openxmlformats.org/officeDocument/2006/relationships/ctrlProp" Target="../ctrlProps/ctrlProp45.xml"/><Relationship Id="rId197" Type="http://schemas.openxmlformats.org/officeDocument/2006/relationships/ctrlProp" Target="../ctrlProps/ctrlProp87.xml"/><Relationship Id="rId362" Type="http://schemas.openxmlformats.org/officeDocument/2006/relationships/ctrlProp" Target="../ctrlProps/ctrlProp252.xml"/><Relationship Id="rId418" Type="http://schemas.openxmlformats.org/officeDocument/2006/relationships/ctrlProp" Target="../ctrlProps/ctrlProp308.xml"/><Relationship Id="rId625" Type="http://schemas.openxmlformats.org/officeDocument/2006/relationships/ctrlProp" Target="../ctrlProps/ctrlProp515.xml"/><Relationship Id="rId222" Type="http://schemas.openxmlformats.org/officeDocument/2006/relationships/ctrlProp" Target="../ctrlProps/ctrlProp112.xml"/><Relationship Id="rId264" Type="http://schemas.openxmlformats.org/officeDocument/2006/relationships/ctrlProp" Target="../ctrlProps/ctrlProp154.xml"/><Relationship Id="rId471" Type="http://schemas.openxmlformats.org/officeDocument/2006/relationships/ctrlProp" Target="../ctrlProps/ctrlProp361.xml"/><Relationship Id="rId17" Type="http://schemas.openxmlformats.org/officeDocument/2006/relationships/hyperlink" Target="../../../../../../Work/ecoinsight/work/base_code/question.SaveQuestion.controller.ts" TargetMode="External"/><Relationship Id="rId59" Type="http://schemas.openxmlformats.org/officeDocument/2006/relationships/hyperlink" Target="../../../../../../Work/ecoinsight/work/base_code/member.CreateUser.controller.ts" TargetMode="External"/><Relationship Id="rId124" Type="http://schemas.openxmlformats.org/officeDocument/2006/relationships/ctrlProp" Target="../ctrlProps/ctrlProp14.xml"/><Relationship Id="rId527" Type="http://schemas.openxmlformats.org/officeDocument/2006/relationships/ctrlProp" Target="../ctrlProps/ctrlProp417.xml"/><Relationship Id="rId569" Type="http://schemas.openxmlformats.org/officeDocument/2006/relationships/ctrlProp" Target="../ctrlProps/ctrlProp459.xml"/><Relationship Id="rId70" Type="http://schemas.openxmlformats.org/officeDocument/2006/relationships/hyperlink" Target="../../../../../../Work/ecoinsight/work/base_code/interviewQuestion.AddInterviewQuestion.module.ts" TargetMode="External"/><Relationship Id="rId166" Type="http://schemas.openxmlformats.org/officeDocument/2006/relationships/ctrlProp" Target="../ctrlProps/ctrlProp56.xml"/><Relationship Id="rId331" Type="http://schemas.openxmlformats.org/officeDocument/2006/relationships/ctrlProp" Target="../ctrlProps/ctrlProp221.xml"/><Relationship Id="rId373" Type="http://schemas.openxmlformats.org/officeDocument/2006/relationships/ctrlProp" Target="../ctrlProps/ctrlProp263.xml"/><Relationship Id="rId429" Type="http://schemas.openxmlformats.org/officeDocument/2006/relationships/ctrlProp" Target="../ctrlProps/ctrlProp319.xml"/><Relationship Id="rId580" Type="http://schemas.openxmlformats.org/officeDocument/2006/relationships/ctrlProp" Target="../ctrlProps/ctrlProp470.xml"/><Relationship Id="rId1" Type="http://schemas.openxmlformats.org/officeDocument/2006/relationships/hyperlink" Target="../../../../../../Work/ecoinsight/work/base_code/recruit.SaveRecruit.module.ts" TargetMode="External"/><Relationship Id="rId233" Type="http://schemas.openxmlformats.org/officeDocument/2006/relationships/ctrlProp" Target="../ctrlProps/ctrlProp123.xml"/><Relationship Id="rId440" Type="http://schemas.openxmlformats.org/officeDocument/2006/relationships/ctrlProp" Target="../ctrlProps/ctrlProp330.xml"/><Relationship Id="rId28" Type="http://schemas.openxmlformats.org/officeDocument/2006/relationships/hyperlink" Target="../../../../../../Work/ecoinsight/work/base_code/questionFolder.GetQuestionFolders.controller.ts" TargetMode="External"/><Relationship Id="rId275" Type="http://schemas.openxmlformats.org/officeDocument/2006/relationships/ctrlProp" Target="../ctrlProps/ctrlProp165.xml"/><Relationship Id="rId300" Type="http://schemas.openxmlformats.org/officeDocument/2006/relationships/ctrlProp" Target="../ctrlProps/ctrlProp190.xml"/><Relationship Id="rId482" Type="http://schemas.openxmlformats.org/officeDocument/2006/relationships/ctrlProp" Target="../ctrlProps/ctrlProp372.xml"/><Relationship Id="rId538" Type="http://schemas.openxmlformats.org/officeDocument/2006/relationships/ctrlProp" Target="../ctrlProps/ctrlProp428.xml"/><Relationship Id="rId81" Type="http://schemas.openxmlformats.org/officeDocument/2006/relationships/hyperlink" Target="../../../../../../Work/ecoinsight/work/base_code/apply.SaveApply.module.ts" TargetMode="External"/><Relationship Id="rId135" Type="http://schemas.openxmlformats.org/officeDocument/2006/relationships/ctrlProp" Target="../ctrlProps/ctrlProp25.xml"/><Relationship Id="rId177" Type="http://schemas.openxmlformats.org/officeDocument/2006/relationships/ctrlProp" Target="../ctrlProps/ctrlProp67.xml"/><Relationship Id="rId342" Type="http://schemas.openxmlformats.org/officeDocument/2006/relationships/ctrlProp" Target="../ctrlProps/ctrlProp232.xml"/><Relationship Id="rId384" Type="http://schemas.openxmlformats.org/officeDocument/2006/relationships/ctrlProp" Target="../ctrlProps/ctrlProp274.xml"/><Relationship Id="rId591" Type="http://schemas.openxmlformats.org/officeDocument/2006/relationships/ctrlProp" Target="../ctrlProps/ctrlProp481.xml"/><Relationship Id="rId605" Type="http://schemas.openxmlformats.org/officeDocument/2006/relationships/ctrlProp" Target="../ctrlProps/ctrlProp495.xml"/><Relationship Id="rId202" Type="http://schemas.openxmlformats.org/officeDocument/2006/relationships/ctrlProp" Target="../ctrlProps/ctrlProp92.xml"/><Relationship Id="rId244" Type="http://schemas.openxmlformats.org/officeDocument/2006/relationships/ctrlProp" Target="../ctrlProps/ctrlProp134.xml"/><Relationship Id="rId39" Type="http://schemas.openxmlformats.org/officeDocument/2006/relationships/hyperlink" Target="../../../../../../Work/ecoinsight/work/base_code/company.RequestPasswordOfCompany.module.ts" TargetMode="External"/><Relationship Id="rId286" Type="http://schemas.openxmlformats.org/officeDocument/2006/relationships/ctrlProp" Target="../ctrlProps/ctrlProp176.xml"/><Relationship Id="rId451" Type="http://schemas.openxmlformats.org/officeDocument/2006/relationships/ctrlProp" Target="../ctrlProps/ctrlProp341.xml"/><Relationship Id="rId493" Type="http://schemas.openxmlformats.org/officeDocument/2006/relationships/ctrlProp" Target="../ctrlProps/ctrlProp383.xml"/><Relationship Id="rId507" Type="http://schemas.openxmlformats.org/officeDocument/2006/relationships/ctrlProp" Target="../ctrlProps/ctrlProp397.xml"/><Relationship Id="rId549" Type="http://schemas.openxmlformats.org/officeDocument/2006/relationships/ctrlProp" Target="../ctrlProps/ctrlProp439.xml"/><Relationship Id="rId50" Type="http://schemas.openxmlformats.org/officeDocument/2006/relationships/hyperlink" Target="../../../../../../Work/ecoinsight/work/base_code/member.SaveUser.controller.ts" TargetMode="External"/><Relationship Id="rId104" Type="http://schemas.openxmlformats.org/officeDocument/2006/relationships/hyperlink" Target="../../../../../../Work/ecoinsight/work/base_code/recruit.GetRecruits.controller.ts" TargetMode="External"/><Relationship Id="rId146" Type="http://schemas.openxmlformats.org/officeDocument/2006/relationships/ctrlProp" Target="../ctrlProps/ctrlProp36.xml"/><Relationship Id="rId188" Type="http://schemas.openxmlformats.org/officeDocument/2006/relationships/ctrlProp" Target="../ctrlProps/ctrlProp78.xml"/><Relationship Id="rId311" Type="http://schemas.openxmlformats.org/officeDocument/2006/relationships/ctrlProp" Target="../ctrlProps/ctrlProp201.xml"/><Relationship Id="rId353" Type="http://schemas.openxmlformats.org/officeDocument/2006/relationships/ctrlProp" Target="../ctrlProps/ctrlProp243.xml"/><Relationship Id="rId395" Type="http://schemas.openxmlformats.org/officeDocument/2006/relationships/ctrlProp" Target="../ctrlProps/ctrlProp285.xml"/><Relationship Id="rId409" Type="http://schemas.openxmlformats.org/officeDocument/2006/relationships/ctrlProp" Target="../ctrlProps/ctrlProp299.xml"/><Relationship Id="rId560" Type="http://schemas.openxmlformats.org/officeDocument/2006/relationships/ctrlProp" Target="../ctrlProps/ctrlProp450.xml"/><Relationship Id="rId92" Type="http://schemas.openxmlformats.org/officeDocument/2006/relationships/hyperlink" Target="../../../../../../Work/ecoinsight/work/base_code/upload.UploadDocument.module.ts" TargetMode="External"/><Relationship Id="rId213" Type="http://schemas.openxmlformats.org/officeDocument/2006/relationships/ctrlProp" Target="../ctrlProps/ctrlProp103.xml"/><Relationship Id="rId420" Type="http://schemas.openxmlformats.org/officeDocument/2006/relationships/ctrlProp" Target="../ctrlProps/ctrlProp310.xml"/><Relationship Id="rId616" Type="http://schemas.openxmlformats.org/officeDocument/2006/relationships/ctrlProp" Target="../ctrlProps/ctrlProp506.xml"/><Relationship Id="rId255" Type="http://schemas.openxmlformats.org/officeDocument/2006/relationships/ctrlProp" Target="../ctrlProps/ctrlProp145.xml"/><Relationship Id="rId297" Type="http://schemas.openxmlformats.org/officeDocument/2006/relationships/ctrlProp" Target="../ctrlProps/ctrlProp187.xml"/><Relationship Id="rId462" Type="http://schemas.openxmlformats.org/officeDocument/2006/relationships/ctrlProp" Target="../ctrlProps/ctrlProp352.xml"/><Relationship Id="rId518" Type="http://schemas.openxmlformats.org/officeDocument/2006/relationships/ctrlProp" Target="../ctrlProps/ctrlProp408.xml"/><Relationship Id="rId115" Type="http://schemas.openxmlformats.org/officeDocument/2006/relationships/ctrlProp" Target="../ctrlProps/ctrlProp5.xml"/><Relationship Id="rId157" Type="http://schemas.openxmlformats.org/officeDocument/2006/relationships/ctrlProp" Target="../ctrlProps/ctrlProp47.xml"/><Relationship Id="rId322" Type="http://schemas.openxmlformats.org/officeDocument/2006/relationships/ctrlProp" Target="../ctrlProps/ctrlProp212.xml"/><Relationship Id="rId364" Type="http://schemas.openxmlformats.org/officeDocument/2006/relationships/ctrlProp" Target="../ctrlProps/ctrlProp254.xml"/><Relationship Id="rId61" Type="http://schemas.openxmlformats.org/officeDocument/2006/relationships/hyperlink" Target="../../../../../../Work/ecoinsight/work/base_code/member.SaveUser.module.ts" TargetMode="External"/><Relationship Id="rId199" Type="http://schemas.openxmlformats.org/officeDocument/2006/relationships/ctrlProp" Target="../ctrlProps/ctrlProp89.xml"/><Relationship Id="rId571" Type="http://schemas.openxmlformats.org/officeDocument/2006/relationships/ctrlProp" Target="../ctrlProps/ctrlProp461.xml"/><Relationship Id="rId627" Type="http://schemas.openxmlformats.org/officeDocument/2006/relationships/ctrlProp" Target="../ctrlProps/ctrlProp517.xml"/><Relationship Id="rId19" Type="http://schemas.openxmlformats.org/officeDocument/2006/relationships/hyperlink" Target="../../../../../../Work/ecoinsight/work/base_code/question.AddQuestion.controller.ts" TargetMode="External"/><Relationship Id="rId224" Type="http://schemas.openxmlformats.org/officeDocument/2006/relationships/ctrlProp" Target="../ctrlProps/ctrlProp114.xml"/><Relationship Id="rId266" Type="http://schemas.openxmlformats.org/officeDocument/2006/relationships/ctrlProp" Target="../ctrlProps/ctrlProp156.xml"/><Relationship Id="rId431" Type="http://schemas.openxmlformats.org/officeDocument/2006/relationships/ctrlProp" Target="../ctrlProps/ctrlProp321.xml"/><Relationship Id="rId473" Type="http://schemas.openxmlformats.org/officeDocument/2006/relationships/ctrlProp" Target="../ctrlProps/ctrlProp363.xml"/><Relationship Id="rId529" Type="http://schemas.openxmlformats.org/officeDocument/2006/relationships/ctrlProp" Target="../ctrlProps/ctrlProp419.xml"/><Relationship Id="rId30" Type="http://schemas.openxmlformats.org/officeDocument/2006/relationships/hyperlink" Target="../../../../../../Work/ecoinsight/work/base_code/company.SaveCompanyLogo.controller.ts" TargetMode="External"/><Relationship Id="rId126" Type="http://schemas.openxmlformats.org/officeDocument/2006/relationships/ctrlProp" Target="../ctrlProps/ctrlProp16.xml"/><Relationship Id="rId168" Type="http://schemas.openxmlformats.org/officeDocument/2006/relationships/ctrlProp" Target="../ctrlProps/ctrlProp58.xml"/><Relationship Id="rId333" Type="http://schemas.openxmlformats.org/officeDocument/2006/relationships/ctrlProp" Target="../ctrlProps/ctrlProp223.xml"/><Relationship Id="rId540" Type="http://schemas.openxmlformats.org/officeDocument/2006/relationships/ctrlProp" Target="../ctrlProps/ctrlProp430.xml"/><Relationship Id="rId72" Type="http://schemas.openxmlformats.org/officeDocument/2006/relationships/hyperlink" Target="../../../../../../Work/ecoinsight/work/base_code/interviewQuestion.DeleteInterviewQuestion.module.ts" TargetMode="External"/><Relationship Id="rId375" Type="http://schemas.openxmlformats.org/officeDocument/2006/relationships/ctrlProp" Target="../ctrlProps/ctrlProp265.xml"/><Relationship Id="rId582" Type="http://schemas.openxmlformats.org/officeDocument/2006/relationships/ctrlProp" Target="../ctrlProps/ctrlProp472.xml"/><Relationship Id="rId3" Type="http://schemas.openxmlformats.org/officeDocument/2006/relationships/hyperlink" Target="../../../../../../Work/ecoinsight/work/base_code/recruit.DeleteRecruit.module.ts" TargetMode="External"/><Relationship Id="rId235" Type="http://schemas.openxmlformats.org/officeDocument/2006/relationships/ctrlProp" Target="../ctrlProps/ctrlProp125.xml"/><Relationship Id="rId277" Type="http://schemas.openxmlformats.org/officeDocument/2006/relationships/ctrlProp" Target="../ctrlProps/ctrlProp167.xml"/><Relationship Id="rId400" Type="http://schemas.openxmlformats.org/officeDocument/2006/relationships/ctrlProp" Target="../ctrlProps/ctrlProp290.xml"/><Relationship Id="rId442" Type="http://schemas.openxmlformats.org/officeDocument/2006/relationships/ctrlProp" Target="../ctrlProps/ctrlProp332.xml"/><Relationship Id="rId484" Type="http://schemas.openxmlformats.org/officeDocument/2006/relationships/ctrlProp" Target="../ctrlProps/ctrlProp374.xml"/><Relationship Id="rId137" Type="http://schemas.openxmlformats.org/officeDocument/2006/relationships/ctrlProp" Target="../ctrlProps/ctrlProp27.xml"/><Relationship Id="rId302" Type="http://schemas.openxmlformats.org/officeDocument/2006/relationships/ctrlProp" Target="../ctrlProps/ctrlProp192.xml"/><Relationship Id="rId344" Type="http://schemas.openxmlformats.org/officeDocument/2006/relationships/ctrlProp" Target="../ctrlProps/ctrlProp234.xml"/><Relationship Id="rId41" Type="http://schemas.openxmlformats.org/officeDocument/2006/relationships/hyperlink" Target="../../../../../../Work/ecoinsight/work/base_code/company.GetTokenForCompany.module.ts" TargetMode="External"/><Relationship Id="rId83" Type="http://schemas.openxmlformats.org/officeDocument/2006/relationships/hyperlink" Target="../../../../../../Work/ecoinsight/work/base_code/favorite.GetFavorites.module.ts" TargetMode="External"/><Relationship Id="rId179" Type="http://schemas.openxmlformats.org/officeDocument/2006/relationships/ctrlProp" Target="../ctrlProps/ctrlProp69.xml"/><Relationship Id="rId386" Type="http://schemas.openxmlformats.org/officeDocument/2006/relationships/ctrlProp" Target="../ctrlProps/ctrlProp276.xml"/><Relationship Id="rId551" Type="http://schemas.openxmlformats.org/officeDocument/2006/relationships/ctrlProp" Target="../ctrlProps/ctrlProp441.xml"/><Relationship Id="rId593" Type="http://schemas.openxmlformats.org/officeDocument/2006/relationships/ctrlProp" Target="../ctrlProps/ctrlProp483.xml"/><Relationship Id="rId607" Type="http://schemas.openxmlformats.org/officeDocument/2006/relationships/ctrlProp" Target="../ctrlProps/ctrlProp497.xml"/><Relationship Id="rId190" Type="http://schemas.openxmlformats.org/officeDocument/2006/relationships/ctrlProp" Target="../ctrlProps/ctrlProp80.xml"/><Relationship Id="rId204" Type="http://schemas.openxmlformats.org/officeDocument/2006/relationships/ctrlProp" Target="../ctrlProps/ctrlProp94.xml"/><Relationship Id="rId246" Type="http://schemas.openxmlformats.org/officeDocument/2006/relationships/ctrlProp" Target="../ctrlProps/ctrlProp136.xml"/><Relationship Id="rId288" Type="http://schemas.openxmlformats.org/officeDocument/2006/relationships/ctrlProp" Target="../ctrlProps/ctrlProp178.xml"/><Relationship Id="rId411" Type="http://schemas.openxmlformats.org/officeDocument/2006/relationships/ctrlProp" Target="../ctrlProps/ctrlProp301.xml"/><Relationship Id="rId453" Type="http://schemas.openxmlformats.org/officeDocument/2006/relationships/ctrlProp" Target="../ctrlProps/ctrlProp343.xml"/><Relationship Id="rId509" Type="http://schemas.openxmlformats.org/officeDocument/2006/relationships/ctrlProp" Target="../ctrlProps/ctrlProp399.xml"/><Relationship Id="rId106" Type="http://schemas.openxmlformats.org/officeDocument/2006/relationships/hyperlink" Target="../../../../../../Work/ecoinsight/work/base_code/config.GetConfig.module.ts" TargetMode="External"/><Relationship Id="rId313" Type="http://schemas.openxmlformats.org/officeDocument/2006/relationships/ctrlProp" Target="../ctrlProps/ctrlProp203.xml"/><Relationship Id="rId495" Type="http://schemas.openxmlformats.org/officeDocument/2006/relationships/ctrlProp" Target="../ctrlProps/ctrlProp385.xml"/><Relationship Id="rId10" Type="http://schemas.openxmlformats.org/officeDocument/2006/relationships/hyperlink" Target="../../../../../../Work/ecoinsight/work/base_code/questionFolder.SaveQuestionFolder.controller.ts" TargetMode="External"/><Relationship Id="rId52" Type="http://schemas.openxmlformats.org/officeDocument/2006/relationships/hyperlink" Target="../../../../../../Work/ecoinsight/work/base_code/member.CheckUserEmail.controller.ts" TargetMode="External"/><Relationship Id="rId94" Type="http://schemas.openxmlformats.org/officeDocument/2006/relationships/hyperlink" Target="../../../../../../Work/ecoinsight/work/base_code/interview.AddInterview.module.ts" TargetMode="External"/><Relationship Id="rId148" Type="http://schemas.openxmlformats.org/officeDocument/2006/relationships/ctrlProp" Target="../ctrlProps/ctrlProp38.xml"/><Relationship Id="rId355" Type="http://schemas.openxmlformats.org/officeDocument/2006/relationships/ctrlProp" Target="../ctrlProps/ctrlProp245.xml"/><Relationship Id="rId397" Type="http://schemas.openxmlformats.org/officeDocument/2006/relationships/ctrlProp" Target="../ctrlProps/ctrlProp287.xml"/><Relationship Id="rId520" Type="http://schemas.openxmlformats.org/officeDocument/2006/relationships/ctrlProp" Target="../ctrlProps/ctrlProp410.xml"/><Relationship Id="rId562" Type="http://schemas.openxmlformats.org/officeDocument/2006/relationships/ctrlProp" Target="../ctrlProps/ctrlProp452.xml"/><Relationship Id="rId618" Type="http://schemas.openxmlformats.org/officeDocument/2006/relationships/ctrlProp" Target="../ctrlProps/ctrlProp508.xml"/><Relationship Id="rId215" Type="http://schemas.openxmlformats.org/officeDocument/2006/relationships/ctrlProp" Target="../ctrlProps/ctrlProp105.xml"/><Relationship Id="rId257" Type="http://schemas.openxmlformats.org/officeDocument/2006/relationships/ctrlProp" Target="../ctrlProps/ctrlProp147.xml"/><Relationship Id="rId422" Type="http://schemas.openxmlformats.org/officeDocument/2006/relationships/ctrlProp" Target="../ctrlProps/ctrlProp312.xml"/><Relationship Id="rId464" Type="http://schemas.openxmlformats.org/officeDocument/2006/relationships/ctrlProp" Target="../ctrlProps/ctrlProp354.xml"/><Relationship Id="rId299" Type="http://schemas.openxmlformats.org/officeDocument/2006/relationships/ctrlProp" Target="../ctrlProps/ctrlProp189.xml"/><Relationship Id="rId63" Type="http://schemas.openxmlformats.org/officeDocument/2006/relationships/hyperlink" Target="../../../../../../Work/ecoinsight/work/base_code/member.RequestPassword.module.ts" TargetMode="External"/><Relationship Id="rId159" Type="http://schemas.openxmlformats.org/officeDocument/2006/relationships/ctrlProp" Target="../ctrlProps/ctrlProp49.xml"/><Relationship Id="rId366" Type="http://schemas.openxmlformats.org/officeDocument/2006/relationships/ctrlProp" Target="../ctrlProps/ctrlProp256.xml"/><Relationship Id="rId573" Type="http://schemas.openxmlformats.org/officeDocument/2006/relationships/ctrlProp" Target="../ctrlProps/ctrlProp463.xml"/><Relationship Id="rId226" Type="http://schemas.openxmlformats.org/officeDocument/2006/relationships/ctrlProp" Target="../ctrlProps/ctrlProp116.xml"/><Relationship Id="rId433" Type="http://schemas.openxmlformats.org/officeDocument/2006/relationships/ctrlProp" Target="../ctrlProps/ctrlProp323.xml"/><Relationship Id="rId74" Type="http://schemas.openxmlformats.org/officeDocument/2006/relationships/hyperlink" Target="../../../../../../Work/ecoinsight/work/base_code/apply.DoApply.module.ts" TargetMode="External"/><Relationship Id="rId377" Type="http://schemas.openxmlformats.org/officeDocument/2006/relationships/ctrlProp" Target="../ctrlProps/ctrlProp267.xml"/><Relationship Id="rId500" Type="http://schemas.openxmlformats.org/officeDocument/2006/relationships/ctrlProp" Target="../ctrlProps/ctrlProp390.xml"/><Relationship Id="rId584" Type="http://schemas.openxmlformats.org/officeDocument/2006/relationships/ctrlProp" Target="../ctrlProps/ctrlProp474.xml"/><Relationship Id="rId5" Type="http://schemas.openxmlformats.org/officeDocument/2006/relationships/hyperlink" Target="../../../../../../Work/ecoinsight/work/base_code/recruit.GetRecruits.module.ts" TargetMode="External"/><Relationship Id="rId237" Type="http://schemas.openxmlformats.org/officeDocument/2006/relationships/ctrlProp" Target="../ctrlProps/ctrlProp127.xml"/><Relationship Id="rId444" Type="http://schemas.openxmlformats.org/officeDocument/2006/relationships/ctrlProp" Target="../ctrlProps/ctrlProp334.xml"/><Relationship Id="rId290" Type="http://schemas.openxmlformats.org/officeDocument/2006/relationships/ctrlProp" Target="../ctrlProps/ctrlProp180.xml"/><Relationship Id="rId304" Type="http://schemas.openxmlformats.org/officeDocument/2006/relationships/ctrlProp" Target="../ctrlProps/ctrlProp194.xml"/><Relationship Id="rId388" Type="http://schemas.openxmlformats.org/officeDocument/2006/relationships/ctrlProp" Target="../ctrlProps/ctrlProp278.xml"/><Relationship Id="rId511" Type="http://schemas.openxmlformats.org/officeDocument/2006/relationships/ctrlProp" Target="../ctrlProps/ctrlProp401.xml"/><Relationship Id="rId609" Type="http://schemas.openxmlformats.org/officeDocument/2006/relationships/ctrlProp" Target="../ctrlProps/ctrlProp499.xml"/><Relationship Id="rId85" Type="http://schemas.openxmlformats.org/officeDocument/2006/relationships/hyperlink" Target="../../../../../../Work/ecoinsight/work/base_code/document.GetDocuments.module.ts" TargetMode="External"/><Relationship Id="rId150" Type="http://schemas.openxmlformats.org/officeDocument/2006/relationships/ctrlProp" Target="../ctrlProps/ctrlProp40.xml"/><Relationship Id="rId595" Type="http://schemas.openxmlformats.org/officeDocument/2006/relationships/ctrlProp" Target="../ctrlProps/ctrlProp485.xml"/><Relationship Id="rId248" Type="http://schemas.openxmlformats.org/officeDocument/2006/relationships/ctrlProp" Target="../ctrlProps/ctrlProp138.xml"/><Relationship Id="rId455" Type="http://schemas.openxmlformats.org/officeDocument/2006/relationships/ctrlProp" Target="../ctrlProps/ctrlProp345.xml"/><Relationship Id="rId12" Type="http://schemas.openxmlformats.org/officeDocument/2006/relationships/hyperlink" Target="../../../../../../Work/ecoinsight/work/base_code/questionFolder.DeleteQuestionFolder.controller.ts" TargetMode="External"/><Relationship Id="rId108" Type="http://schemas.openxmlformats.org/officeDocument/2006/relationships/printerSettings" Target="../printerSettings/printerSettings1.bin"/><Relationship Id="rId315" Type="http://schemas.openxmlformats.org/officeDocument/2006/relationships/ctrlProp" Target="../ctrlProps/ctrlProp205.xml"/><Relationship Id="rId522" Type="http://schemas.openxmlformats.org/officeDocument/2006/relationships/ctrlProp" Target="../ctrlProps/ctrlProp412.xml"/><Relationship Id="rId96" Type="http://schemas.openxmlformats.org/officeDocument/2006/relationships/hyperlink" Target="../../../../../../Work/ecoinsight/work/base_code/recruit.GetInterviewQuestions.module.ts" TargetMode="External"/><Relationship Id="rId161" Type="http://schemas.openxmlformats.org/officeDocument/2006/relationships/ctrlProp" Target="../ctrlProps/ctrlProp51.xml"/><Relationship Id="rId399" Type="http://schemas.openxmlformats.org/officeDocument/2006/relationships/ctrlProp" Target="../ctrlProps/ctrlProp289.xml"/><Relationship Id="rId259" Type="http://schemas.openxmlformats.org/officeDocument/2006/relationships/ctrlProp" Target="../ctrlProps/ctrlProp149.xml"/><Relationship Id="rId466" Type="http://schemas.openxmlformats.org/officeDocument/2006/relationships/ctrlProp" Target="../ctrlProps/ctrlProp356.xml"/><Relationship Id="rId23" Type="http://schemas.openxmlformats.org/officeDocument/2006/relationships/hyperlink" Target="../../../../../../Work/ecoinsight/work/base_code/question.GetQuestion.module.ts" TargetMode="External"/><Relationship Id="rId119" Type="http://schemas.openxmlformats.org/officeDocument/2006/relationships/ctrlProp" Target="../ctrlProps/ctrlProp9.xml"/><Relationship Id="rId326" Type="http://schemas.openxmlformats.org/officeDocument/2006/relationships/ctrlProp" Target="../ctrlProps/ctrlProp216.xml"/><Relationship Id="rId533" Type="http://schemas.openxmlformats.org/officeDocument/2006/relationships/ctrlProp" Target="../ctrlProps/ctrlProp423.xml"/><Relationship Id="rId172" Type="http://schemas.openxmlformats.org/officeDocument/2006/relationships/ctrlProp" Target="../ctrlProps/ctrlProp62.xml"/><Relationship Id="rId477" Type="http://schemas.openxmlformats.org/officeDocument/2006/relationships/ctrlProp" Target="../ctrlProps/ctrlProp367.xml"/><Relationship Id="rId600" Type="http://schemas.openxmlformats.org/officeDocument/2006/relationships/ctrlProp" Target="../ctrlProps/ctrlProp490.xml"/><Relationship Id="rId337" Type="http://schemas.openxmlformats.org/officeDocument/2006/relationships/ctrlProp" Target="../ctrlProps/ctrlProp227.xml"/><Relationship Id="rId34" Type="http://schemas.openxmlformats.org/officeDocument/2006/relationships/hyperlink" Target="../../../../../../Work/ecoinsight/work/base_code/company.SaveCompany.controller.ts" TargetMode="External"/><Relationship Id="rId544" Type="http://schemas.openxmlformats.org/officeDocument/2006/relationships/ctrlProp" Target="../ctrlProps/ctrlProp434.xml"/><Relationship Id="rId183" Type="http://schemas.openxmlformats.org/officeDocument/2006/relationships/ctrlProp" Target="../ctrlProps/ctrlProp73.xml"/><Relationship Id="rId390" Type="http://schemas.openxmlformats.org/officeDocument/2006/relationships/ctrlProp" Target="../ctrlProps/ctrlProp280.xml"/><Relationship Id="rId404" Type="http://schemas.openxmlformats.org/officeDocument/2006/relationships/ctrlProp" Target="../ctrlProps/ctrlProp294.xml"/><Relationship Id="rId611" Type="http://schemas.openxmlformats.org/officeDocument/2006/relationships/ctrlProp" Target="../ctrlProps/ctrlProp501.xml"/><Relationship Id="rId250" Type="http://schemas.openxmlformats.org/officeDocument/2006/relationships/ctrlProp" Target="../ctrlProps/ctrlProp140.xml"/><Relationship Id="rId488" Type="http://schemas.openxmlformats.org/officeDocument/2006/relationships/ctrlProp" Target="../ctrlProps/ctrlProp378.xml"/><Relationship Id="rId45" Type="http://schemas.openxmlformats.org/officeDocument/2006/relationships/hyperlink" Target="../../../../../../Work/ecoinsight/work/base_code/company.CreateCompany.module.ts" TargetMode="External"/><Relationship Id="rId110" Type="http://schemas.openxmlformats.org/officeDocument/2006/relationships/vmlDrawing" Target="../drawings/vmlDrawing1.vml"/><Relationship Id="rId348" Type="http://schemas.openxmlformats.org/officeDocument/2006/relationships/ctrlProp" Target="../ctrlProps/ctrlProp238.xml"/><Relationship Id="rId555" Type="http://schemas.openxmlformats.org/officeDocument/2006/relationships/ctrlProp" Target="../ctrlProps/ctrlProp445.xml"/><Relationship Id="rId194" Type="http://schemas.openxmlformats.org/officeDocument/2006/relationships/ctrlProp" Target="../ctrlProps/ctrlProp84.xml"/><Relationship Id="rId208" Type="http://schemas.openxmlformats.org/officeDocument/2006/relationships/ctrlProp" Target="../ctrlProps/ctrlProp98.xml"/><Relationship Id="rId415" Type="http://schemas.openxmlformats.org/officeDocument/2006/relationships/ctrlProp" Target="../ctrlProps/ctrlProp305.xml"/><Relationship Id="rId622" Type="http://schemas.openxmlformats.org/officeDocument/2006/relationships/ctrlProp" Target="../ctrlProps/ctrlProp512.xml"/><Relationship Id="rId261" Type="http://schemas.openxmlformats.org/officeDocument/2006/relationships/ctrlProp" Target="../ctrlProps/ctrlProp151.xml"/><Relationship Id="rId499" Type="http://schemas.openxmlformats.org/officeDocument/2006/relationships/ctrlProp" Target="../ctrlProps/ctrlProp389.xml"/><Relationship Id="rId56" Type="http://schemas.openxmlformats.org/officeDocument/2006/relationships/hyperlink" Target="../../../../../../Work/ecoinsight/work/base_code/member.UpdatePasswordForRequest.controller.ts" TargetMode="External"/><Relationship Id="rId359" Type="http://schemas.openxmlformats.org/officeDocument/2006/relationships/ctrlProp" Target="../ctrlProps/ctrlProp249.xml"/><Relationship Id="rId566" Type="http://schemas.openxmlformats.org/officeDocument/2006/relationships/ctrlProp" Target="../ctrlProps/ctrlProp456.xml"/><Relationship Id="rId121" Type="http://schemas.openxmlformats.org/officeDocument/2006/relationships/ctrlProp" Target="../ctrlProps/ctrlProp11.xml"/><Relationship Id="rId219" Type="http://schemas.openxmlformats.org/officeDocument/2006/relationships/ctrlProp" Target="../ctrlProps/ctrlProp109.xml"/><Relationship Id="rId426" Type="http://schemas.openxmlformats.org/officeDocument/2006/relationships/ctrlProp" Target="../ctrlProps/ctrlProp316.xml"/><Relationship Id="rId67" Type="http://schemas.openxmlformats.org/officeDocument/2006/relationships/hyperlink" Target="../../../../../../Work/ecoinsight/work/base_code/member.CheckUserEmail.module.ts" TargetMode="External"/><Relationship Id="rId272" Type="http://schemas.openxmlformats.org/officeDocument/2006/relationships/ctrlProp" Target="../ctrlProps/ctrlProp162.xml"/><Relationship Id="rId577" Type="http://schemas.openxmlformats.org/officeDocument/2006/relationships/ctrlProp" Target="../ctrlProps/ctrlProp467.xml"/><Relationship Id="rId132" Type="http://schemas.openxmlformats.org/officeDocument/2006/relationships/ctrlProp" Target="../ctrlProps/ctrlProp22.xml"/><Relationship Id="rId437" Type="http://schemas.openxmlformats.org/officeDocument/2006/relationships/ctrlProp" Target="../ctrlProps/ctrlProp32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2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21.xml"/><Relationship Id="rId5" Type="http://schemas.openxmlformats.org/officeDocument/2006/relationships/ctrlProp" Target="../ctrlProps/ctrlProp520.xml"/><Relationship Id="rId4" Type="http://schemas.openxmlformats.org/officeDocument/2006/relationships/ctrlProp" Target="../ctrlProps/ctrlProp5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3.xml"/><Relationship Id="rId7" Type="http://schemas.openxmlformats.org/officeDocument/2006/relationships/ctrlProp" Target="../ctrlProps/ctrlProp52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526.xml"/><Relationship Id="rId5" Type="http://schemas.openxmlformats.org/officeDocument/2006/relationships/ctrlProp" Target="../ctrlProps/ctrlProp525.xml"/><Relationship Id="rId4" Type="http://schemas.openxmlformats.org/officeDocument/2006/relationships/ctrlProp" Target="../ctrlProps/ctrlProp52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C143"/>
  <sheetViews>
    <sheetView tabSelected="1" topLeftCell="T1" zoomScale="75" zoomScaleNormal="40" workbookViewId="0">
      <pane ySplit="2" topLeftCell="A5" activePane="bottomLeft" state="frozen"/>
      <selection activeCell="Z24" sqref="Z24:Z25"/>
      <selection pane="bottomLeft" activeCell="Y16" sqref="Y16"/>
    </sheetView>
  </sheetViews>
  <sheetFormatPr baseColWidth="10" defaultColWidth="8.83203125" defaultRowHeight="14" outlineLevelRow="1" outlineLevelCol="1"/>
  <cols>
    <col min="1" max="1" width="5.6640625" style="23" customWidth="1"/>
    <col min="2" max="2" width="3.5" style="23" hidden="1" customWidth="1"/>
    <col min="3" max="3" width="5.33203125" style="23" customWidth="1"/>
    <col min="4" max="4" width="5.1640625" style="23" customWidth="1"/>
    <col min="5" max="5" width="11.1640625" style="23" hidden="1" customWidth="1" outlineLevel="1"/>
    <col min="6" max="6" width="13.6640625" style="23" hidden="1" customWidth="1" outlineLevel="1"/>
    <col min="7" max="7" width="18.83203125" style="23" hidden="1" customWidth="1" outlineLevel="1"/>
    <col min="8" max="8" width="7.33203125" style="168" hidden="1" customWidth="1" outlineLevel="1"/>
    <col min="9" max="9" width="5.83203125" style="168" hidden="1" customWidth="1" outlineLevel="1"/>
    <col min="10" max="10" width="13.1640625" style="219" hidden="1" customWidth="1" outlineLevel="1"/>
    <col min="11" max="11" width="10.1640625" style="219" customWidth="1" collapsed="1"/>
    <col min="12" max="12" width="12.1640625" style="28" customWidth="1"/>
    <col min="13" max="13" width="16.33203125" style="28" hidden="1" customWidth="1" outlineLevel="1"/>
    <col min="14" max="14" width="15" style="28" hidden="1" customWidth="1" outlineLevel="1"/>
    <col min="15" max="15" width="16.33203125" style="28" hidden="1" customWidth="1" outlineLevel="1"/>
    <col min="16" max="16" width="6.33203125" style="28" hidden="1" customWidth="1" outlineLevel="1"/>
    <col min="17" max="17" width="5.33203125" style="168" customWidth="1" collapsed="1"/>
    <col min="18" max="18" width="21.83203125" style="28" customWidth="1" collapsed="1"/>
    <col min="19" max="19" width="6.5" style="168" customWidth="1" outlineLevel="1"/>
    <col min="20" max="20" width="6.6640625" style="168" customWidth="1" outlineLevel="1"/>
    <col min="21" max="21" width="19.1640625" style="28" customWidth="1" outlineLevel="1"/>
    <col min="22" max="22" width="36.33203125" style="28" customWidth="1"/>
    <col min="23" max="23" width="23.6640625" style="28" customWidth="1" outlineLevel="1"/>
    <col min="24" max="24" width="21.6640625" style="28" customWidth="1" outlineLevel="1"/>
    <col min="25" max="25" width="27.83203125" style="28" customWidth="1"/>
    <col min="26" max="26" width="14.6640625" style="220" customWidth="1"/>
    <col min="27" max="27" width="7.6640625" style="168" customWidth="1"/>
    <col min="28" max="28" width="8.6640625" style="168" customWidth="1"/>
    <col min="29" max="29" width="7.33203125" style="23" customWidth="1"/>
    <col min="30" max="30" width="13.1640625" style="221" customWidth="1"/>
    <col min="31" max="31" width="12.6640625" style="28" customWidth="1"/>
    <col min="32" max="32" width="32.5" style="23" hidden="1" customWidth="1" outlineLevel="1"/>
    <col min="33" max="33" width="22.6640625" style="23" hidden="1" customWidth="1" outlineLevel="1"/>
    <col min="34" max="34" width="9.5" style="23" hidden="1" customWidth="1" outlineLevel="1"/>
    <col min="35" max="35" width="13.6640625" style="168" hidden="1" customWidth="1" outlineLevel="1"/>
    <col min="36" max="36" width="23" style="168" customWidth="1" collapsed="1"/>
    <col min="37" max="37" width="13.83203125" style="23" customWidth="1"/>
    <col min="38" max="38" width="5.5" style="28" customWidth="1"/>
    <col min="39" max="39" width="6.33203125" style="28" customWidth="1"/>
    <col min="40" max="40" width="11.33203125" style="23" customWidth="1"/>
    <col min="41" max="41" width="6.6640625" style="28" customWidth="1"/>
    <col min="42" max="42" width="11.83203125" style="168" customWidth="1"/>
    <col min="43" max="43" width="15.1640625" style="23" customWidth="1"/>
    <col min="44" max="44" width="21" style="23" customWidth="1"/>
    <col min="45" max="45" width="9.5" style="168" customWidth="1"/>
    <col min="46" max="46" width="13.6640625" style="28" customWidth="1"/>
    <col min="47" max="47" width="13.83203125" style="28" customWidth="1"/>
    <col min="48" max="48" width="20.6640625" style="168" customWidth="1"/>
    <col min="49" max="49" width="8.6640625" style="23" customWidth="1"/>
    <col min="50" max="50" width="8.83203125" style="23"/>
    <col min="51" max="51" width="6.33203125" style="23" customWidth="1"/>
    <col min="52" max="52" width="107.33203125" style="23" customWidth="1"/>
    <col min="53" max="16384" width="8.83203125" style="23"/>
  </cols>
  <sheetData>
    <row r="1" spans="1:52" ht="46.75" customHeight="1">
      <c r="A1" s="23">
        <v>39973</v>
      </c>
      <c r="C1" s="170"/>
      <c r="J1" s="168"/>
      <c r="K1" s="168"/>
      <c r="W1" s="171"/>
      <c r="X1" s="172"/>
      <c r="Y1" s="56" t="s">
        <v>666</v>
      </c>
      <c r="Z1" s="55"/>
      <c r="AA1" s="55"/>
      <c r="AB1" s="55"/>
      <c r="AC1" s="105"/>
      <c r="AD1" s="105"/>
      <c r="AE1" s="228"/>
      <c r="AF1" s="173"/>
      <c r="AG1" s="173"/>
      <c r="AH1" s="374"/>
      <c r="AI1" s="374"/>
      <c r="AK1" s="23" t="s">
        <v>887</v>
      </c>
      <c r="AP1" s="174"/>
    </row>
    <row r="2" spans="1:52" ht="30">
      <c r="B2" s="9" t="s">
        <v>204</v>
      </c>
      <c r="C2" s="9"/>
      <c r="D2" s="9" t="s">
        <v>3</v>
      </c>
      <c r="E2" s="9" t="s">
        <v>4</v>
      </c>
      <c r="F2" s="9" t="s">
        <v>5</v>
      </c>
      <c r="G2" s="9" t="s">
        <v>0</v>
      </c>
      <c r="H2" s="9" t="s">
        <v>1</v>
      </c>
      <c r="I2" s="9" t="s">
        <v>2</v>
      </c>
      <c r="J2" s="9" t="s">
        <v>552</v>
      </c>
      <c r="K2" s="9" t="s">
        <v>292</v>
      </c>
      <c r="L2" s="9" t="s">
        <v>384</v>
      </c>
      <c r="M2" s="9" t="s">
        <v>414</v>
      </c>
      <c r="N2" s="175" t="s">
        <v>415</v>
      </c>
      <c r="O2" s="9" t="s">
        <v>487</v>
      </c>
      <c r="P2" s="20" t="s">
        <v>284</v>
      </c>
      <c r="Q2" s="20" t="s">
        <v>705</v>
      </c>
      <c r="R2" s="9" t="s">
        <v>399</v>
      </c>
      <c r="S2" s="9" t="s">
        <v>422</v>
      </c>
      <c r="T2" s="20" t="s">
        <v>704</v>
      </c>
      <c r="U2" s="9" t="s">
        <v>417</v>
      </c>
      <c r="V2" s="9" t="s">
        <v>421</v>
      </c>
      <c r="W2" s="20" t="s">
        <v>488</v>
      </c>
      <c r="X2" s="20" t="s">
        <v>489</v>
      </c>
      <c r="Y2" s="9" t="s">
        <v>281</v>
      </c>
      <c r="Z2" s="177" t="s">
        <v>593</v>
      </c>
      <c r="AA2" s="9" t="s">
        <v>282</v>
      </c>
      <c r="AB2" s="175" t="s">
        <v>708</v>
      </c>
      <c r="AC2" s="176" t="s">
        <v>227</v>
      </c>
      <c r="AD2" s="177" t="s">
        <v>685</v>
      </c>
      <c r="AE2" s="175" t="s">
        <v>655</v>
      </c>
      <c r="AF2" s="175" t="s">
        <v>691</v>
      </c>
      <c r="AG2" s="175" t="s">
        <v>736</v>
      </c>
      <c r="AH2" s="175"/>
      <c r="AI2" s="175"/>
      <c r="AJ2" s="178" t="s">
        <v>601</v>
      </c>
      <c r="AK2" s="175" t="s">
        <v>706</v>
      </c>
      <c r="AL2" s="20" t="s">
        <v>600</v>
      </c>
      <c r="AM2" s="20" t="s">
        <v>595</v>
      </c>
      <c r="AN2" s="175" t="s">
        <v>707</v>
      </c>
      <c r="AO2" s="9" t="s">
        <v>205</v>
      </c>
      <c r="AP2" s="175" t="s">
        <v>713</v>
      </c>
      <c r="AQ2" s="175" t="s">
        <v>714</v>
      </c>
      <c r="AR2" s="175" t="s">
        <v>757</v>
      </c>
      <c r="AS2" s="9"/>
      <c r="AT2" s="9"/>
      <c r="AU2" s="9"/>
      <c r="AV2" s="9"/>
    </row>
    <row r="3" spans="1:52" ht="24.5" customHeight="1">
      <c r="B3" s="10">
        <v>4</v>
      </c>
      <c r="C3" s="10">
        <v>1</v>
      </c>
      <c r="D3" s="2" t="s">
        <v>90</v>
      </c>
      <c r="E3" s="2" t="s">
        <v>93</v>
      </c>
      <c r="F3" s="2"/>
      <c r="G3" s="2" t="s">
        <v>91</v>
      </c>
      <c r="H3" s="2" t="s">
        <v>61</v>
      </c>
      <c r="I3" s="2"/>
      <c r="J3" s="9" t="s">
        <v>401</v>
      </c>
      <c r="K3" s="350" t="s">
        <v>591</v>
      </c>
      <c r="L3" s="399" t="s">
        <v>495</v>
      </c>
      <c r="M3" s="37" t="str" cm="1">
        <f t="array" ref="M3">ToPascal($J3,"","") &amp;"Contoller.ts"</f>
        <v>MemberContoller.ts</v>
      </c>
      <c r="N3" s="37" t="str" cm="1">
        <f t="array" ref="N3">ToCamel($J3,"","")</f>
        <v>member</v>
      </c>
      <c r="O3" s="37" t="str" cm="1">
        <f t="array" ref="O3">ToCamel($J3,"","") &amp;"Repo.ts"</f>
        <v>memberRepo.ts</v>
      </c>
      <c r="P3" s="27" t="s">
        <v>224</v>
      </c>
      <c r="Q3" s="25"/>
      <c r="R3" s="21" t="s">
        <v>303</v>
      </c>
      <c r="S3" s="25" t="s">
        <v>223</v>
      </c>
      <c r="T3" s="25"/>
      <c r="U3" s="27" t="s">
        <v>494</v>
      </c>
      <c r="V3" s="27" t="str" cm="1">
        <f t="array" ref="V3">S3&amp;IF(ISBLANK(S3),ToCamel($U3,"",""),ToPascal($U3,"",""))</f>
        <v>getUserDetail</v>
      </c>
      <c r="W3" s="27" t="str" cm="1">
        <f t="array" ref="W3">IF(AB3="post","I" &amp;ToPascal(V3,"","")&amp;"Req","")</f>
        <v/>
      </c>
      <c r="X3" s="27" t="str" cm="1">
        <f t="array" ref="X3">"I" &amp;ToPascal(V3,"","")&amp;"Res"</f>
        <v>IGetUserDetailRes</v>
      </c>
      <c r="Y3" s="21" t="s">
        <v>589</v>
      </c>
      <c r="Z3" s="144"/>
      <c r="AA3" s="2" t="s">
        <v>217</v>
      </c>
      <c r="AB3" s="2" t="s">
        <v>223</v>
      </c>
      <c r="AC3" s="109" t="s">
        <v>295</v>
      </c>
      <c r="AD3" s="106" t="s">
        <v>687</v>
      </c>
      <c r="AE3" s="157"/>
      <c r="AF3" s="383" t="s">
        <v>738</v>
      </c>
      <c r="AG3" s="14"/>
      <c r="AH3" s="179"/>
      <c r="AI3" s="179"/>
      <c r="AJ3" s="181" t="s">
        <v>42</v>
      </c>
      <c r="AK3" s="181"/>
      <c r="AL3" s="49" t="s">
        <v>596</v>
      </c>
      <c r="AM3" s="49" t="s">
        <v>863</v>
      </c>
      <c r="AN3" s="126" t="s">
        <v>596</v>
      </c>
      <c r="AO3" s="3" t="s">
        <v>25</v>
      </c>
      <c r="AP3" s="126"/>
      <c r="AQ3" s="126"/>
      <c r="AR3" s="126"/>
      <c r="AS3" s="10"/>
      <c r="AT3" s="13"/>
      <c r="AU3" s="13"/>
      <c r="AV3" s="183" t="s">
        <v>596</v>
      </c>
    </row>
    <row r="4" spans="1:52" ht="22.25" customHeight="1">
      <c r="B4" s="10">
        <v>4</v>
      </c>
      <c r="C4" s="10">
        <v>2</v>
      </c>
      <c r="D4" s="26"/>
      <c r="E4" s="26"/>
      <c r="F4" s="26"/>
      <c r="G4" s="26"/>
      <c r="H4" s="26"/>
      <c r="I4" s="26"/>
      <c r="J4" s="128" t="s">
        <v>401</v>
      </c>
      <c r="K4" s="344"/>
      <c r="L4" s="394"/>
      <c r="M4" s="38"/>
      <c r="N4" s="37" t="str" cm="1">
        <f t="array" ref="N4">ToCamel($J4,"","")</f>
        <v>member</v>
      </c>
      <c r="O4" s="38"/>
      <c r="P4" s="27" t="s">
        <v>230</v>
      </c>
      <c r="Q4" s="25" t="s">
        <v>491</v>
      </c>
      <c r="R4" s="102" t="s">
        <v>304</v>
      </c>
      <c r="S4" s="25" t="s">
        <v>223</v>
      </c>
      <c r="T4" s="25" t="s">
        <v>492</v>
      </c>
      <c r="U4" s="27" t="s">
        <v>493</v>
      </c>
      <c r="V4" s="27" t="str" cm="1">
        <f t="array" ref="V4">S4&amp;IF(ISBLANK(S4),ToCamel($U4,"",""),ToPascal($U4,"",""))</f>
        <v>getUsers</v>
      </c>
      <c r="W4" s="27" t="str" cm="1">
        <f t="array" ref="W4">IF(AB4="post","I" &amp;ToPascal(V4,"","")&amp;"Req","")</f>
        <v/>
      </c>
      <c r="X4" s="27" t="str" cm="1">
        <f t="array" ref="X4">"I" &amp;ToPascal(V4,"","")&amp;"Res"</f>
        <v>IGetUsersRes</v>
      </c>
      <c r="Y4" s="21" t="s">
        <v>514</v>
      </c>
      <c r="Z4" s="44"/>
      <c r="AA4" s="2" t="s">
        <v>217</v>
      </c>
      <c r="AB4" s="2" t="s">
        <v>223</v>
      </c>
      <c r="AC4" s="109" t="s">
        <v>295</v>
      </c>
      <c r="AD4" s="107"/>
      <c r="AE4" s="157"/>
      <c r="AF4" s="384"/>
      <c r="AG4" s="14"/>
      <c r="AH4" s="14"/>
      <c r="AI4" s="10"/>
      <c r="AJ4" s="181"/>
      <c r="AK4" s="181"/>
      <c r="AL4" s="10"/>
      <c r="AM4" s="65"/>
      <c r="AN4" s="126" t="s">
        <v>596</v>
      </c>
      <c r="AO4" s="3" t="s">
        <v>42</v>
      </c>
      <c r="AP4" s="126"/>
      <c r="AQ4" s="126"/>
      <c r="AR4" s="126"/>
      <c r="AS4" s="10"/>
      <c r="AT4" s="13" t="s">
        <v>31</v>
      </c>
      <c r="AU4" s="13" t="s">
        <v>38</v>
      </c>
      <c r="AV4" s="181"/>
    </row>
    <row r="5" spans="1:52" ht="24.5" customHeight="1">
      <c r="B5" s="10">
        <v>1</v>
      </c>
      <c r="C5" s="10">
        <v>3</v>
      </c>
      <c r="D5" s="2" t="s">
        <v>90</v>
      </c>
      <c r="E5" s="2" t="s">
        <v>26</v>
      </c>
      <c r="F5" s="2"/>
      <c r="G5" s="2" t="s">
        <v>35</v>
      </c>
      <c r="H5" s="2"/>
      <c r="I5" s="2"/>
      <c r="J5" s="128" t="s">
        <v>401</v>
      </c>
      <c r="K5" s="344"/>
      <c r="L5" s="394"/>
      <c r="M5" s="38"/>
      <c r="N5" s="37" t="str" cm="1">
        <f t="array" ref="N5">ToCamel($J5,"","")</f>
        <v>member</v>
      </c>
      <c r="O5" s="38"/>
      <c r="P5" s="27" t="s">
        <v>208</v>
      </c>
      <c r="Q5" s="25"/>
      <c r="R5" s="21" t="s">
        <v>307</v>
      </c>
      <c r="S5" s="25" t="s">
        <v>423</v>
      </c>
      <c r="T5" s="25"/>
      <c r="U5" s="27" t="s">
        <v>424</v>
      </c>
      <c r="V5" s="27" t="str" cm="1">
        <f t="array" ref="V5">S5&amp;IF(ISBLANK(S5),ToCamel($U5,"",""),ToPascal($U5,"",""))</f>
        <v>checkUserEmail</v>
      </c>
      <c r="W5" s="27" t="str" cm="1">
        <f t="array" ref="W5">IF(AB5="post","I" &amp;ToPascal(V5,"","")&amp;"Req","")</f>
        <v>ICheckUserEmailReq</v>
      </c>
      <c r="X5" s="27" t="str" cm="1">
        <f t="array" ref="X5">"I" &amp;ToPascal(V5,"","")&amp;"Res"</f>
        <v>ICheckUserEmailRes</v>
      </c>
      <c r="Y5" s="21" t="s">
        <v>231</v>
      </c>
      <c r="Z5" s="144" t="s">
        <v>573</v>
      </c>
      <c r="AA5" s="2" t="s">
        <v>217</v>
      </c>
      <c r="AB5" s="2" t="s">
        <v>222</v>
      </c>
      <c r="AC5" s="109" t="s">
        <v>42</v>
      </c>
      <c r="AD5" s="106" t="s">
        <v>602</v>
      </c>
      <c r="AE5" s="157"/>
      <c r="AF5" s="385"/>
      <c r="AG5" s="14"/>
      <c r="AH5" s="179"/>
      <c r="AI5" s="179"/>
      <c r="AJ5" s="181" t="s">
        <v>42</v>
      </c>
      <c r="AK5" s="181"/>
      <c r="AL5" s="49" t="s">
        <v>596</v>
      </c>
      <c r="AM5" s="49" t="s">
        <v>864</v>
      </c>
      <c r="AN5" s="126" t="s">
        <v>596</v>
      </c>
      <c r="AO5" s="3" t="s">
        <v>6</v>
      </c>
      <c r="AP5" s="126"/>
      <c r="AQ5" s="126"/>
      <c r="AR5" s="126"/>
      <c r="AS5" s="10"/>
      <c r="AT5" s="13"/>
      <c r="AU5" s="13"/>
      <c r="AV5" s="183" t="s">
        <v>596</v>
      </c>
    </row>
    <row r="6" spans="1:52" ht="24.5" customHeight="1">
      <c r="B6" s="10">
        <v>2</v>
      </c>
      <c r="C6" s="10">
        <v>4</v>
      </c>
      <c r="D6" s="2" t="s">
        <v>90</v>
      </c>
      <c r="E6" s="2" t="s">
        <v>26</v>
      </c>
      <c r="F6" s="2"/>
      <c r="G6" s="2" t="s">
        <v>33</v>
      </c>
      <c r="H6" s="2"/>
      <c r="I6" s="2"/>
      <c r="J6" s="128" t="s">
        <v>401</v>
      </c>
      <c r="K6" s="344"/>
      <c r="L6" s="394"/>
      <c r="M6" s="38"/>
      <c r="N6" s="37" t="str" cm="1">
        <f t="array" ref="N6">ToCamel($J6,"","")</f>
        <v>member</v>
      </c>
      <c r="O6" s="38"/>
      <c r="P6" s="27" t="s">
        <v>286</v>
      </c>
      <c r="Q6" s="25"/>
      <c r="R6" s="21" t="s">
        <v>305</v>
      </c>
      <c r="S6" s="25" t="s">
        <v>425</v>
      </c>
      <c r="T6" s="25"/>
      <c r="U6" s="27" t="s">
        <v>413</v>
      </c>
      <c r="V6" s="27" t="str" cm="1">
        <f t="array" ref="V6">S6&amp;IF(ISBLANK(S6),ToCamel($U6,"",""),ToPascal($U6,"",""))</f>
        <v>createUser</v>
      </c>
      <c r="W6" s="27" t="str" cm="1">
        <f t="array" ref="W6">IF(AB6="post","I" &amp;ToPascal(V6,"","")&amp;"Req","")</f>
        <v>ICreateUserReq</v>
      </c>
      <c r="X6" s="27" t="str" cm="1">
        <f t="array" ref="X6">"I" &amp;ToPascal(V6,"","")&amp;"Res"</f>
        <v>ICreateUserRes</v>
      </c>
      <c r="Y6" s="21" t="s">
        <v>232</v>
      </c>
      <c r="Z6" s="144" t="s">
        <v>597</v>
      </c>
      <c r="AA6" s="2" t="s">
        <v>287</v>
      </c>
      <c r="AB6" s="2" t="s">
        <v>222</v>
      </c>
      <c r="AC6" s="109" t="s">
        <v>42</v>
      </c>
      <c r="AD6" s="106" t="s">
        <v>594</v>
      </c>
      <c r="AE6" s="157"/>
      <c r="AF6" s="385"/>
      <c r="AG6" s="14"/>
      <c r="AH6" s="179"/>
      <c r="AI6" s="179"/>
      <c r="AJ6" s="181" t="s">
        <v>42</v>
      </c>
      <c r="AK6" s="181"/>
      <c r="AL6" s="49" t="s">
        <v>596</v>
      </c>
      <c r="AM6" s="49" t="s">
        <v>865</v>
      </c>
      <c r="AN6" s="126" t="s">
        <v>596</v>
      </c>
      <c r="AO6" s="3" t="s">
        <v>29</v>
      </c>
      <c r="AP6" s="126"/>
      <c r="AQ6" s="126" t="s">
        <v>742</v>
      </c>
      <c r="AR6" s="126"/>
      <c r="AS6" s="10"/>
      <c r="AT6" s="13"/>
      <c r="AU6" s="13"/>
      <c r="AV6" s="183" t="s">
        <v>596</v>
      </c>
      <c r="AW6" s="48"/>
      <c r="AZ6" s="24" t="s">
        <v>288</v>
      </c>
    </row>
    <row r="7" spans="1:52" ht="24.5" customHeight="1">
      <c r="B7" s="10">
        <v>4</v>
      </c>
      <c r="C7" s="10">
        <v>5</v>
      </c>
      <c r="D7" s="2" t="s">
        <v>90</v>
      </c>
      <c r="E7" s="2" t="s">
        <v>26</v>
      </c>
      <c r="F7" s="2"/>
      <c r="G7" s="2" t="s">
        <v>27</v>
      </c>
      <c r="H7" s="2"/>
      <c r="I7" s="2"/>
      <c r="J7" s="128" t="s">
        <v>401</v>
      </c>
      <c r="K7" s="344"/>
      <c r="L7" s="394"/>
      <c r="M7" s="142"/>
      <c r="N7" s="37" t="str" cm="1">
        <f t="array" ref="N7">ToCamel($J7,"","")</f>
        <v>member</v>
      </c>
      <c r="O7" s="142"/>
      <c r="P7" s="132" t="s">
        <v>226</v>
      </c>
      <c r="R7" s="21" t="s">
        <v>308</v>
      </c>
      <c r="S7" s="134" t="s">
        <v>223</v>
      </c>
      <c r="T7" s="134"/>
      <c r="U7" s="132" t="s">
        <v>426</v>
      </c>
      <c r="V7" s="132" t="str" cm="1">
        <f t="array" ref="V7">S7&amp;IF(ISBLANK(S7),ToCamel($U7,"",""),ToPascal($U7,"",""))</f>
        <v>getToken</v>
      </c>
      <c r="W7" s="132" t="str" cm="1">
        <f t="array" ref="W7">IF(AB7="post","I" &amp;ToPascal(V7,"","")&amp;"Req","")</f>
        <v>IGetTokenReq</v>
      </c>
      <c r="X7" s="132" t="str" cm="1">
        <f t="array" ref="X7">"I" &amp;ToPascal(V7,"","")&amp;"Res"</f>
        <v>IGetTokenRes</v>
      </c>
      <c r="Y7" s="132" t="s">
        <v>233</v>
      </c>
      <c r="Z7" s="149" t="s">
        <v>598</v>
      </c>
      <c r="AA7" s="134" t="s">
        <v>217</v>
      </c>
      <c r="AB7" s="134" t="s">
        <v>222</v>
      </c>
      <c r="AC7" s="109" t="s">
        <v>42</v>
      </c>
      <c r="AD7" s="46" t="s">
        <v>599</v>
      </c>
      <c r="AE7" s="157"/>
      <c r="AF7" s="385"/>
      <c r="AG7" s="14"/>
      <c r="AH7" s="179"/>
      <c r="AI7" s="179"/>
      <c r="AJ7" s="181" t="s">
        <v>42</v>
      </c>
      <c r="AK7" s="181"/>
      <c r="AL7" s="49" t="s">
        <v>596</v>
      </c>
      <c r="AM7" s="49" t="s">
        <v>866</v>
      </c>
      <c r="AN7" s="126" t="s">
        <v>596</v>
      </c>
      <c r="AO7" s="3" t="s">
        <v>25</v>
      </c>
      <c r="AP7" s="126"/>
      <c r="AQ7" s="126"/>
      <c r="AR7" s="126"/>
      <c r="AS7" s="10"/>
      <c r="AT7" s="13"/>
      <c r="AU7" s="13"/>
      <c r="AV7" s="183" t="s">
        <v>596</v>
      </c>
    </row>
    <row r="8" spans="1:52" ht="24.5" customHeight="1">
      <c r="B8" s="10" t="s">
        <v>289</v>
      </c>
      <c r="C8" s="10">
        <v>7</v>
      </c>
      <c r="D8" s="2" t="s">
        <v>90</v>
      </c>
      <c r="E8" s="2" t="s">
        <v>26</v>
      </c>
      <c r="F8" s="2"/>
      <c r="G8" s="2" t="s">
        <v>199</v>
      </c>
      <c r="H8" s="2"/>
      <c r="I8" s="2"/>
      <c r="J8" s="128" t="s">
        <v>401</v>
      </c>
      <c r="K8" s="344"/>
      <c r="L8" s="394"/>
      <c r="M8" s="38"/>
      <c r="N8" s="37" t="str" cm="1">
        <f t="array" ref="N8">ToCamel($J8,"","")</f>
        <v>member</v>
      </c>
      <c r="O8" s="38"/>
      <c r="P8" s="27" t="s">
        <v>290</v>
      </c>
      <c r="Q8" s="134" t="s">
        <v>709</v>
      </c>
      <c r="R8" s="21" t="s">
        <v>309</v>
      </c>
      <c r="S8" s="25"/>
      <c r="T8" s="25"/>
      <c r="U8" s="27" t="s">
        <v>418</v>
      </c>
      <c r="V8" s="27" t="str" cm="1">
        <f t="array" ref="V8">S8&amp;IF(ISBLANK(S8),ToCamel($U8,"",""),ToPascal($U8,"",""))</f>
        <v>logout</v>
      </c>
      <c r="W8" s="27" t="str" cm="1">
        <f t="array" ref="W8">IF(AB8="post","I" &amp;ToPascal(V8,"","")&amp;"Req","")</f>
        <v/>
      </c>
      <c r="X8" s="27" t="str" cm="1">
        <f t="array" ref="X8">"I" &amp;ToPascal(V8,"","")&amp;"Res"</f>
        <v>ILogoutRes</v>
      </c>
      <c r="Y8" s="21" t="s">
        <v>653</v>
      </c>
      <c r="Z8" s="44"/>
      <c r="AA8" s="2" t="s">
        <v>217</v>
      </c>
      <c r="AB8" s="2" t="s">
        <v>223</v>
      </c>
      <c r="AC8" s="109" t="s">
        <v>295</v>
      </c>
      <c r="AD8" s="107"/>
      <c r="AE8" s="157" t="s">
        <v>657</v>
      </c>
      <c r="AF8" s="385"/>
      <c r="AG8" s="14"/>
      <c r="AH8" s="179"/>
      <c r="AI8" s="179"/>
      <c r="AJ8" s="181" t="s">
        <v>42</v>
      </c>
      <c r="AK8" s="181"/>
      <c r="AL8" s="49" t="s">
        <v>596</v>
      </c>
      <c r="AM8" s="49" t="s">
        <v>867</v>
      </c>
      <c r="AN8" s="126" t="s">
        <v>596</v>
      </c>
      <c r="AO8" s="3" t="s">
        <v>42</v>
      </c>
      <c r="AP8" s="126"/>
      <c r="AQ8" s="126"/>
      <c r="AR8" s="126"/>
      <c r="AS8" s="10"/>
      <c r="AT8" s="13"/>
      <c r="AU8" s="13"/>
      <c r="AV8" s="183" t="s">
        <v>596</v>
      </c>
    </row>
    <row r="9" spans="1:52" ht="24.5" customHeight="1">
      <c r="B9" s="10">
        <v>5</v>
      </c>
      <c r="C9" s="10">
        <v>8</v>
      </c>
      <c r="D9" s="2" t="s">
        <v>90</v>
      </c>
      <c r="E9" s="2" t="s">
        <v>26</v>
      </c>
      <c r="F9" s="2"/>
      <c r="G9" s="2" t="s">
        <v>109</v>
      </c>
      <c r="H9" s="2" t="s">
        <v>110</v>
      </c>
      <c r="I9" s="2" t="s">
        <v>111</v>
      </c>
      <c r="J9" s="128" t="s">
        <v>401</v>
      </c>
      <c r="K9" s="344"/>
      <c r="L9" s="394"/>
      <c r="M9" s="142"/>
      <c r="N9" s="37" t="str" cm="1">
        <f t="array" ref="N9">ToCamel($J9,"","")</f>
        <v>member</v>
      </c>
      <c r="O9" s="142"/>
      <c r="P9" s="132" t="s">
        <v>213</v>
      </c>
      <c r="Q9" s="134"/>
      <c r="R9" s="21" t="s">
        <v>310</v>
      </c>
      <c r="S9" s="134" t="s">
        <v>427</v>
      </c>
      <c r="T9" s="134"/>
      <c r="U9" s="132" t="s">
        <v>429</v>
      </c>
      <c r="V9" s="132" t="str" cm="1">
        <f t="array" ref="V9">S9&amp;IF(ISBLANK(S9),ToCamel($U9,"",""),ToPascal($U9,"",""))</f>
        <v>requestPassword</v>
      </c>
      <c r="W9" s="132" t="str" cm="1">
        <f t="array" ref="W9">IF(AB9="post","I" &amp;ToPascal(V9,"","")&amp;"Req","")</f>
        <v>IRequestPasswordReq</v>
      </c>
      <c r="X9" s="132" t="str" cm="1">
        <f t="array" ref="X9">"I" &amp;ToPascal(V9,"","")&amp;"Res"</f>
        <v>IRequestPasswordRes</v>
      </c>
      <c r="Y9" s="132" t="s">
        <v>234</v>
      </c>
      <c r="Z9" s="137" t="s">
        <v>743</v>
      </c>
      <c r="AA9" s="134" t="s">
        <v>217</v>
      </c>
      <c r="AB9" s="134" t="s">
        <v>222</v>
      </c>
      <c r="AC9" s="109" t="s">
        <v>596</v>
      </c>
      <c r="AD9" s="108" t="s">
        <v>745</v>
      </c>
      <c r="AE9" s="157" t="s">
        <v>656</v>
      </c>
      <c r="AF9" s="385"/>
      <c r="AG9" s="14"/>
      <c r="AH9" s="179"/>
      <c r="AI9" s="179"/>
      <c r="AJ9" s="181" t="s">
        <v>42</v>
      </c>
      <c r="AK9" s="181"/>
      <c r="AL9" s="230" t="s">
        <v>596</v>
      </c>
      <c r="AM9" s="49" t="s">
        <v>868</v>
      </c>
      <c r="AN9" s="126" t="s">
        <v>596</v>
      </c>
      <c r="AO9" s="3" t="s">
        <v>36</v>
      </c>
      <c r="AP9" s="126"/>
      <c r="AQ9" s="126" t="s">
        <v>741</v>
      </c>
      <c r="AR9" s="126"/>
      <c r="AS9" s="10"/>
      <c r="AT9" s="13"/>
      <c r="AU9" s="13"/>
      <c r="AV9" s="183" t="s">
        <v>596</v>
      </c>
    </row>
    <row r="10" spans="1:52" ht="24.5" customHeight="1">
      <c r="B10" s="10">
        <v>6</v>
      </c>
      <c r="C10" s="10">
        <v>10</v>
      </c>
      <c r="D10" s="2" t="s">
        <v>90</v>
      </c>
      <c r="E10" s="2" t="s">
        <v>26</v>
      </c>
      <c r="F10" s="2"/>
      <c r="G10" s="2" t="s">
        <v>109</v>
      </c>
      <c r="H10" s="2" t="s">
        <v>110</v>
      </c>
      <c r="I10" s="2" t="s">
        <v>104</v>
      </c>
      <c r="J10" s="128" t="s">
        <v>401</v>
      </c>
      <c r="K10" s="344"/>
      <c r="L10" s="394"/>
      <c r="M10" s="142"/>
      <c r="N10" s="37" t="str" cm="1">
        <f t="array" ref="N10">ToCamel($J10,"","")</f>
        <v>member</v>
      </c>
      <c r="O10" s="142"/>
      <c r="P10" s="132" t="s">
        <v>214</v>
      </c>
      <c r="Q10" s="134"/>
      <c r="R10" s="21" t="s">
        <v>306</v>
      </c>
      <c r="S10" s="134" t="s">
        <v>490</v>
      </c>
      <c r="T10" s="134"/>
      <c r="U10" s="132" t="s">
        <v>430</v>
      </c>
      <c r="V10" s="132" t="str" cm="1">
        <f t="array" ref="V10">S10&amp;IF(ISBLANK(S10),ToCamel($U10,"",""),ToPascal($U10,"",""))</f>
        <v>updatePasswordForRequest</v>
      </c>
      <c r="W10" s="132" t="str" cm="1">
        <f t="array" ref="W10">IF(AB10="post","I" &amp;ToPascal(V10,"","")&amp;"Req","")</f>
        <v>IUpdatePasswordForRequestReq</v>
      </c>
      <c r="X10" s="132" t="str" cm="1">
        <f t="array" ref="X10">"I" &amp;ToPascal(V10,"","")&amp;"Res"</f>
        <v>IUpdatePasswordForRequestRes</v>
      </c>
      <c r="Y10" s="132" t="s">
        <v>654</v>
      </c>
      <c r="Z10" s="137" t="s">
        <v>588</v>
      </c>
      <c r="AA10" s="134" t="s">
        <v>219</v>
      </c>
      <c r="AB10" s="134" t="s">
        <v>222</v>
      </c>
      <c r="AC10" s="109" t="s">
        <v>295</v>
      </c>
      <c r="AD10" s="108" t="s">
        <v>745</v>
      </c>
      <c r="AE10" s="157" t="s">
        <v>656</v>
      </c>
      <c r="AF10" s="385"/>
      <c r="AG10" s="14"/>
      <c r="AH10" s="179"/>
      <c r="AI10" s="179"/>
      <c r="AJ10" s="181" t="s">
        <v>42</v>
      </c>
      <c r="AK10" s="181"/>
      <c r="AL10" s="49" t="s">
        <v>596</v>
      </c>
      <c r="AM10" s="49" t="s">
        <v>869</v>
      </c>
      <c r="AN10" s="126" t="s">
        <v>596</v>
      </c>
      <c r="AO10" s="3" t="s">
        <v>37</v>
      </c>
      <c r="AQ10" s="126"/>
      <c r="AR10" s="126"/>
      <c r="AS10" s="10"/>
      <c r="AT10" s="13"/>
      <c r="AU10" s="13"/>
      <c r="AV10" s="183" t="s">
        <v>596</v>
      </c>
    </row>
    <row r="11" spans="1:52" ht="24.5" customHeight="1">
      <c r="B11" s="10">
        <v>35</v>
      </c>
      <c r="C11" s="10">
        <v>12</v>
      </c>
      <c r="D11" s="2" t="s">
        <v>90</v>
      </c>
      <c r="E11" s="2" t="s">
        <v>93</v>
      </c>
      <c r="F11" s="2"/>
      <c r="G11" s="2" t="s">
        <v>92</v>
      </c>
      <c r="H11" s="2" t="s">
        <v>103</v>
      </c>
      <c r="I11" s="2" t="s">
        <v>104</v>
      </c>
      <c r="J11" s="128" t="s">
        <v>401</v>
      </c>
      <c r="K11" s="344"/>
      <c r="L11" s="394"/>
      <c r="M11" s="38"/>
      <c r="N11" s="37" t="str" cm="1">
        <f t="array" ref="N11">ToCamel($J11,"","")</f>
        <v>member</v>
      </c>
      <c r="O11" s="38"/>
      <c r="P11" s="27" t="s">
        <v>293</v>
      </c>
      <c r="Q11" s="25"/>
      <c r="R11" s="102" t="s">
        <v>603</v>
      </c>
      <c r="S11" s="25" t="s">
        <v>428</v>
      </c>
      <c r="T11" s="25"/>
      <c r="U11" s="27" t="s">
        <v>413</v>
      </c>
      <c r="V11" s="27" t="str" cm="1">
        <f t="array" ref="V11">S11&amp;IF(ISBLANK(S11),ToCamel($U11,"",""),ToPascal($U11,"",""))</f>
        <v>saveUser</v>
      </c>
      <c r="W11" s="27" t="str" cm="1">
        <f t="array" ref="W11">IF(AB11="post","I" &amp;ToPascal(V11,"","")&amp;"Req","")</f>
        <v>ISaveUserReq</v>
      </c>
      <c r="X11" s="27" t="str" cm="1">
        <f t="array" ref="X11">"I" &amp;ToPascal(V11,"","")&amp;"Res"</f>
        <v>ISaveUserRes</v>
      </c>
      <c r="Y11" s="21" t="s">
        <v>669</v>
      </c>
      <c r="Z11" s="144" t="s">
        <v>740</v>
      </c>
      <c r="AA11" s="2" t="s">
        <v>291</v>
      </c>
      <c r="AB11" s="2" t="s">
        <v>285</v>
      </c>
      <c r="AC11" s="109" t="s">
        <v>295</v>
      </c>
      <c r="AD11" s="46" t="s">
        <v>744</v>
      </c>
      <c r="AE11" s="157"/>
      <c r="AF11" s="385"/>
      <c r="AG11" s="229" t="s">
        <v>739</v>
      </c>
      <c r="AH11" s="179"/>
      <c r="AI11" s="179"/>
      <c r="AJ11" s="181"/>
      <c r="AK11" s="181"/>
      <c r="AL11" s="230" t="s">
        <v>596</v>
      </c>
      <c r="AM11" s="49" t="s">
        <v>870</v>
      </c>
      <c r="AN11" s="126" t="s">
        <v>596</v>
      </c>
      <c r="AO11" s="3" t="s">
        <v>94</v>
      </c>
      <c r="AP11" s="126"/>
      <c r="AQ11" s="126"/>
      <c r="AR11" s="126"/>
      <c r="AS11" s="10"/>
      <c r="AT11" s="13"/>
      <c r="AU11" s="13"/>
      <c r="AV11" s="181"/>
    </row>
    <row r="12" spans="1:52" ht="17" customHeight="1">
      <c r="B12" s="10">
        <v>36</v>
      </c>
      <c r="C12" s="10">
        <v>13</v>
      </c>
      <c r="D12" s="26"/>
      <c r="E12" s="26"/>
      <c r="F12" s="26"/>
      <c r="G12" s="26"/>
      <c r="H12" s="26"/>
      <c r="I12" s="26"/>
      <c r="J12" s="128" t="s">
        <v>401</v>
      </c>
      <c r="K12" s="344"/>
      <c r="L12" s="394"/>
      <c r="M12" s="38"/>
      <c r="N12" s="37" t="str" cm="1">
        <f t="array" ref="N12">ToCamel($J12,"","")</f>
        <v>member</v>
      </c>
      <c r="O12" s="38"/>
      <c r="P12" s="27" t="s">
        <v>294</v>
      </c>
      <c r="Q12" s="25" t="s">
        <v>491</v>
      </c>
      <c r="R12" s="27" t="s">
        <v>311</v>
      </c>
      <c r="S12" s="25"/>
      <c r="T12" s="25"/>
      <c r="U12" s="27" t="s">
        <v>311</v>
      </c>
      <c r="V12" s="27" t="str" cm="1">
        <f t="array" ref="V12">S12&amp;IF(ISBLANK(S12),ToCamel($U12,"",""),ToPascal($U12,"",""))</f>
        <v>?</v>
      </c>
      <c r="W12" s="27" t="str" cm="1">
        <f t="array" ref="W12">IF(AB12="post","I" &amp;ToPascal(V12,"","")&amp;"Req","")</f>
        <v>I?Req</v>
      </c>
      <c r="X12" s="27" t="str" cm="1">
        <f t="array" ref="X12">"I" &amp;ToPascal(V12,"","")&amp;"Res"</f>
        <v>I?Res</v>
      </c>
      <c r="Y12" s="21" t="s">
        <v>416</v>
      </c>
      <c r="Z12" s="2"/>
      <c r="AA12" s="2" t="s">
        <v>291</v>
      </c>
      <c r="AB12" s="2" t="s">
        <v>285</v>
      </c>
      <c r="AC12" s="109" t="s">
        <v>295</v>
      </c>
      <c r="AD12" s="109"/>
      <c r="AE12" s="157"/>
      <c r="AF12" s="384"/>
      <c r="AG12" s="14"/>
      <c r="AH12" s="14"/>
      <c r="AI12" s="10"/>
      <c r="AJ12" s="181"/>
      <c r="AK12" s="181"/>
      <c r="AL12" s="10"/>
      <c r="AM12" s="65"/>
      <c r="AN12" s="126" t="s">
        <v>596</v>
      </c>
      <c r="AO12" s="3" t="s">
        <v>94</v>
      </c>
      <c r="AP12" s="126"/>
      <c r="AQ12" s="126"/>
      <c r="AR12" s="126"/>
      <c r="AS12" s="10"/>
      <c r="AT12" s="13"/>
      <c r="AU12" s="13"/>
      <c r="AV12" s="181"/>
    </row>
    <row r="13" spans="1:52" ht="17" customHeight="1">
      <c r="B13" s="10">
        <v>38</v>
      </c>
      <c r="C13" s="10">
        <v>14</v>
      </c>
      <c r="D13" s="2" t="s">
        <v>90</v>
      </c>
      <c r="E13" s="2" t="s">
        <v>93</v>
      </c>
      <c r="F13" s="2" t="s">
        <v>120</v>
      </c>
      <c r="G13" s="2" t="s">
        <v>92</v>
      </c>
      <c r="H13" s="2" t="s">
        <v>108</v>
      </c>
      <c r="I13" s="2" t="s">
        <v>104</v>
      </c>
      <c r="J13" s="128" t="s">
        <v>401</v>
      </c>
      <c r="K13" s="344"/>
      <c r="L13" s="394"/>
      <c r="M13" s="38"/>
      <c r="N13" s="37" t="str" cm="1">
        <f t="array" ref="N13">ToCamel($J13,"","")</f>
        <v>member</v>
      </c>
      <c r="O13" s="38"/>
      <c r="P13" s="27"/>
      <c r="Q13" s="25" t="s">
        <v>491</v>
      </c>
      <c r="R13" s="27" t="s">
        <v>312</v>
      </c>
      <c r="S13" s="25" t="s">
        <v>428</v>
      </c>
      <c r="T13" s="25"/>
      <c r="U13" s="27" t="s">
        <v>424</v>
      </c>
      <c r="V13" s="27" t="str" cm="1">
        <f t="array" ref="V13">S13&amp;IF(ISBLANK(S13),ToCamel($U13,"",""),ToPascal($U13,"",""))</f>
        <v>saveUserEmail</v>
      </c>
      <c r="W13" s="27" t="str" cm="1">
        <f t="array" ref="W13">IF(AB13="post","I" &amp;ToPascal(V13,"","")&amp;"Req","")</f>
        <v>ISaveUserEmailReq</v>
      </c>
      <c r="X13" s="27" t="str" cm="1">
        <f t="array" ref="X13">"I" &amp;ToPascal(V13,"","")&amp;"Res"</f>
        <v>ISaveUserEmailRes</v>
      </c>
      <c r="Y13" s="21" t="s">
        <v>296</v>
      </c>
      <c r="Z13" s="2" t="s">
        <v>9</v>
      </c>
      <c r="AA13" s="2" t="s">
        <v>291</v>
      </c>
      <c r="AB13" s="2" t="s">
        <v>285</v>
      </c>
      <c r="AC13" s="109" t="s">
        <v>295</v>
      </c>
      <c r="AD13" s="109"/>
      <c r="AE13" s="157"/>
      <c r="AF13" s="384"/>
      <c r="AG13" s="14"/>
      <c r="AH13" s="14"/>
      <c r="AI13" s="10"/>
      <c r="AJ13" s="181"/>
      <c r="AK13" s="181"/>
      <c r="AL13" s="10"/>
      <c r="AM13" s="13"/>
      <c r="AN13" s="126" t="s">
        <v>596</v>
      </c>
      <c r="AO13" s="3" t="s">
        <v>107</v>
      </c>
      <c r="AP13" s="126"/>
      <c r="AQ13" s="126"/>
      <c r="AR13" s="126"/>
      <c r="AS13" s="10"/>
      <c r="AT13" s="13"/>
      <c r="AU13" s="13"/>
      <c r="AV13" s="181"/>
    </row>
    <row r="14" spans="1:52" ht="24.5" customHeight="1">
      <c r="B14" s="10">
        <v>39</v>
      </c>
      <c r="C14" s="10">
        <v>15</v>
      </c>
      <c r="D14" s="2" t="s">
        <v>90</v>
      </c>
      <c r="E14" s="2" t="s">
        <v>93</v>
      </c>
      <c r="F14" s="2" t="s">
        <v>120</v>
      </c>
      <c r="G14" s="2" t="s">
        <v>92</v>
      </c>
      <c r="H14" s="2" t="s">
        <v>109</v>
      </c>
      <c r="I14" s="2" t="s">
        <v>104</v>
      </c>
      <c r="J14" s="128" t="s">
        <v>401</v>
      </c>
      <c r="K14" s="344"/>
      <c r="L14" s="394"/>
      <c r="M14" s="38"/>
      <c r="N14" s="37" t="str" cm="1">
        <f t="array" ref="N14">ToCamel($J14,"","")</f>
        <v>member</v>
      </c>
      <c r="O14" s="38"/>
      <c r="P14" s="27"/>
      <c r="Q14" s="25"/>
      <c r="R14" s="21" t="s">
        <v>652</v>
      </c>
      <c r="S14" s="134" t="s">
        <v>490</v>
      </c>
      <c r="T14" s="25"/>
      <c r="U14" s="132" t="s">
        <v>615</v>
      </c>
      <c r="V14" s="27" t="str" cm="1">
        <f t="array" ref="V14">S14&amp;IF(ISBLANK(S14),ToCamel($U14,"",""),ToPascal($U14,"",""))</f>
        <v>updatePasswordConfirm</v>
      </c>
      <c r="W14" s="27" t="str" cm="1">
        <f t="array" ref="W14">IF(AB14="post","I" &amp;ToPascal(V14,"","")&amp;"Req","")</f>
        <v>IUpdatePasswordConfirmReq</v>
      </c>
      <c r="X14" s="27" t="str" cm="1">
        <f t="array" ref="X14">"I" &amp;ToPascal(V14,"","")&amp;"Res"</f>
        <v>IUpdatePasswordConfirmRes</v>
      </c>
      <c r="Y14" s="132" t="s">
        <v>636</v>
      </c>
      <c r="Z14" s="144" t="s">
        <v>836</v>
      </c>
      <c r="AA14" s="2" t="s">
        <v>291</v>
      </c>
      <c r="AB14" s="2" t="s">
        <v>285</v>
      </c>
      <c r="AC14" s="109" t="s">
        <v>596</v>
      </c>
      <c r="AD14" s="108" t="s">
        <v>799</v>
      </c>
      <c r="AE14" s="157"/>
      <c r="AF14" s="385"/>
      <c r="AG14" s="14"/>
      <c r="AH14" s="179"/>
      <c r="AI14" s="179"/>
      <c r="AJ14" s="181" t="s">
        <v>42</v>
      </c>
      <c r="AK14" s="181"/>
      <c r="AL14" s="49" t="s">
        <v>596</v>
      </c>
      <c r="AM14" s="49" t="s">
        <v>871</v>
      </c>
      <c r="AN14" s="126" t="s">
        <v>596</v>
      </c>
      <c r="AO14" s="252" t="s">
        <v>821</v>
      </c>
      <c r="AP14" s="126"/>
      <c r="AQ14" s="126"/>
      <c r="AR14" s="126"/>
      <c r="AS14" s="10"/>
      <c r="AT14" s="13"/>
      <c r="AU14" s="13"/>
      <c r="AV14" s="183" t="s">
        <v>596</v>
      </c>
    </row>
    <row r="15" spans="1:52" ht="16.75" customHeight="1">
      <c r="B15" s="10">
        <v>40</v>
      </c>
      <c r="C15" s="61">
        <v>16</v>
      </c>
      <c r="D15" s="134" t="s">
        <v>90</v>
      </c>
      <c r="E15" s="2" t="s">
        <v>93</v>
      </c>
      <c r="F15" s="2" t="s">
        <v>120</v>
      </c>
      <c r="G15" s="2" t="s">
        <v>92</v>
      </c>
      <c r="H15" s="2" t="s">
        <v>113</v>
      </c>
      <c r="I15" s="2" t="s">
        <v>104</v>
      </c>
      <c r="J15" s="128" t="s">
        <v>401</v>
      </c>
      <c r="K15" s="344"/>
      <c r="L15" s="394"/>
      <c r="M15" s="38"/>
      <c r="N15" s="37" t="str" cm="1">
        <f t="array" ref="N15">ToCamel($J15,"","")</f>
        <v>member</v>
      </c>
      <c r="O15" s="38"/>
      <c r="P15" s="50"/>
      <c r="Q15" s="43" t="s">
        <v>491</v>
      </c>
      <c r="R15" s="158" t="s">
        <v>313</v>
      </c>
      <c r="S15" s="43" t="s">
        <v>428</v>
      </c>
      <c r="T15" s="25"/>
      <c r="U15" s="27" t="s">
        <v>431</v>
      </c>
      <c r="V15" s="27" t="str" cm="1">
        <f t="array" ref="V15">S15&amp;IF(ISBLANK(S15),ToCamel($U15,"",""),ToPascal($U15,"",""))</f>
        <v>saveCellPhone</v>
      </c>
      <c r="W15" s="27" t="str" cm="1">
        <f t="array" ref="W15">IF(AB15="post","I" &amp;ToPascal(V15,"","")&amp;"Req","")</f>
        <v>ISaveCellPhoneReq</v>
      </c>
      <c r="X15" s="27" t="str" cm="1">
        <f t="array" ref="X15">"I" &amp;ToPascal(V15,"","")&amp;"Res"</f>
        <v>ISaveCellPhoneRes</v>
      </c>
      <c r="Y15" s="132" t="s">
        <v>297</v>
      </c>
      <c r="Z15" s="134" t="s">
        <v>419</v>
      </c>
      <c r="AA15" s="134" t="s">
        <v>291</v>
      </c>
      <c r="AB15" s="134" t="s">
        <v>285</v>
      </c>
      <c r="AC15" s="109" t="s">
        <v>295</v>
      </c>
      <c r="AD15" s="130"/>
      <c r="AE15" s="157"/>
      <c r="AF15" s="384"/>
      <c r="AG15" s="14"/>
      <c r="AH15" s="14"/>
      <c r="AI15" s="10"/>
      <c r="AJ15" s="181"/>
      <c r="AK15" s="181"/>
      <c r="AL15" s="61"/>
      <c r="AM15" s="71"/>
      <c r="AN15" s="126" t="s">
        <v>596</v>
      </c>
      <c r="AO15" s="51" t="s">
        <v>107</v>
      </c>
      <c r="AP15" s="126"/>
      <c r="AQ15" s="126"/>
      <c r="AR15" s="126"/>
      <c r="AS15" s="61"/>
      <c r="AT15" s="62"/>
      <c r="AU15" s="62"/>
      <c r="AV15" s="184"/>
    </row>
    <row r="16" spans="1:52" s="185" customFormat="1" ht="24.5" customHeight="1" thickBot="1">
      <c r="B16" s="10">
        <v>35</v>
      </c>
      <c r="C16" s="66">
        <v>12</v>
      </c>
      <c r="D16" s="155" t="s">
        <v>90</v>
      </c>
      <c r="E16" s="2" t="s">
        <v>93</v>
      </c>
      <c r="F16" s="2"/>
      <c r="G16" s="2" t="s">
        <v>92</v>
      </c>
      <c r="H16" s="2" t="s">
        <v>103</v>
      </c>
      <c r="I16" s="2" t="s">
        <v>104</v>
      </c>
      <c r="J16" s="186" t="s">
        <v>401</v>
      </c>
      <c r="K16" s="352"/>
      <c r="L16" s="400"/>
      <c r="M16" s="89"/>
      <c r="N16" s="89" t="str" cm="1">
        <f t="array" ref="N16">ToCamel($J16,"","")</f>
        <v>member</v>
      </c>
      <c r="O16" s="89"/>
      <c r="P16" s="90"/>
      <c r="Q16" s="104"/>
      <c r="R16" s="103" t="s">
        <v>771</v>
      </c>
      <c r="S16" s="104" t="s">
        <v>428</v>
      </c>
      <c r="T16" s="25"/>
      <c r="U16" s="27" t="s">
        <v>436</v>
      </c>
      <c r="V16" s="27" t="str" cm="1">
        <f t="array" ref="V16">S16&amp;IF(ISBLANK(S16),ToCamel($U16,"",""),ToPascal($U16,"",""))</f>
        <v>saveUserProfile</v>
      </c>
      <c r="W16" s="132" t="str" cm="1">
        <f t="array" ref="W16">IF(AB16="post","I" &amp;ToPascal(V16,"","")&amp;"Req","")</f>
        <v>ISaveUserProfileReq</v>
      </c>
      <c r="X16" s="27" t="str" cm="1">
        <f t="array" ref="X16">"I" &amp;ToPascal(V16,"","")&amp;"Res"</f>
        <v>ISaveUserProfileRes</v>
      </c>
      <c r="Y16" s="103" t="s">
        <v>777</v>
      </c>
      <c r="Z16" s="156" t="s">
        <v>768</v>
      </c>
      <c r="AA16" s="155" t="s">
        <v>291</v>
      </c>
      <c r="AB16" s="155" t="s">
        <v>285</v>
      </c>
      <c r="AC16" s="109" t="s">
        <v>295</v>
      </c>
      <c r="AD16" s="106" t="s">
        <v>767</v>
      </c>
      <c r="AE16" s="44" t="s">
        <v>768</v>
      </c>
      <c r="AF16" s="385"/>
      <c r="AG16" s="14"/>
      <c r="AH16" s="179"/>
      <c r="AI16" s="179"/>
      <c r="AJ16" s="181" t="s">
        <v>42</v>
      </c>
      <c r="AK16" s="181"/>
      <c r="AL16" s="88" t="s">
        <v>596</v>
      </c>
      <c r="AM16" s="49" t="s">
        <v>872</v>
      </c>
      <c r="AN16" s="126" t="s">
        <v>596</v>
      </c>
      <c r="AO16" s="52" t="s">
        <v>94</v>
      </c>
      <c r="AP16" s="223"/>
      <c r="AQ16" s="223" t="s">
        <v>770</v>
      </c>
      <c r="AR16" s="126"/>
      <c r="AS16" s="66"/>
      <c r="AT16" s="67"/>
      <c r="AU16" s="67"/>
      <c r="AV16" s="188" t="s">
        <v>596</v>
      </c>
    </row>
    <row r="17" spans="1:16383" ht="24.5" customHeight="1" thickTop="1">
      <c r="B17" s="10">
        <v>61</v>
      </c>
      <c r="C17" s="63">
        <v>108</v>
      </c>
      <c r="D17" s="135" t="s">
        <v>90</v>
      </c>
      <c r="E17" s="2" t="s">
        <v>137</v>
      </c>
      <c r="F17" s="2"/>
      <c r="G17" s="2" t="s">
        <v>140</v>
      </c>
      <c r="H17" s="2"/>
      <c r="I17" s="2"/>
      <c r="J17" s="127" t="s">
        <v>402</v>
      </c>
      <c r="K17" s="344" t="s">
        <v>396</v>
      </c>
      <c r="L17" s="362" t="s">
        <v>538</v>
      </c>
      <c r="M17" s="38" t="str" cm="1">
        <f t="array" ref="M17">ToPascal($J17,"","") &amp;"Contoller.ts"</f>
        <v>MailContoller.ts</v>
      </c>
      <c r="N17" s="38" t="str" cm="1">
        <f t="array" ref="N17">ToCamel($J17,"","")</f>
        <v>mail</v>
      </c>
      <c r="O17" s="38" t="str" cm="1">
        <f t="array" ref="O17">ToCamel($J17,"","") &amp;"Repo.ts"</f>
        <v>mailRepo.ts</v>
      </c>
      <c r="P17" s="133"/>
      <c r="Q17" s="136"/>
      <c r="R17" s="357" t="s">
        <v>394</v>
      </c>
      <c r="S17" s="369" t="s">
        <v>441</v>
      </c>
      <c r="T17" s="367"/>
      <c r="U17" s="356" t="s">
        <v>442</v>
      </c>
      <c r="V17" s="356" t="str" cm="1">
        <f t="array" ref="V17">S17&amp;IF(ISBLANK(S17),ToCamel($U17,"",""),ToPascal($U17,"",""))</f>
        <v>sendMailForUserCreate</v>
      </c>
      <c r="W17" s="356" t="str" cm="1">
        <f t="array" ref="W17">IF(AB17="post","I" &amp;ToPascal(V17,"","")&amp;"Req","")</f>
        <v>ISendMailForUserCreateReq</v>
      </c>
      <c r="X17" s="356" t="str" cm="1">
        <f t="array" ref="X17">"I" &amp;ToPascal(V17,"","")&amp;"Res"</f>
        <v>ISendMailForUserCreateRes</v>
      </c>
      <c r="Y17" s="371" t="s">
        <v>496</v>
      </c>
      <c r="Z17" s="362"/>
      <c r="AA17" s="369" t="s">
        <v>291</v>
      </c>
      <c r="AB17" s="369" t="s">
        <v>285</v>
      </c>
      <c r="AC17" s="381" t="s">
        <v>295</v>
      </c>
      <c r="AD17" s="111"/>
      <c r="AE17" s="36"/>
      <c r="AF17" s="64"/>
      <c r="AG17" s="64"/>
      <c r="AH17" s="64"/>
      <c r="AI17" s="63"/>
      <c r="AJ17" s="189" t="s">
        <v>42</v>
      </c>
      <c r="AK17" s="190"/>
      <c r="AL17" s="64" t="s">
        <v>596</v>
      </c>
      <c r="AM17" s="58" t="s">
        <v>596</v>
      </c>
      <c r="AN17" s="126" t="s">
        <v>596</v>
      </c>
      <c r="AO17" s="153" t="s">
        <v>138</v>
      </c>
      <c r="AP17" s="126"/>
      <c r="AQ17" s="126"/>
      <c r="AR17" s="126"/>
      <c r="AS17" s="63"/>
      <c r="AT17" s="65"/>
      <c r="AU17" s="65"/>
      <c r="AV17" s="191" t="s">
        <v>596</v>
      </c>
      <c r="AW17" s="271" t="s">
        <v>820</v>
      </c>
    </row>
    <row r="18" spans="1:16383" ht="24.5" customHeight="1">
      <c r="B18" s="10">
        <v>63</v>
      </c>
      <c r="C18" s="10">
        <v>110</v>
      </c>
      <c r="D18" s="2" t="s">
        <v>141</v>
      </c>
      <c r="E18" s="2" t="s">
        <v>137</v>
      </c>
      <c r="F18" s="2"/>
      <c r="G18" s="2" t="s">
        <v>140</v>
      </c>
      <c r="H18" s="2"/>
      <c r="I18" s="2"/>
      <c r="J18" s="128" t="s">
        <v>402</v>
      </c>
      <c r="K18" s="344"/>
      <c r="L18" s="362"/>
      <c r="M18" s="21"/>
      <c r="N18" s="37" t="str" cm="1">
        <f t="array" ref="N18">ToCamel($J18,"","")</f>
        <v>mail</v>
      </c>
      <c r="O18" s="21"/>
      <c r="P18" s="21"/>
      <c r="Q18" s="135"/>
      <c r="R18" s="408"/>
      <c r="S18" s="368"/>
      <c r="T18" s="368"/>
      <c r="U18" s="357"/>
      <c r="V18" s="357"/>
      <c r="W18" s="357"/>
      <c r="X18" s="357"/>
      <c r="Y18" s="357"/>
      <c r="Z18" s="361"/>
      <c r="AA18" s="368"/>
      <c r="AB18" s="368"/>
      <c r="AC18" s="382"/>
      <c r="AD18" s="107"/>
      <c r="AE18" s="157"/>
      <c r="AF18" s="14"/>
      <c r="AG18" s="14"/>
      <c r="AH18" s="14"/>
      <c r="AI18" s="10"/>
      <c r="AJ18" s="180" t="s">
        <v>42</v>
      </c>
      <c r="AK18" s="181"/>
      <c r="AL18" s="14" t="s">
        <v>596</v>
      </c>
      <c r="AM18" s="58" t="s">
        <v>596</v>
      </c>
      <c r="AN18" s="126" t="s">
        <v>596</v>
      </c>
      <c r="AO18" s="3" t="s">
        <v>138</v>
      </c>
      <c r="AP18" s="126"/>
      <c r="AQ18" s="126"/>
      <c r="AR18" s="126"/>
      <c r="AS18" s="10"/>
      <c r="AT18" s="13"/>
      <c r="AU18" s="13"/>
      <c r="AV18" s="183" t="s">
        <v>596</v>
      </c>
    </row>
    <row r="19" spans="1:16383" ht="24.5" customHeight="1">
      <c r="B19" s="10">
        <v>62</v>
      </c>
      <c r="C19" s="61">
        <v>109</v>
      </c>
      <c r="D19" s="134" t="s">
        <v>90</v>
      </c>
      <c r="E19" s="2" t="s">
        <v>137</v>
      </c>
      <c r="F19" s="2"/>
      <c r="G19" s="2" t="s">
        <v>34</v>
      </c>
      <c r="H19" s="2"/>
      <c r="I19" s="2"/>
      <c r="J19" s="128" t="s">
        <v>402</v>
      </c>
      <c r="K19" s="344"/>
      <c r="L19" s="362"/>
      <c r="M19" s="21"/>
      <c r="N19" s="37" t="str" cm="1">
        <f t="array" ref="N19">ToCamel($J19,"","")</f>
        <v>mail</v>
      </c>
      <c r="O19" s="21"/>
      <c r="P19" s="21"/>
      <c r="Q19" s="134"/>
      <c r="R19" s="356" t="s">
        <v>395</v>
      </c>
      <c r="S19" s="367" t="s">
        <v>441</v>
      </c>
      <c r="T19" s="367"/>
      <c r="U19" s="356" t="s">
        <v>443</v>
      </c>
      <c r="V19" s="356" t="str" cm="1">
        <f t="array" ref="V19">S19&amp;IF(ISBLANK(S19),ToCamel($U19,"",""),ToPascal($U19,"",""))</f>
        <v>sendMailForRestPassword</v>
      </c>
      <c r="W19" s="356" t="str" cm="1">
        <f t="array" ref="W19">IF(AB19="post","I" &amp;ToPascal(V19,"","")&amp;"Req","")</f>
        <v>ISendMailForRestPasswordReq</v>
      </c>
      <c r="X19" s="356" t="str" cm="1">
        <f t="array" ref="X19">"I" &amp;ToPascal(V19,"","")&amp;"Res"</f>
        <v>ISendMailForRestPasswordRes</v>
      </c>
      <c r="Y19" s="356" t="s">
        <v>497</v>
      </c>
      <c r="Z19" s="360"/>
      <c r="AA19" s="367" t="s">
        <v>291</v>
      </c>
      <c r="AB19" s="367" t="s">
        <v>285</v>
      </c>
      <c r="AC19" s="382" t="s">
        <v>295</v>
      </c>
      <c r="AD19" s="108"/>
      <c r="AE19" s="159"/>
      <c r="AF19" s="14"/>
      <c r="AG19" s="14"/>
      <c r="AH19" s="14"/>
      <c r="AI19" s="10"/>
      <c r="AJ19" s="192" t="s">
        <v>42</v>
      </c>
      <c r="AK19" s="184"/>
      <c r="AL19" s="91" t="s">
        <v>596</v>
      </c>
      <c r="AM19" s="58" t="s">
        <v>596</v>
      </c>
      <c r="AN19" s="126" t="s">
        <v>596</v>
      </c>
      <c r="AO19" s="51" t="s">
        <v>139</v>
      </c>
      <c r="AP19" s="126"/>
      <c r="AQ19" s="126"/>
      <c r="AR19" s="126"/>
      <c r="AS19" s="61"/>
      <c r="AT19" s="62"/>
      <c r="AU19" s="62"/>
      <c r="AV19" s="193" t="s">
        <v>596</v>
      </c>
    </row>
    <row r="20" spans="1:16383" s="185" customFormat="1" ht="24.5" customHeight="1" thickBot="1">
      <c r="B20" s="10">
        <v>64</v>
      </c>
      <c r="C20" s="66">
        <v>111</v>
      </c>
      <c r="D20" s="155" t="s">
        <v>141</v>
      </c>
      <c r="E20" s="2" t="s">
        <v>137</v>
      </c>
      <c r="F20" s="2"/>
      <c r="G20" s="2" t="s">
        <v>34</v>
      </c>
      <c r="H20" s="2"/>
      <c r="I20" s="2"/>
      <c r="J20" s="186" t="s">
        <v>402</v>
      </c>
      <c r="K20" s="352"/>
      <c r="L20" s="370"/>
      <c r="M20" s="21"/>
      <c r="N20" s="37" t="str" cm="1">
        <f t="array" ref="N20">ToCamel($J20,"","")</f>
        <v>mail</v>
      </c>
      <c r="O20" s="21"/>
      <c r="P20" s="21"/>
      <c r="Q20" s="155"/>
      <c r="R20" s="386"/>
      <c r="S20" s="387"/>
      <c r="T20" s="368"/>
      <c r="U20" s="357"/>
      <c r="V20" s="357"/>
      <c r="W20" s="357"/>
      <c r="X20" s="357"/>
      <c r="Y20" s="386"/>
      <c r="Z20" s="370"/>
      <c r="AA20" s="387"/>
      <c r="AB20" s="387"/>
      <c r="AC20" s="382"/>
      <c r="AD20" s="110"/>
      <c r="AE20" s="160"/>
      <c r="AF20" s="14"/>
      <c r="AG20" s="14"/>
      <c r="AH20" s="14"/>
      <c r="AI20" s="14"/>
      <c r="AJ20" s="187" t="s">
        <v>42</v>
      </c>
      <c r="AK20" s="182"/>
      <c r="AL20" s="92" t="s">
        <v>596</v>
      </c>
      <c r="AM20" s="58" t="s">
        <v>596</v>
      </c>
      <c r="AN20" s="126" t="s">
        <v>596</v>
      </c>
      <c r="AO20" s="52" t="s">
        <v>139</v>
      </c>
      <c r="AP20" s="126"/>
      <c r="AQ20" s="126"/>
      <c r="AR20" s="126"/>
      <c r="AS20" s="66"/>
      <c r="AT20" s="67"/>
      <c r="AU20" s="67"/>
      <c r="AV20" s="188" t="s">
        <v>596</v>
      </c>
    </row>
    <row r="21" spans="1:16383" ht="24.5" customHeight="1" thickTop="1" thickBot="1">
      <c r="B21" s="10">
        <v>15</v>
      </c>
      <c r="C21" s="63">
        <v>21</v>
      </c>
      <c r="D21" s="135" t="s">
        <v>90</v>
      </c>
      <c r="E21" s="2" t="s">
        <v>49</v>
      </c>
      <c r="F21" s="2"/>
      <c r="G21" s="2" t="s">
        <v>106</v>
      </c>
      <c r="H21" s="2"/>
      <c r="I21" s="2"/>
      <c r="J21" s="127" t="s">
        <v>406</v>
      </c>
      <c r="K21" s="344" t="s">
        <v>315</v>
      </c>
      <c r="L21" s="354" t="s">
        <v>530</v>
      </c>
      <c r="M21" s="37" t="str" cm="1">
        <f t="array" ref="M21">ToPascal($J21,"","") &amp;"Contoller.ts"</f>
        <v>DocumentContoller.ts</v>
      </c>
      <c r="N21" s="37" t="str" cm="1">
        <f t="array" ref="N21">ToCamel($J21,"","")</f>
        <v>document</v>
      </c>
      <c r="O21" s="37" t="str" cm="1">
        <f t="array" ref="O21">ToCamel($J21,"","") &amp;"Repo.ts"</f>
        <v>documentRepo.ts</v>
      </c>
      <c r="P21" s="130" t="s">
        <v>237</v>
      </c>
      <c r="Q21" s="135"/>
      <c r="R21" s="133" t="s">
        <v>314</v>
      </c>
      <c r="S21" s="136" t="s">
        <v>223</v>
      </c>
      <c r="T21" s="134" t="s">
        <v>492</v>
      </c>
      <c r="U21" s="132" t="s">
        <v>444</v>
      </c>
      <c r="V21" s="132" t="str" cm="1">
        <f t="array" ref="V21">S21&amp;IF(ISBLANK(S21),ToCamel($U21,"",""),ToPascal($U21,"",""))</f>
        <v>getDocuments</v>
      </c>
      <c r="W21" s="356" t="str" cm="1">
        <f t="array" ref="W21">IF(AB21="post","I" &amp;ToPascal(V21,"","")&amp;"Req","")</f>
        <v/>
      </c>
      <c r="X21" s="132" t="str" cm="1">
        <f t="array" ref="X21">"I" &amp;ToPascal(V21,"","")&amp;"Res"</f>
        <v>IGetDocumentsRes</v>
      </c>
      <c r="Y21" s="194" t="s">
        <v>578</v>
      </c>
      <c r="Z21" s="53"/>
      <c r="AA21" s="136" t="s">
        <v>283</v>
      </c>
      <c r="AB21" s="136" t="s">
        <v>301</v>
      </c>
      <c r="AC21" s="109" t="s">
        <v>295</v>
      </c>
      <c r="AD21" s="47" t="s">
        <v>734</v>
      </c>
      <c r="AE21" s="36"/>
      <c r="AF21" s="348" t="s">
        <v>749</v>
      </c>
      <c r="AG21" s="14"/>
      <c r="AH21" s="14"/>
      <c r="AI21" s="10"/>
      <c r="AJ21" s="180" t="s">
        <v>42</v>
      </c>
      <c r="AK21" s="200"/>
      <c r="AL21" s="99" t="s">
        <v>596</v>
      </c>
      <c r="AM21" s="58" t="s">
        <v>596</v>
      </c>
      <c r="AN21" s="126" t="s">
        <v>596</v>
      </c>
      <c r="AO21" s="153" t="s">
        <v>54</v>
      </c>
      <c r="AP21" s="126"/>
      <c r="AQ21" s="126"/>
      <c r="AR21" s="126"/>
      <c r="AS21" s="63"/>
      <c r="AT21" s="65"/>
      <c r="AU21" s="65"/>
      <c r="AV21" s="191" t="s">
        <v>596</v>
      </c>
    </row>
    <row r="22" spans="1:16383" ht="24.5" customHeight="1" thickTop="1" thickBot="1">
      <c r="B22" s="10">
        <v>47</v>
      </c>
      <c r="C22" s="10">
        <v>22</v>
      </c>
      <c r="D22" s="2" t="s">
        <v>90</v>
      </c>
      <c r="E22" s="2" t="s">
        <v>93</v>
      </c>
      <c r="F22" s="2" t="s">
        <v>95</v>
      </c>
      <c r="G22" s="2" t="s">
        <v>121</v>
      </c>
      <c r="H22" s="2"/>
      <c r="I22" s="2"/>
      <c r="J22" s="128" t="s">
        <v>406</v>
      </c>
      <c r="K22" s="344"/>
      <c r="L22" s="354"/>
      <c r="M22" s="150"/>
      <c r="N22" s="37" t="str" cm="1">
        <f t="array" ref="N22">ToCamel($J22,"","")</f>
        <v>document</v>
      </c>
      <c r="O22" s="150"/>
      <c r="P22" s="130" t="s">
        <v>581</v>
      </c>
      <c r="Q22" s="2"/>
      <c r="R22" s="21" t="s">
        <v>579</v>
      </c>
      <c r="S22" s="134" t="s">
        <v>223</v>
      </c>
      <c r="T22" s="134" t="s">
        <v>492</v>
      </c>
      <c r="U22" s="132" t="s">
        <v>580</v>
      </c>
      <c r="V22" s="132" t="str" cm="1">
        <f t="array" ref="V22">S22&amp;IF(ISBLANK(S22),ToCamel($U22,"",""),ToPascal($U22,"",""))</f>
        <v>getDocumentsForApply</v>
      </c>
      <c r="W22" s="357"/>
      <c r="X22" s="132" t="str" cm="1">
        <f t="array" ref="X22">"I" &amp;ToPascal(V22,"","")&amp;"Res"</f>
        <v>IGetDocumentsForApplyRes</v>
      </c>
      <c r="Y22" s="131" t="s">
        <v>577</v>
      </c>
      <c r="Z22" s="47"/>
      <c r="AA22" s="134" t="s">
        <v>283</v>
      </c>
      <c r="AB22" s="134" t="s">
        <v>301</v>
      </c>
      <c r="AC22" s="109" t="s">
        <v>295</v>
      </c>
      <c r="AD22" s="47" t="s">
        <v>734</v>
      </c>
      <c r="AE22" s="157"/>
      <c r="AF22" s="346"/>
      <c r="AG22" s="14"/>
      <c r="AH22" s="14"/>
      <c r="AI22" s="10"/>
      <c r="AJ22" s="180" t="s">
        <v>42</v>
      </c>
      <c r="AK22" s="200"/>
      <c r="AL22" s="49" t="s">
        <v>596</v>
      </c>
      <c r="AM22" s="58" t="s">
        <v>596</v>
      </c>
      <c r="AN22" s="126" t="s">
        <v>596</v>
      </c>
      <c r="AO22" s="3" t="s">
        <v>117</v>
      </c>
      <c r="AP22" s="126"/>
      <c r="AQ22" s="126"/>
      <c r="AR22" s="126"/>
      <c r="AS22" s="10"/>
      <c r="AT22" s="13"/>
      <c r="AU22" s="13"/>
      <c r="AV22" s="183" t="s">
        <v>596</v>
      </c>
    </row>
    <row r="23" spans="1:16383" ht="24.5" customHeight="1" thickTop="1" thickBot="1">
      <c r="B23" s="10">
        <v>36</v>
      </c>
      <c r="C23" s="10">
        <v>23</v>
      </c>
      <c r="D23" s="2" t="s">
        <v>90</v>
      </c>
      <c r="E23" s="2" t="s">
        <v>93</v>
      </c>
      <c r="F23" s="2"/>
      <c r="G23" s="2" t="s">
        <v>92</v>
      </c>
      <c r="H23" s="2" t="s">
        <v>60</v>
      </c>
      <c r="I23" s="2" t="s">
        <v>73</v>
      </c>
      <c r="J23" s="128" t="s">
        <v>406</v>
      </c>
      <c r="K23" s="344"/>
      <c r="L23" s="354"/>
      <c r="M23" s="39"/>
      <c r="N23" s="37" t="str" cm="1">
        <f t="array" ref="N23">ToCamel($J23,"","")</f>
        <v>document</v>
      </c>
      <c r="O23" s="39"/>
      <c r="P23" s="27" t="s">
        <v>299</v>
      </c>
      <c r="Q23" s="2"/>
      <c r="R23" s="21" t="s">
        <v>316</v>
      </c>
      <c r="S23" s="25" t="s">
        <v>434</v>
      </c>
      <c r="T23" s="25"/>
      <c r="U23" s="27" t="s">
        <v>406</v>
      </c>
      <c r="V23" s="27" t="str" cm="1">
        <f t="array" ref="V23">S23&amp;IF(ISBLANK(S23),ToCamel($U23,"",""),ToPascal($U23,"",""))</f>
        <v>deleteDocument</v>
      </c>
      <c r="W23" s="27" t="str" cm="1">
        <f t="array" ref="W23">IF(AB23="post","I" &amp;ToPascal(V23,"","")&amp;"Req","")</f>
        <v>IDeleteDocumentReq</v>
      </c>
      <c r="X23" s="27" t="str" cm="1">
        <f t="array" ref="X23">"I" &amp;ToPascal(V23,"","")&amp;"Res"</f>
        <v>IDeleteDocumentRes</v>
      </c>
      <c r="Y23" s="21" t="s">
        <v>748</v>
      </c>
      <c r="Z23" s="144" t="s">
        <v>747</v>
      </c>
      <c r="AA23" s="2" t="s">
        <v>300</v>
      </c>
      <c r="AB23" s="2" t="s">
        <v>690</v>
      </c>
      <c r="AC23" s="109" t="s">
        <v>295</v>
      </c>
      <c r="AD23" s="46" t="s">
        <v>744</v>
      </c>
      <c r="AE23" s="144" t="s">
        <v>747</v>
      </c>
      <c r="AF23" s="346"/>
      <c r="AG23" s="14"/>
      <c r="AH23" s="14"/>
      <c r="AI23" s="10"/>
      <c r="AJ23" s="195" t="s">
        <v>42</v>
      </c>
      <c r="AK23" s="200"/>
      <c r="AL23" s="230" t="s">
        <v>596</v>
      </c>
      <c r="AM23" s="58" t="s">
        <v>596</v>
      </c>
      <c r="AN23" s="126" t="s">
        <v>596</v>
      </c>
      <c r="AO23" s="3" t="s">
        <v>94</v>
      </c>
      <c r="AP23" s="126"/>
      <c r="AQ23" s="126" t="s">
        <v>756</v>
      </c>
      <c r="AR23" s="126"/>
      <c r="AS23" s="10"/>
      <c r="AT23" s="13"/>
      <c r="AU23" s="13"/>
      <c r="AV23" s="183" t="s">
        <v>596</v>
      </c>
    </row>
    <row r="24" spans="1:16383" ht="24.5" customHeight="1" thickTop="1">
      <c r="B24" s="10">
        <v>37</v>
      </c>
      <c r="C24" s="61">
        <v>24</v>
      </c>
      <c r="D24" s="134" t="s">
        <v>90</v>
      </c>
      <c r="E24" s="2" t="s">
        <v>93</v>
      </c>
      <c r="F24" s="2"/>
      <c r="G24" s="2" t="s">
        <v>92</v>
      </c>
      <c r="H24" s="2" t="s">
        <v>60</v>
      </c>
      <c r="I24" s="2" t="s">
        <v>105</v>
      </c>
      <c r="J24" s="128" t="s">
        <v>406</v>
      </c>
      <c r="K24" s="344"/>
      <c r="L24" s="354"/>
      <c r="M24" s="39"/>
      <c r="N24" s="37" t="str" cm="1">
        <f t="array" ref="N24">ToCamel($J24,"","")</f>
        <v>document</v>
      </c>
      <c r="O24" s="39"/>
      <c r="P24" s="356" t="s">
        <v>298</v>
      </c>
      <c r="Q24" s="134"/>
      <c r="R24" s="356" t="s">
        <v>776</v>
      </c>
      <c r="S24" s="367" t="s">
        <v>432</v>
      </c>
      <c r="T24" s="367"/>
      <c r="U24" s="356" t="s">
        <v>406</v>
      </c>
      <c r="V24" s="356" t="str" cm="1">
        <f t="array" ref="V24">S24&amp;IF(ISBLANK(S24),ToCamel($U24,"",""),ToPascal($U24,"",""))</f>
        <v>addDocument</v>
      </c>
      <c r="W24" s="356" t="str" cm="1">
        <f t="array" ref="W24">IF(AB24="post","I" &amp;ToPascal(V24,"","")&amp;"Req","")</f>
        <v>IAddDocumentReq</v>
      </c>
      <c r="X24" s="356" t="str" cm="1">
        <f t="array" ref="X24">"I" &amp;ToPascal(V24,"","")&amp;"Res"</f>
        <v>IAddDocumentRes</v>
      </c>
      <c r="Y24" s="356" t="s">
        <v>498</v>
      </c>
      <c r="Z24" s="397" t="s">
        <v>762</v>
      </c>
      <c r="AA24" s="367" t="s">
        <v>287</v>
      </c>
      <c r="AB24" s="367" t="s">
        <v>285</v>
      </c>
      <c r="AC24" s="382" t="s">
        <v>295</v>
      </c>
      <c r="AD24" s="159" t="s">
        <v>763</v>
      </c>
      <c r="AE24" s="159"/>
      <c r="AF24" s="346"/>
      <c r="AG24" s="14"/>
      <c r="AH24" s="14"/>
      <c r="AI24" s="10"/>
      <c r="AJ24" s="196" t="s">
        <v>42</v>
      </c>
      <c r="AK24" s="389"/>
      <c r="AL24" s="101" t="s">
        <v>596</v>
      </c>
      <c r="AM24" s="58" t="s">
        <v>596</v>
      </c>
      <c r="AN24" s="126" t="s">
        <v>596</v>
      </c>
      <c r="AO24" s="51" t="s">
        <v>94</v>
      </c>
      <c r="AP24" s="126" t="s">
        <v>728</v>
      </c>
      <c r="AQ24" s="223" t="s">
        <v>733</v>
      </c>
      <c r="AR24" s="126"/>
      <c r="AS24" s="61"/>
      <c r="AT24" s="62"/>
      <c r="AU24" s="62"/>
      <c r="AV24" s="193" t="s">
        <v>596</v>
      </c>
    </row>
    <row r="25" spans="1:16383" s="185" customFormat="1" ht="24.5" customHeight="1" thickBot="1">
      <c r="A25" s="197"/>
      <c r="B25" s="10">
        <v>16</v>
      </c>
      <c r="C25" s="61">
        <v>25</v>
      </c>
      <c r="D25" s="134" t="s">
        <v>90</v>
      </c>
      <c r="E25" s="2" t="s">
        <v>49</v>
      </c>
      <c r="F25" s="2"/>
      <c r="G25" s="2" t="s">
        <v>59</v>
      </c>
      <c r="H25" s="2"/>
      <c r="I25" s="2"/>
      <c r="J25" s="128" t="s">
        <v>406</v>
      </c>
      <c r="K25" s="350"/>
      <c r="L25" s="397"/>
      <c r="M25" s="143"/>
      <c r="N25" s="37" t="str" cm="1">
        <f t="array" ref="N25">ToCamel($J25,"","")</f>
        <v>document</v>
      </c>
      <c r="O25" s="143"/>
      <c r="P25" s="357"/>
      <c r="Q25" s="134"/>
      <c r="R25" s="356"/>
      <c r="S25" s="367"/>
      <c r="T25" s="368"/>
      <c r="U25" s="357"/>
      <c r="V25" s="357"/>
      <c r="W25" s="357"/>
      <c r="X25" s="357"/>
      <c r="Y25" s="356"/>
      <c r="Z25" s="360"/>
      <c r="AA25" s="367"/>
      <c r="AB25" s="367"/>
      <c r="AC25" s="382"/>
      <c r="AD25" s="108"/>
      <c r="AE25" s="159"/>
      <c r="AF25" s="347"/>
      <c r="AG25" s="14"/>
      <c r="AH25" s="14"/>
      <c r="AI25" s="14"/>
      <c r="AJ25" s="196" t="s">
        <v>42</v>
      </c>
      <c r="AK25" s="390"/>
      <c r="AL25" s="91" t="s">
        <v>596</v>
      </c>
      <c r="AM25" s="58" t="s">
        <v>596</v>
      </c>
      <c r="AN25" s="126" t="s">
        <v>596</v>
      </c>
      <c r="AO25" s="51" t="s">
        <v>54</v>
      </c>
      <c r="AP25" s="126"/>
      <c r="AQ25" s="126"/>
      <c r="AR25" s="126"/>
      <c r="AS25" s="61"/>
      <c r="AT25" s="62"/>
      <c r="AU25" s="62"/>
      <c r="AV25" s="193" t="s">
        <v>596</v>
      </c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7"/>
      <c r="CD25" s="197"/>
      <c r="CE25" s="197"/>
      <c r="CF25" s="197"/>
      <c r="CG25" s="197"/>
      <c r="CH25" s="197"/>
      <c r="CI25" s="197"/>
      <c r="CJ25" s="197"/>
      <c r="CK25" s="197"/>
      <c r="CL25" s="197"/>
      <c r="CM25" s="197"/>
      <c r="CN25" s="197"/>
      <c r="CO25" s="197"/>
      <c r="CP25" s="197"/>
      <c r="CQ25" s="197"/>
      <c r="CR25" s="197"/>
      <c r="CS25" s="197"/>
      <c r="CT25" s="197"/>
      <c r="CU25" s="197"/>
      <c r="CV25" s="197"/>
      <c r="CW25" s="197"/>
      <c r="CX25" s="197"/>
      <c r="CY25" s="197"/>
      <c r="CZ25" s="197"/>
      <c r="DA25" s="197"/>
      <c r="DB25" s="197"/>
      <c r="DC25" s="197"/>
      <c r="DD25" s="197"/>
      <c r="DE25" s="197"/>
      <c r="DF25" s="197"/>
      <c r="DG25" s="197"/>
      <c r="DH25" s="197"/>
      <c r="DI25" s="197"/>
      <c r="DJ25" s="197"/>
      <c r="DK25" s="197"/>
      <c r="DL25" s="197"/>
      <c r="DM25" s="197"/>
      <c r="DN25" s="197"/>
      <c r="DO25" s="197"/>
      <c r="DP25" s="197"/>
      <c r="DQ25" s="197"/>
      <c r="DR25" s="197"/>
      <c r="DS25" s="197"/>
      <c r="DT25" s="197"/>
      <c r="DU25" s="197"/>
      <c r="DV25" s="197"/>
      <c r="DW25" s="197"/>
      <c r="DX25" s="197"/>
      <c r="DY25" s="197"/>
      <c r="DZ25" s="197"/>
      <c r="EA25" s="197"/>
      <c r="EB25" s="197"/>
      <c r="EC25" s="197"/>
      <c r="ED25" s="197"/>
      <c r="EE25" s="197"/>
      <c r="EF25" s="197"/>
      <c r="EG25" s="197"/>
      <c r="EH25" s="197"/>
      <c r="EI25" s="197"/>
      <c r="EJ25" s="197"/>
      <c r="EK25" s="197"/>
      <c r="EL25" s="197"/>
      <c r="EM25" s="197"/>
      <c r="EN25" s="197"/>
      <c r="EO25" s="197"/>
      <c r="EP25" s="197"/>
      <c r="EQ25" s="197"/>
      <c r="ER25" s="197"/>
      <c r="ES25" s="197"/>
      <c r="ET25" s="197"/>
      <c r="EU25" s="197"/>
      <c r="EV25" s="197"/>
      <c r="EW25" s="197"/>
      <c r="EX25" s="197"/>
      <c r="EY25" s="197"/>
      <c r="EZ25" s="197"/>
      <c r="FA25" s="197"/>
      <c r="FB25" s="197"/>
      <c r="FC25" s="197"/>
      <c r="FD25" s="197"/>
      <c r="FE25" s="197"/>
      <c r="FF25" s="197"/>
      <c r="FG25" s="197"/>
      <c r="FH25" s="197"/>
      <c r="FI25" s="197"/>
      <c r="FJ25" s="197"/>
      <c r="FK25" s="197"/>
      <c r="FL25" s="197"/>
      <c r="FM25" s="197"/>
      <c r="FN25" s="197"/>
      <c r="FO25" s="197"/>
      <c r="FP25" s="197"/>
      <c r="FQ25" s="197"/>
      <c r="FR25" s="197"/>
      <c r="FS25" s="197"/>
      <c r="FT25" s="197"/>
      <c r="FU25" s="197"/>
      <c r="FV25" s="197"/>
      <c r="FW25" s="197"/>
      <c r="FX25" s="197"/>
      <c r="FY25" s="197"/>
      <c r="FZ25" s="197"/>
      <c r="GA25" s="197"/>
      <c r="GB25" s="197"/>
      <c r="GC25" s="197"/>
      <c r="GD25" s="197"/>
      <c r="GE25" s="197"/>
      <c r="GF25" s="197"/>
      <c r="GG25" s="197"/>
      <c r="GH25" s="197"/>
      <c r="GI25" s="197"/>
      <c r="GJ25" s="197"/>
      <c r="GK25" s="197"/>
      <c r="GL25" s="197"/>
      <c r="GM25" s="197"/>
      <c r="GN25" s="197"/>
      <c r="GO25" s="197"/>
      <c r="GP25" s="197"/>
      <c r="GQ25" s="197"/>
      <c r="GR25" s="197"/>
      <c r="GS25" s="197"/>
      <c r="GT25" s="197"/>
      <c r="GU25" s="197"/>
      <c r="GV25" s="197"/>
      <c r="GW25" s="197"/>
      <c r="GX25" s="197"/>
      <c r="GY25" s="197"/>
      <c r="GZ25" s="197"/>
      <c r="HA25" s="197"/>
      <c r="HB25" s="197"/>
      <c r="HC25" s="197"/>
      <c r="HD25" s="197"/>
      <c r="HE25" s="197"/>
      <c r="HF25" s="197"/>
      <c r="HG25" s="197"/>
      <c r="HH25" s="197"/>
      <c r="HI25" s="197"/>
      <c r="HJ25" s="197"/>
      <c r="HK25" s="197"/>
      <c r="HL25" s="197"/>
      <c r="HM25" s="197"/>
      <c r="HN25" s="197"/>
      <c r="HO25" s="197"/>
      <c r="HP25" s="197"/>
      <c r="HQ25" s="197"/>
      <c r="HR25" s="197"/>
      <c r="HS25" s="197"/>
      <c r="HT25" s="197"/>
      <c r="HU25" s="197"/>
      <c r="HV25" s="197"/>
      <c r="HW25" s="197"/>
      <c r="HX25" s="197"/>
      <c r="HY25" s="197"/>
      <c r="HZ25" s="197"/>
      <c r="IA25" s="197"/>
      <c r="IB25" s="197"/>
      <c r="IC25" s="197"/>
      <c r="ID25" s="197"/>
      <c r="IE25" s="197"/>
      <c r="IF25" s="197"/>
      <c r="IG25" s="197"/>
      <c r="IH25" s="197"/>
      <c r="II25" s="197"/>
      <c r="IJ25" s="197"/>
      <c r="IK25" s="197"/>
      <c r="IL25" s="197"/>
      <c r="IM25" s="197"/>
      <c r="IN25" s="197"/>
      <c r="IO25" s="197"/>
      <c r="IP25" s="197"/>
      <c r="IQ25" s="197"/>
      <c r="IR25" s="197"/>
      <c r="IS25" s="197"/>
      <c r="IT25" s="197"/>
      <c r="IU25" s="197"/>
      <c r="IV25" s="197"/>
      <c r="IW25" s="197"/>
      <c r="IX25" s="197"/>
      <c r="IY25" s="197"/>
      <c r="IZ25" s="197"/>
      <c r="JA25" s="197"/>
      <c r="JB25" s="197"/>
      <c r="JC25" s="197"/>
      <c r="JD25" s="197"/>
      <c r="JE25" s="197"/>
      <c r="JF25" s="197"/>
      <c r="JG25" s="197"/>
      <c r="JH25" s="197"/>
      <c r="JI25" s="197"/>
      <c r="JJ25" s="197"/>
      <c r="JK25" s="197"/>
      <c r="JL25" s="197"/>
      <c r="JM25" s="197"/>
      <c r="JN25" s="197"/>
      <c r="JO25" s="197"/>
      <c r="JP25" s="197"/>
      <c r="JQ25" s="197"/>
      <c r="JR25" s="197"/>
      <c r="JS25" s="197"/>
      <c r="JT25" s="197"/>
      <c r="JU25" s="197"/>
      <c r="JV25" s="197"/>
      <c r="JW25" s="197"/>
      <c r="JX25" s="197"/>
      <c r="JY25" s="197"/>
      <c r="JZ25" s="197"/>
      <c r="KA25" s="197"/>
      <c r="KB25" s="197"/>
      <c r="KC25" s="197"/>
      <c r="KD25" s="197"/>
      <c r="KE25" s="197"/>
      <c r="KF25" s="197"/>
      <c r="KG25" s="197"/>
      <c r="KH25" s="197"/>
      <c r="KI25" s="197"/>
      <c r="KJ25" s="197"/>
      <c r="KK25" s="197"/>
      <c r="KL25" s="197"/>
      <c r="KM25" s="197"/>
      <c r="KN25" s="197"/>
      <c r="KO25" s="197"/>
      <c r="KP25" s="197"/>
      <c r="KQ25" s="197"/>
      <c r="KR25" s="197"/>
      <c r="KS25" s="197"/>
      <c r="KT25" s="197"/>
      <c r="KU25" s="197"/>
      <c r="KV25" s="197"/>
      <c r="KW25" s="197"/>
      <c r="KX25" s="197"/>
      <c r="KY25" s="197"/>
      <c r="KZ25" s="197"/>
      <c r="LA25" s="197"/>
      <c r="LB25" s="197"/>
      <c r="LC25" s="197"/>
      <c r="LD25" s="197"/>
      <c r="LE25" s="197"/>
      <c r="LF25" s="197"/>
      <c r="LG25" s="197"/>
      <c r="LH25" s="197"/>
      <c r="LI25" s="197"/>
      <c r="LJ25" s="197"/>
      <c r="LK25" s="197"/>
      <c r="LL25" s="197"/>
      <c r="LM25" s="197"/>
      <c r="LN25" s="197"/>
      <c r="LO25" s="197"/>
      <c r="LP25" s="197"/>
      <c r="LQ25" s="197"/>
      <c r="LR25" s="197"/>
      <c r="LS25" s="197"/>
      <c r="LT25" s="197"/>
      <c r="LU25" s="197"/>
      <c r="LV25" s="197"/>
      <c r="LW25" s="197"/>
      <c r="LX25" s="197"/>
      <c r="LY25" s="197"/>
      <c r="LZ25" s="197"/>
      <c r="MA25" s="197"/>
      <c r="MB25" s="197"/>
      <c r="MC25" s="197"/>
      <c r="MD25" s="197"/>
      <c r="ME25" s="197"/>
      <c r="MF25" s="197"/>
      <c r="MG25" s="197"/>
      <c r="MH25" s="197"/>
      <c r="MI25" s="197"/>
      <c r="MJ25" s="197"/>
      <c r="MK25" s="197"/>
      <c r="ML25" s="197"/>
      <c r="MM25" s="197"/>
      <c r="MN25" s="197"/>
      <c r="MO25" s="197"/>
      <c r="MP25" s="197"/>
      <c r="MQ25" s="197"/>
      <c r="MR25" s="197"/>
      <c r="MS25" s="197"/>
      <c r="MT25" s="197"/>
      <c r="MU25" s="197"/>
      <c r="MV25" s="197"/>
      <c r="MW25" s="197"/>
      <c r="MX25" s="197"/>
      <c r="MY25" s="197"/>
      <c r="MZ25" s="197"/>
      <c r="NA25" s="197"/>
      <c r="NB25" s="197"/>
      <c r="NC25" s="197"/>
      <c r="ND25" s="197"/>
      <c r="NE25" s="197"/>
      <c r="NF25" s="197"/>
      <c r="NG25" s="197"/>
      <c r="NH25" s="197"/>
      <c r="NI25" s="197"/>
      <c r="NJ25" s="197"/>
      <c r="NK25" s="197"/>
      <c r="NL25" s="197"/>
      <c r="NM25" s="197"/>
      <c r="NN25" s="197"/>
      <c r="NO25" s="197"/>
      <c r="NP25" s="197"/>
      <c r="NQ25" s="197"/>
      <c r="NR25" s="197"/>
      <c r="NS25" s="197"/>
      <c r="NT25" s="197"/>
      <c r="NU25" s="197"/>
      <c r="NV25" s="197"/>
      <c r="NW25" s="197"/>
      <c r="NX25" s="197"/>
      <c r="NY25" s="197"/>
      <c r="NZ25" s="197"/>
      <c r="OA25" s="197"/>
      <c r="OB25" s="197"/>
      <c r="OC25" s="197"/>
      <c r="OD25" s="197"/>
      <c r="OE25" s="197"/>
      <c r="OF25" s="197"/>
      <c r="OG25" s="197"/>
      <c r="OH25" s="197"/>
      <c r="OI25" s="197"/>
      <c r="OJ25" s="197"/>
      <c r="OK25" s="197"/>
      <c r="OL25" s="197"/>
      <c r="OM25" s="197"/>
      <c r="ON25" s="197"/>
      <c r="OO25" s="197"/>
      <c r="OP25" s="197"/>
      <c r="OQ25" s="197"/>
      <c r="OR25" s="197"/>
      <c r="OS25" s="197"/>
      <c r="OT25" s="197"/>
      <c r="OU25" s="197"/>
      <c r="OV25" s="197"/>
      <c r="OW25" s="197"/>
      <c r="OX25" s="197"/>
      <c r="OY25" s="197"/>
      <c r="OZ25" s="197"/>
      <c r="PA25" s="197"/>
      <c r="PB25" s="197"/>
      <c r="PC25" s="197"/>
      <c r="PD25" s="197"/>
      <c r="PE25" s="197"/>
      <c r="PF25" s="197"/>
      <c r="PG25" s="197"/>
      <c r="PH25" s="197"/>
      <c r="PI25" s="197"/>
      <c r="PJ25" s="197"/>
      <c r="PK25" s="197"/>
      <c r="PL25" s="197"/>
      <c r="PM25" s="197"/>
      <c r="PN25" s="197"/>
      <c r="PO25" s="197"/>
      <c r="PP25" s="197"/>
      <c r="PQ25" s="197"/>
      <c r="PR25" s="197"/>
      <c r="PS25" s="197"/>
      <c r="PT25" s="197"/>
      <c r="PU25" s="197"/>
      <c r="PV25" s="197"/>
      <c r="PW25" s="197"/>
      <c r="PX25" s="197"/>
      <c r="PY25" s="197"/>
      <c r="PZ25" s="197"/>
      <c r="QA25" s="197"/>
      <c r="QB25" s="197"/>
      <c r="QC25" s="197"/>
      <c r="QD25" s="197"/>
      <c r="QE25" s="197"/>
      <c r="QF25" s="197"/>
      <c r="QG25" s="197"/>
      <c r="QH25" s="197"/>
      <c r="QI25" s="197"/>
      <c r="QJ25" s="197"/>
      <c r="QK25" s="197"/>
      <c r="QL25" s="197"/>
      <c r="QM25" s="197"/>
      <c r="QN25" s="197"/>
      <c r="QO25" s="197"/>
      <c r="QP25" s="197"/>
      <c r="QQ25" s="197"/>
      <c r="QR25" s="197"/>
      <c r="QS25" s="197"/>
      <c r="QT25" s="197"/>
      <c r="QU25" s="197"/>
      <c r="QV25" s="197"/>
      <c r="QW25" s="197"/>
      <c r="QX25" s="197"/>
      <c r="QY25" s="197"/>
      <c r="QZ25" s="197"/>
      <c r="RA25" s="197"/>
      <c r="RB25" s="197"/>
      <c r="RC25" s="197"/>
      <c r="RD25" s="197"/>
      <c r="RE25" s="197"/>
      <c r="RF25" s="197"/>
      <c r="RG25" s="197"/>
      <c r="RH25" s="197"/>
      <c r="RI25" s="197"/>
      <c r="RJ25" s="197"/>
      <c r="RK25" s="197"/>
      <c r="RL25" s="197"/>
      <c r="RM25" s="197"/>
      <c r="RN25" s="197"/>
      <c r="RO25" s="197"/>
      <c r="RP25" s="197"/>
      <c r="RQ25" s="197"/>
      <c r="RR25" s="197"/>
      <c r="RS25" s="197"/>
      <c r="RT25" s="197"/>
      <c r="RU25" s="197"/>
      <c r="RV25" s="197"/>
      <c r="RW25" s="197"/>
      <c r="RX25" s="197"/>
      <c r="RY25" s="197"/>
      <c r="RZ25" s="197"/>
      <c r="SA25" s="197"/>
      <c r="SB25" s="197"/>
      <c r="SC25" s="197"/>
      <c r="SD25" s="197"/>
      <c r="SE25" s="197"/>
      <c r="SF25" s="197"/>
      <c r="SG25" s="197"/>
      <c r="SH25" s="197"/>
      <c r="SI25" s="197"/>
      <c r="SJ25" s="197"/>
      <c r="SK25" s="197"/>
      <c r="SL25" s="197"/>
      <c r="SM25" s="197"/>
      <c r="SN25" s="197"/>
      <c r="SO25" s="197"/>
      <c r="SP25" s="197"/>
      <c r="SQ25" s="197"/>
      <c r="SR25" s="197"/>
      <c r="SS25" s="197"/>
      <c r="ST25" s="197"/>
      <c r="SU25" s="197"/>
      <c r="SV25" s="197"/>
      <c r="SW25" s="197"/>
      <c r="SX25" s="197"/>
      <c r="SY25" s="197"/>
      <c r="SZ25" s="197"/>
      <c r="TA25" s="197"/>
      <c r="TB25" s="197"/>
      <c r="TC25" s="197"/>
      <c r="TD25" s="197"/>
      <c r="TE25" s="197"/>
      <c r="TF25" s="197"/>
      <c r="TG25" s="197"/>
      <c r="TH25" s="197"/>
      <c r="TI25" s="197"/>
      <c r="TJ25" s="197"/>
      <c r="TK25" s="197"/>
      <c r="TL25" s="197"/>
      <c r="TM25" s="197"/>
      <c r="TN25" s="197"/>
      <c r="TO25" s="197"/>
      <c r="TP25" s="197"/>
      <c r="TQ25" s="197"/>
      <c r="TR25" s="197"/>
      <c r="TS25" s="197"/>
      <c r="TT25" s="197"/>
      <c r="TU25" s="197"/>
      <c r="TV25" s="197"/>
      <c r="TW25" s="197"/>
      <c r="TX25" s="197"/>
      <c r="TY25" s="197"/>
      <c r="TZ25" s="197"/>
      <c r="UA25" s="197"/>
      <c r="UB25" s="197"/>
      <c r="UC25" s="197"/>
      <c r="UD25" s="197"/>
      <c r="UE25" s="197"/>
      <c r="UF25" s="197"/>
      <c r="UG25" s="197"/>
      <c r="UH25" s="197"/>
      <c r="UI25" s="197"/>
      <c r="UJ25" s="197"/>
      <c r="UK25" s="197"/>
      <c r="UL25" s="197"/>
      <c r="UM25" s="197"/>
      <c r="UN25" s="197"/>
      <c r="UO25" s="197"/>
      <c r="UP25" s="197"/>
      <c r="UQ25" s="197"/>
      <c r="UR25" s="197"/>
      <c r="US25" s="197"/>
      <c r="UT25" s="197"/>
      <c r="UU25" s="197"/>
      <c r="UV25" s="197"/>
      <c r="UW25" s="197"/>
      <c r="UX25" s="197"/>
      <c r="UY25" s="197"/>
      <c r="UZ25" s="197"/>
      <c r="VA25" s="197"/>
      <c r="VB25" s="197"/>
      <c r="VC25" s="197"/>
      <c r="VD25" s="197"/>
      <c r="VE25" s="197"/>
      <c r="VF25" s="197"/>
      <c r="VG25" s="197"/>
      <c r="VH25" s="197"/>
      <c r="VI25" s="197"/>
      <c r="VJ25" s="197"/>
      <c r="VK25" s="197"/>
      <c r="VL25" s="197"/>
      <c r="VM25" s="197"/>
      <c r="VN25" s="197"/>
      <c r="VO25" s="197"/>
      <c r="VP25" s="197"/>
      <c r="VQ25" s="197"/>
      <c r="VR25" s="197"/>
      <c r="VS25" s="197"/>
      <c r="VT25" s="197"/>
      <c r="VU25" s="197"/>
      <c r="VV25" s="197"/>
      <c r="VW25" s="197"/>
      <c r="VX25" s="197"/>
      <c r="VY25" s="197"/>
      <c r="VZ25" s="197"/>
      <c r="WA25" s="197"/>
      <c r="WB25" s="197"/>
      <c r="WC25" s="197"/>
      <c r="WD25" s="197"/>
      <c r="WE25" s="197"/>
      <c r="WF25" s="197"/>
      <c r="WG25" s="197"/>
      <c r="WH25" s="197"/>
      <c r="WI25" s="197"/>
      <c r="WJ25" s="197"/>
      <c r="WK25" s="197"/>
      <c r="WL25" s="197"/>
      <c r="WM25" s="197"/>
      <c r="WN25" s="197"/>
      <c r="WO25" s="197"/>
      <c r="WP25" s="197"/>
      <c r="WQ25" s="197"/>
      <c r="WR25" s="197"/>
      <c r="WS25" s="197"/>
      <c r="WT25" s="197"/>
      <c r="WU25" s="197"/>
      <c r="WV25" s="197"/>
      <c r="WW25" s="197"/>
      <c r="WX25" s="197"/>
      <c r="WY25" s="197"/>
      <c r="WZ25" s="197"/>
      <c r="XA25" s="197"/>
      <c r="XB25" s="197"/>
      <c r="XC25" s="197"/>
      <c r="XD25" s="197"/>
      <c r="XE25" s="197"/>
      <c r="XF25" s="197"/>
      <c r="XG25" s="197"/>
      <c r="XH25" s="197"/>
      <c r="XI25" s="197"/>
      <c r="XJ25" s="197"/>
      <c r="XK25" s="197"/>
      <c r="XL25" s="197"/>
      <c r="XM25" s="197"/>
      <c r="XN25" s="197"/>
      <c r="XO25" s="197"/>
      <c r="XP25" s="197"/>
      <c r="XQ25" s="197"/>
      <c r="XR25" s="197"/>
      <c r="XS25" s="197"/>
      <c r="XT25" s="197"/>
      <c r="XU25" s="197"/>
      <c r="XV25" s="197"/>
      <c r="XW25" s="197"/>
      <c r="XX25" s="197"/>
      <c r="XY25" s="197"/>
      <c r="XZ25" s="197"/>
      <c r="YA25" s="197"/>
      <c r="YB25" s="197"/>
      <c r="YC25" s="197"/>
      <c r="YD25" s="197"/>
      <c r="YE25" s="197"/>
      <c r="YF25" s="197"/>
      <c r="YG25" s="197"/>
      <c r="YH25" s="197"/>
      <c r="YI25" s="197"/>
      <c r="YJ25" s="197"/>
      <c r="YK25" s="197"/>
      <c r="YL25" s="197"/>
      <c r="YM25" s="197"/>
      <c r="YN25" s="197"/>
      <c r="YO25" s="197"/>
      <c r="YP25" s="197"/>
      <c r="YQ25" s="197"/>
      <c r="YR25" s="197"/>
      <c r="YS25" s="197"/>
      <c r="YT25" s="197"/>
      <c r="YU25" s="197"/>
      <c r="YV25" s="197"/>
      <c r="YW25" s="197"/>
      <c r="YX25" s="197"/>
      <c r="YY25" s="197"/>
      <c r="YZ25" s="197"/>
      <c r="ZA25" s="197"/>
      <c r="ZB25" s="197"/>
      <c r="ZC25" s="197"/>
      <c r="ZD25" s="197"/>
      <c r="ZE25" s="197"/>
      <c r="ZF25" s="197"/>
      <c r="ZG25" s="197"/>
      <c r="ZH25" s="197"/>
      <c r="ZI25" s="197"/>
      <c r="ZJ25" s="197"/>
      <c r="ZK25" s="197"/>
      <c r="ZL25" s="197"/>
      <c r="ZM25" s="197"/>
      <c r="ZN25" s="197"/>
      <c r="ZO25" s="197"/>
      <c r="ZP25" s="197"/>
      <c r="ZQ25" s="197"/>
      <c r="ZR25" s="197"/>
      <c r="ZS25" s="197"/>
      <c r="ZT25" s="197"/>
      <c r="ZU25" s="197"/>
      <c r="ZV25" s="197"/>
      <c r="ZW25" s="197"/>
      <c r="ZX25" s="197"/>
      <c r="ZY25" s="197"/>
      <c r="ZZ25" s="197"/>
      <c r="AAA25" s="197"/>
      <c r="AAB25" s="197"/>
      <c r="AAC25" s="197"/>
      <c r="AAD25" s="197"/>
      <c r="AAE25" s="197"/>
      <c r="AAF25" s="197"/>
      <c r="AAG25" s="197"/>
      <c r="AAH25" s="197"/>
      <c r="AAI25" s="197"/>
      <c r="AAJ25" s="197"/>
      <c r="AAK25" s="197"/>
      <c r="AAL25" s="197"/>
      <c r="AAM25" s="197"/>
      <c r="AAN25" s="197"/>
      <c r="AAO25" s="197"/>
      <c r="AAP25" s="197"/>
      <c r="AAQ25" s="197"/>
      <c r="AAR25" s="197"/>
      <c r="AAS25" s="197"/>
      <c r="AAT25" s="197"/>
      <c r="AAU25" s="197"/>
      <c r="AAV25" s="197"/>
      <c r="AAW25" s="197"/>
      <c r="AAX25" s="197"/>
      <c r="AAY25" s="197"/>
      <c r="AAZ25" s="197"/>
      <c r="ABA25" s="197"/>
      <c r="ABB25" s="197"/>
      <c r="ABC25" s="197"/>
      <c r="ABD25" s="197"/>
      <c r="ABE25" s="197"/>
      <c r="ABF25" s="197"/>
      <c r="ABG25" s="197"/>
      <c r="ABH25" s="197"/>
      <c r="ABI25" s="197"/>
      <c r="ABJ25" s="197"/>
      <c r="ABK25" s="197"/>
      <c r="ABL25" s="197"/>
      <c r="ABM25" s="197"/>
      <c r="ABN25" s="197"/>
      <c r="ABO25" s="197"/>
      <c r="ABP25" s="197"/>
      <c r="ABQ25" s="197"/>
      <c r="ABR25" s="197"/>
      <c r="ABS25" s="197"/>
      <c r="ABT25" s="197"/>
      <c r="ABU25" s="197"/>
      <c r="ABV25" s="197"/>
      <c r="ABW25" s="197"/>
      <c r="ABX25" s="197"/>
      <c r="ABY25" s="197"/>
      <c r="ABZ25" s="197"/>
      <c r="ACA25" s="197"/>
      <c r="ACB25" s="197"/>
      <c r="ACC25" s="197"/>
      <c r="ACD25" s="197"/>
      <c r="ACE25" s="197"/>
      <c r="ACF25" s="197"/>
      <c r="ACG25" s="197"/>
      <c r="ACH25" s="197"/>
      <c r="ACI25" s="197"/>
      <c r="ACJ25" s="197"/>
      <c r="ACK25" s="197"/>
      <c r="ACL25" s="197"/>
      <c r="ACM25" s="197"/>
      <c r="ACN25" s="197"/>
      <c r="ACO25" s="197"/>
      <c r="ACP25" s="197"/>
      <c r="ACQ25" s="197"/>
      <c r="ACR25" s="197"/>
      <c r="ACS25" s="197"/>
      <c r="ACT25" s="197"/>
      <c r="ACU25" s="197"/>
      <c r="ACV25" s="197"/>
      <c r="ACW25" s="197"/>
      <c r="ACX25" s="197"/>
      <c r="ACY25" s="197"/>
      <c r="ACZ25" s="197"/>
      <c r="ADA25" s="197"/>
      <c r="ADB25" s="197"/>
      <c r="ADC25" s="197"/>
      <c r="ADD25" s="197"/>
      <c r="ADE25" s="197"/>
      <c r="ADF25" s="197"/>
      <c r="ADG25" s="197"/>
      <c r="ADH25" s="197"/>
      <c r="ADI25" s="197"/>
      <c r="ADJ25" s="197"/>
      <c r="ADK25" s="197"/>
      <c r="ADL25" s="197"/>
      <c r="ADM25" s="197"/>
      <c r="ADN25" s="197"/>
      <c r="ADO25" s="197"/>
      <c r="ADP25" s="197"/>
      <c r="ADQ25" s="197"/>
      <c r="ADR25" s="197"/>
      <c r="ADS25" s="197"/>
      <c r="ADT25" s="197"/>
      <c r="ADU25" s="197"/>
      <c r="ADV25" s="197"/>
      <c r="ADW25" s="197"/>
      <c r="ADX25" s="197"/>
      <c r="ADY25" s="197"/>
      <c r="ADZ25" s="197"/>
      <c r="AEA25" s="197"/>
      <c r="AEB25" s="197"/>
      <c r="AEC25" s="197"/>
      <c r="AED25" s="197"/>
      <c r="AEE25" s="197"/>
      <c r="AEF25" s="197"/>
      <c r="AEG25" s="197"/>
      <c r="AEH25" s="197"/>
      <c r="AEI25" s="197"/>
      <c r="AEJ25" s="197"/>
      <c r="AEK25" s="197"/>
      <c r="AEL25" s="197"/>
      <c r="AEM25" s="197"/>
      <c r="AEN25" s="197"/>
      <c r="AEO25" s="197"/>
      <c r="AEP25" s="197"/>
      <c r="AEQ25" s="197"/>
      <c r="AER25" s="197"/>
      <c r="AES25" s="197"/>
      <c r="AET25" s="197"/>
      <c r="AEU25" s="197"/>
      <c r="AEV25" s="197"/>
      <c r="AEW25" s="197"/>
      <c r="AEX25" s="197"/>
      <c r="AEY25" s="197"/>
      <c r="AEZ25" s="197"/>
      <c r="AFA25" s="197"/>
      <c r="AFB25" s="197"/>
      <c r="AFC25" s="197"/>
      <c r="AFD25" s="197"/>
      <c r="AFE25" s="197"/>
      <c r="AFF25" s="197"/>
      <c r="AFG25" s="197"/>
      <c r="AFH25" s="197"/>
      <c r="AFI25" s="197"/>
      <c r="AFJ25" s="197"/>
      <c r="AFK25" s="197"/>
      <c r="AFL25" s="197"/>
      <c r="AFM25" s="197"/>
      <c r="AFN25" s="197"/>
      <c r="AFO25" s="197"/>
      <c r="AFP25" s="197"/>
      <c r="AFQ25" s="197"/>
      <c r="AFR25" s="197"/>
      <c r="AFS25" s="197"/>
      <c r="AFT25" s="197"/>
      <c r="AFU25" s="197"/>
      <c r="AFV25" s="197"/>
      <c r="AFW25" s="197"/>
      <c r="AFX25" s="197"/>
      <c r="AFY25" s="197"/>
      <c r="AFZ25" s="197"/>
      <c r="AGA25" s="197"/>
      <c r="AGB25" s="197"/>
      <c r="AGC25" s="197"/>
      <c r="AGD25" s="197"/>
      <c r="AGE25" s="197"/>
      <c r="AGF25" s="197"/>
      <c r="AGG25" s="197"/>
      <c r="AGH25" s="197"/>
      <c r="AGI25" s="197"/>
      <c r="AGJ25" s="197"/>
      <c r="AGK25" s="197"/>
      <c r="AGL25" s="197"/>
      <c r="AGM25" s="197"/>
      <c r="AGN25" s="197"/>
      <c r="AGO25" s="197"/>
      <c r="AGP25" s="197"/>
      <c r="AGQ25" s="197"/>
      <c r="AGR25" s="197"/>
      <c r="AGS25" s="197"/>
      <c r="AGT25" s="197"/>
      <c r="AGU25" s="197"/>
      <c r="AGV25" s="197"/>
      <c r="AGW25" s="197"/>
      <c r="AGX25" s="197"/>
      <c r="AGY25" s="197"/>
      <c r="AGZ25" s="197"/>
      <c r="AHA25" s="197"/>
      <c r="AHB25" s="197"/>
      <c r="AHC25" s="197"/>
      <c r="AHD25" s="197"/>
      <c r="AHE25" s="197"/>
      <c r="AHF25" s="197"/>
      <c r="AHG25" s="197"/>
      <c r="AHH25" s="197"/>
      <c r="AHI25" s="197"/>
      <c r="AHJ25" s="197"/>
      <c r="AHK25" s="197"/>
      <c r="AHL25" s="197"/>
      <c r="AHM25" s="197"/>
      <c r="AHN25" s="197"/>
      <c r="AHO25" s="197"/>
      <c r="AHP25" s="197"/>
      <c r="AHQ25" s="197"/>
      <c r="AHR25" s="197"/>
      <c r="AHS25" s="197"/>
      <c r="AHT25" s="197"/>
      <c r="AHU25" s="197"/>
      <c r="AHV25" s="197"/>
      <c r="AHW25" s="197"/>
      <c r="AHX25" s="197"/>
      <c r="AHY25" s="197"/>
      <c r="AHZ25" s="197"/>
      <c r="AIA25" s="197"/>
      <c r="AIB25" s="197"/>
      <c r="AIC25" s="197"/>
      <c r="AID25" s="197"/>
      <c r="AIE25" s="197"/>
      <c r="AIF25" s="197"/>
      <c r="AIG25" s="197"/>
      <c r="AIH25" s="197"/>
      <c r="AII25" s="197"/>
      <c r="AIJ25" s="197"/>
      <c r="AIK25" s="197"/>
      <c r="AIL25" s="197"/>
      <c r="AIM25" s="197"/>
      <c r="AIN25" s="197"/>
      <c r="AIO25" s="197"/>
      <c r="AIP25" s="197"/>
      <c r="AIQ25" s="197"/>
      <c r="AIR25" s="197"/>
      <c r="AIS25" s="197"/>
      <c r="AIT25" s="197"/>
      <c r="AIU25" s="197"/>
      <c r="AIV25" s="197"/>
      <c r="AIW25" s="197"/>
      <c r="AIX25" s="197"/>
      <c r="AIY25" s="197"/>
      <c r="AIZ25" s="197"/>
      <c r="AJA25" s="197"/>
      <c r="AJB25" s="197"/>
      <c r="AJC25" s="197"/>
      <c r="AJD25" s="197"/>
      <c r="AJE25" s="197"/>
      <c r="AJF25" s="197"/>
      <c r="AJG25" s="197"/>
      <c r="AJH25" s="197"/>
      <c r="AJI25" s="197"/>
      <c r="AJJ25" s="197"/>
      <c r="AJK25" s="197"/>
      <c r="AJL25" s="197"/>
      <c r="AJM25" s="197"/>
      <c r="AJN25" s="197"/>
      <c r="AJO25" s="197"/>
      <c r="AJP25" s="197"/>
      <c r="AJQ25" s="197"/>
      <c r="AJR25" s="197"/>
      <c r="AJS25" s="197"/>
      <c r="AJT25" s="197"/>
      <c r="AJU25" s="197"/>
      <c r="AJV25" s="197"/>
      <c r="AJW25" s="197"/>
      <c r="AJX25" s="197"/>
      <c r="AJY25" s="197"/>
      <c r="AJZ25" s="197"/>
      <c r="AKA25" s="197"/>
      <c r="AKB25" s="197"/>
      <c r="AKC25" s="197"/>
      <c r="AKD25" s="197"/>
      <c r="AKE25" s="197"/>
      <c r="AKF25" s="197"/>
      <c r="AKG25" s="197"/>
      <c r="AKH25" s="197"/>
      <c r="AKI25" s="197"/>
      <c r="AKJ25" s="197"/>
      <c r="AKK25" s="197"/>
      <c r="AKL25" s="197"/>
      <c r="AKM25" s="197"/>
      <c r="AKN25" s="197"/>
      <c r="AKO25" s="197"/>
      <c r="AKP25" s="197"/>
      <c r="AKQ25" s="197"/>
      <c r="AKR25" s="197"/>
      <c r="AKS25" s="197"/>
      <c r="AKT25" s="197"/>
      <c r="AKU25" s="197"/>
      <c r="AKV25" s="197"/>
      <c r="AKW25" s="197"/>
      <c r="AKX25" s="197"/>
      <c r="AKY25" s="197"/>
      <c r="AKZ25" s="197"/>
      <c r="ALA25" s="197"/>
      <c r="ALB25" s="197"/>
      <c r="ALC25" s="197"/>
      <c r="ALD25" s="197"/>
      <c r="ALE25" s="197"/>
      <c r="ALF25" s="197"/>
      <c r="ALG25" s="197"/>
      <c r="ALH25" s="197"/>
      <c r="ALI25" s="197"/>
      <c r="ALJ25" s="197"/>
      <c r="ALK25" s="197"/>
      <c r="ALL25" s="197"/>
      <c r="ALM25" s="197"/>
      <c r="ALN25" s="197"/>
      <c r="ALO25" s="197"/>
      <c r="ALP25" s="197"/>
      <c r="ALQ25" s="197"/>
      <c r="ALR25" s="197"/>
      <c r="ALS25" s="197"/>
      <c r="ALT25" s="197"/>
      <c r="ALU25" s="197"/>
      <c r="ALV25" s="197"/>
      <c r="ALW25" s="197"/>
      <c r="ALX25" s="197"/>
      <c r="ALY25" s="197"/>
      <c r="ALZ25" s="197"/>
      <c r="AMA25" s="197"/>
      <c r="AMB25" s="197"/>
      <c r="AMC25" s="197"/>
      <c r="AMD25" s="197"/>
      <c r="AME25" s="197"/>
      <c r="AMF25" s="197"/>
      <c r="AMG25" s="197"/>
      <c r="AMH25" s="197"/>
      <c r="AMI25" s="197"/>
      <c r="AMJ25" s="197"/>
      <c r="AMK25" s="197"/>
      <c r="AML25" s="197"/>
      <c r="AMM25" s="197"/>
      <c r="AMN25" s="197"/>
      <c r="AMO25" s="197"/>
      <c r="AMP25" s="197"/>
      <c r="AMQ25" s="197"/>
      <c r="AMR25" s="197"/>
      <c r="AMS25" s="197"/>
      <c r="AMT25" s="197"/>
      <c r="AMU25" s="197"/>
      <c r="AMV25" s="197"/>
      <c r="AMW25" s="197"/>
      <c r="AMX25" s="197"/>
      <c r="AMY25" s="197"/>
      <c r="AMZ25" s="197"/>
      <c r="ANA25" s="197"/>
      <c r="ANB25" s="197"/>
      <c r="ANC25" s="197"/>
      <c r="AND25" s="197"/>
      <c r="ANE25" s="197"/>
      <c r="ANF25" s="197"/>
      <c r="ANG25" s="197"/>
      <c r="ANH25" s="197"/>
      <c r="ANI25" s="197"/>
      <c r="ANJ25" s="197"/>
      <c r="ANK25" s="197"/>
      <c r="ANL25" s="197"/>
      <c r="ANM25" s="197"/>
      <c r="ANN25" s="197"/>
      <c r="ANO25" s="197"/>
      <c r="ANP25" s="197"/>
      <c r="ANQ25" s="197"/>
      <c r="ANR25" s="197"/>
      <c r="ANS25" s="197"/>
      <c r="ANT25" s="197"/>
      <c r="ANU25" s="197"/>
      <c r="ANV25" s="197"/>
      <c r="ANW25" s="197"/>
      <c r="ANX25" s="197"/>
      <c r="ANY25" s="197"/>
      <c r="ANZ25" s="197"/>
      <c r="AOA25" s="197"/>
      <c r="AOB25" s="197"/>
      <c r="AOC25" s="197"/>
      <c r="AOD25" s="197"/>
      <c r="AOE25" s="197"/>
      <c r="AOF25" s="197"/>
      <c r="AOG25" s="197"/>
      <c r="AOH25" s="197"/>
      <c r="AOI25" s="197"/>
      <c r="AOJ25" s="197"/>
      <c r="AOK25" s="197"/>
      <c r="AOL25" s="197"/>
      <c r="AOM25" s="197"/>
      <c r="AON25" s="197"/>
      <c r="AOO25" s="197"/>
      <c r="AOP25" s="197"/>
      <c r="AOQ25" s="197"/>
      <c r="AOR25" s="197"/>
      <c r="AOS25" s="197"/>
      <c r="AOT25" s="197"/>
      <c r="AOU25" s="197"/>
      <c r="AOV25" s="197"/>
      <c r="AOW25" s="197"/>
      <c r="AOX25" s="197"/>
      <c r="AOY25" s="197"/>
      <c r="AOZ25" s="197"/>
      <c r="APA25" s="197"/>
      <c r="APB25" s="197"/>
      <c r="APC25" s="197"/>
      <c r="APD25" s="197"/>
      <c r="APE25" s="197"/>
      <c r="APF25" s="197"/>
      <c r="APG25" s="197"/>
      <c r="APH25" s="197"/>
      <c r="API25" s="197"/>
      <c r="APJ25" s="197"/>
      <c r="APK25" s="197"/>
      <c r="APL25" s="197"/>
      <c r="APM25" s="197"/>
      <c r="APN25" s="197"/>
      <c r="APO25" s="197"/>
      <c r="APP25" s="197"/>
      <c r="APQ25" s="197"/>
      <c r="APR25" s="197"/>
      <c r="APS25" s="197"/>
      <c r="APT25" s="197"/>
      <c r="APU25" s="197"/>
      <c r="APV25" s="197"/>
      <c r="APW25" s="197"/>
      <c r="APX25" s="197"/>
      <c r="APY25" s="197"/>
      <c r="APZ25" s="197"/>
      <c r="AQA25" s="197"/>
      <c r="AQB25" s="197"/>
      <c r="AQC25" s="197"/>
      <c r="AQD25" s="197"/>
      <c r="AQE25" s="197"/>
      <c r="AQF25" s="197"/>
      <c r="AQG25" s="197"/>
      <c r="AQH25" s="197"/>
      <c r="AQI25" s="197"/>
      <c r="AQJ25" s="197"/>
      <c r="AQK25" s="197"/>
      <c r="AQL25" s="197"/>
      <c r="AQM25" s="197"/>
      <c r="AQN25" s="197"/>
      <c r="AQO25" s="197"/>
      <c r="AQP25" s="197"/>
      <c r="AQQ25" s="197"/>
      <c r="AQR25" s="197"/>
      <c r="AQS25" s="197"/>
      <c r="AQT25" s="197"/>
      <c r="AQU25" s="197"/>
      <c r="AQV25" s="197"/>
      <c r="AQW25" s="197"/>
      <c r="AQX25" s="197"/>
      <c r="AQY25" s="197"/>
      <c r="AQZ25" s="197"/>
      <c r="ARA25" s="197"/>
      <c r="ARB25" s="197"/>
      <c r="ARC25" s="197"/>
      <c r="ARD25" s="197"/>
      <c r="ARE25" s="197"/>
      <c r="ARF25" s="197"/>
      <c r="ARG25" s="197"/>
      <c r="ARH25" s="197"/>
      <c r="ARI25" s="197"/>
      <c r="ARJ25" s="197"/>
      <c r="ARK25" s="197"/>
      <c r="ARL25" s="197"/>
      <c r="ARM25" s="197"/>
      <c r="ARN25" s="197"/>
      <c r="ARO25" s="197"/>
      <c r="ARP25" s="197"/>
      <c r="ARQ25" s="197"/>
      <c r="ARR25" s="197"/>
      <c r="ARS25" s="197"/>
      <c r="ART25" s="197"/>
      <c r="ARU25" s="197"/>
      <c r="ARV25" s="197"/>
      <c r="ARW25" s="197"/>
      <c r="ARX25" s="197"/>
      <c r="ARY25" s="197"/>
      <c r="ARZ25" s="197"/>
      <c r="ASA25" s="197"/>
      <c r="ASB25" s="197"/>
      <c r="ASC25" s="197"/>
      <c r="ASD25" s="197"/>
      <c r="ASE25" s="197"/>
      <c r="ASF25" s="197"/>
      <c r="ASG25" s="197"/>
      <c r="ASH25" s="197"/>
      <c r="ASI25" s="197"/>
      <c r="ASJ25" s="197"/>
      <c r="ASK25" s="197"/>
      <c r="ASL25" s="197"/>
      <c r="ASM25" s="197"/>
      <c r="ASN25" s="197"/>
      <c r="ASO25" s="197"/>
      <c r="ASP25" s="197"/>
      <c r="ASQ25" s="197"/>
      <c r="ASR25" s="197"/>
      <c r="ASS25" s="197"/>
      <c r="AST25" s="197"/>
      <c r="ASU25" s="197"/>
      <c r="ASV25" s="197"/>
      <c r="ASW25" s="197"/>
      <c r="ASX25" s="197"/>
      <c r="ASY25" s="197"/>
      <c r="ASZ25" s="197"/>
      <c r="ATA25" s="197"/>
      <c r="ATB25" s="197"/>
      <c r="ATC25" s="197"/>
      <c r="ATD25" s="197"/>
      <c r="ATE25" s="197"/>
      <c r="ATF25" s="197"/>
      <c r="ATG25" s="197"/>
      <c r="ATH25" s="197"/>
      <c r="ATI25" s="197"/>
      <c r="ATJ25" s="197"/>
      <c r="ATK25" s="197"/>
      <c r="ATL25" s="197"/>
      <c r="ATM25" s="197"/>
      <c r="ATN25" s="197"/>
      <c r="ATO25" s="197"/>
      <c r="ATP25" s="197"/>
      <c r="ATQ25" s="197"/>
      <c r="ATR25" s="197"/>
      <c r="ATS25" s="197"/>
      <c r="ATT25" s="197"/>
      <c r="ATU25" s="197"/>
      <c r="ATV25" s="197"/>
      <c r="ATW25" s="197"/>
      <c r="ATX25" s="197"/>
      <c r="ATY25" s="197"/>
      <c r="ATZ25" s="197"/>
      <c r="AUA25" s="197"/>
      <c r="AUB25" s="197"/>
      <c r="AUC25" s="197"/>
      <c r="AUD25" s="197"/>
      <c r="AUE25" s="197"/>
      <c r="AUF25" s="197"/>
      <c r="AUG25" s="197"/>
      <c r="AUH25" s="197"/>
      <c r="AUI25" s="197"/>
      <c r="AUJ25" s="197"/>
      <c r="AUK25" s="197"/>
      <c r="AUL25" s="197"/>
      <c r="AUM25" s="197"/>
      <c r="AUN25" s="197"/>
      <c r="AUO25" s="197"/>
      <c r="AUP25" s="197"/>
      <c r="AUQ25" s="197"/>
      <c r="AUR25" s="197"/>
      <c r="AUS25" s="197"/>
      <c r="AUT25" s="197"/>
      <c r="AUU25" s="197"/>
      <c r="AUV25" s="197"/>
      <c r="AUW25" s="197"/>
      <c r="AUX25" s="197"/>
      <c r="AUY25" s="197"/>
      <c r="AUZ25" s="197"/>
      <c r="AVA25" s="197"/>
      <c r="AVB25" s="197"/>
      <c r="AVC25" s="197"/>
      <c r="AVD25" s="197"/>
      <c r="AVE25" s="197"/>
      <c r="AVF25" s="197"/>
      <c r="AVG25" s="197"/>
      <c r="AVH25" s="197"/>
      <c r="AVI25" s="197"/>
      <c r="AVJ25" s="197"/>
      <c r="AVK25" s="197"/>
      <c r="AVL25" s="197"/>
      <c r="AVM25" s="197"/>
      <c r="AVN25" s="197"/>
      <c r="AVO25" s="197"/>
      <c r="AVP25" s="197"/>
      <c r="AVQ25" s="197"/>
      <c r="AVR25" s="197"/>
      <c r="AVS25" s="197"/>
      <c r="AVT25" s="197"/>
      <c r="AVU25" s="197"/>
      <c r="AVV25" s="197"/>
      <c r="AVW25" s="197"/>
      <c r="AVX25" s="197"/>
      <c r="AVY25" s="197"/>
      <c r="AVZ25" s="197"/>
      <c r="AWA25" s="197"/>
      <c r="AWB25" s="197"/>
      <c r="AWC25" s="197"/>
      <c r="AWD25" s="197"/>
      <c r="AWE25" s="197"/>
      <c r="AWF25" s="197"/>
      <c r="AWG25" s="197"/>
      <c r="AWH25" s="197"/>
      <c r="AWI25" s="197"/>
      <c r="AWJ25" s="197"/>
      <c r="AWK25" s="197"/>
      <c r="AWL25" s="197"/>
      <c r="AWM25" s="197"/>
      <c r="AWN25" s="197"/>
      <c r="AWO25" s="197"/>
      <c r="AWP25" s="197"/>
      <c r="AWQ25" s="197"/>
      <c r="AWR25" s="197"/>
      <c r="AWS25" s="197"/>
      <c r="AWT25" s="197"/>
      <c r="AWU25" s="197"/>
      <c r="AWV25" s="197"/>
      <c r="AWW25" s="197"/>
      <c r="AWX25" s="197"/>
      <c r="AWY25" s="197"/>
      <c r="AWZ25" s="197"/>
      <c r="AXA25" s="197"/>
      <c r="AXB25" s="197"/>
      <c r="AXC25" s="197"/>
      <c r="AXD25" s="197"/>
      <c r="AXE25" s="197"/>
      <c r="AXF25" s="197"/>
      <c r="AXG25" s="197"/>
      <c r="AXH25" s="197"/>
      <c r="AXI25" s="197"/>
      <c r="AXJ25" s="197"/>
      <c r="AXK25" s="197"/>
      <c r="AXL25" s="197"/>
      <c r="AXM25" s="197"/>
      <c r="AXN25" s="197"/>
      <c r="AXO25" s="197"/>
      <c r="AXP25" s="197"/>
      <c r="AXQ25" s="197"/>
      <c r="AXR25" s="197"/>
      <c r="AXS25" s="197"/>
      <c r="AXT25" s="197"/>
      <c r="AXU25" s="197"/>
      <c r="AXV25" s="197"/>
      <c r="AXW25" s="197"/>
      <c r="AXX25" s="197"/>
      <c r="AXY25" s="197"/>
      <c r="AXZ25" s="197"/>
      <c r="AYA25" s="197"/>
      <c r="AYB25" s="197"/>
      <c r="AYC25" s="197"/>
      <c r="AYD25" s="197"/>
      <c r="AYE25" s="197"/>
      <c r="AYF25" s="197"/>
      <c r="AYG25" s="197"/>
      <c r="AYH25" s="197"/>
      <c r="AYI25" s="197"/>
      <c r="AYJ25" s="197"/>
      <c r="AYK25" s="197"/>
      <c r="AYL25" s="197"/>
      <c r="AYM25" s="197"/>
      <c r="AYN25" s="197"/>
      <c r="AYO25" s="197"/>
      <c r="AYP25" s="197"/>
      <c r="AYQ25" s="197"/>
      <c r="AYR25" s="197"/>
      <c r="AYS25" s="197"/>
      <c r="AYT25" s="197"/>
      <c r="AYU25" s="197"/>
      <c r="AYV25" s="197"/>
      <c r="AYW25" s="197"/>
      <c r="AYX25" s="197"/>
      <c r="AYY25" s="197"/>
      <c r="AYZ25" s="197"/>
      <c r="AZA25" s="197"/>
      <c r="AZB25" s="197"/>
      <c r="AZC25" s="197"/>
      <c r="AZD25" s="197"/>
      <c r="AZE25" s="197"/>
      <c r="AZF25" s="197"/>
      <c r="AZG25" s="197"/>
      <c r="AZH25" s="197"/>
      <c r="AZI25" s="197"/>
      <c r="AZJ25" s="197"/>
      <c r="AZK25" s="197"/>
      <c r="AZL25" s="197"/>
      <c r="AZM25" s="197"/>
      <c r="AZN25" s="197"/>
      <c r="AZO25" s="197"/>
      <c r="AZP25" s="197"/>
      <c r="AZQ25" s="197"/>
      <c r="AZR25" s="197"/>
      <c r="AZS25" s="197"/>
      <c r="AZT25" s="197"/>
      <c r="AZU25" s="197"/>
      <c r="AZV25" s="197"/>
      <c r="AZW25" s="197"/>
      <c r="AZX25" s="197"/>
      <c r="AZY25" s="197"/>
      <c r="AZZ25" s="197"/>
      <c r="BAA25" s="197"/>
      <c r="BAB25" s="197"/>
      <c r="BAC25" s="197"/>
      <c r="BAD25" s="197"/>
      <c r="BAE25" s="197"/>
      <c r="BAF25" s="197"/>
      <c r="BAG25" s="197"/>
      <c r="BAH25" s="197"/>
      <c r="BAI25" s="197"/>
      <c r="BAJ25" s="197"/>
      <c r="BAK25" s="197"/>
      <c r="BAL25" s="197"/>
      <c r="BAM25" s="197"/>
      <c r="BAN25" s="197"/>
      <c r="BAO25" s="197"/>
      <c r="BAP25" s="197"/>
      <c r="BAQ25" s="197"/>
      <c r="BAR25" s="197"/>
      <c r="BAS25" s="197"/>
      <c r="BAT25" s="197"/>
      <c r="BAU25" s="197"/>
      <c r="BAV25" s="197"/>
      <c r="BAW25" s="197"/>
      <c r="BAX25" s="197"/>
      <c r="BAY25" s="197"/>
      <c r="BAZ25" s="197"/>
      <c r="BBA25" s="197"/>
      <c r="BBB25" s="197"/>
      <c r="BBC25" s="197"/>
      <c r="BBD25" s="197"/>
      <c r="BBE25" s="197"/>
      <c r="BBF25" s="197"/>
      <c r="BBG25" s="197"/>
      <c r="BBH25" s="197"/>
      <c r="BBI25" s="197"/>
      <c r="BBJ25" s="197"/>
      <c r="BBK25" s="197"/>
      <c r="BBL25" s="197"/>
      <c r="BBM25" s="197"/>
      <c r="BBN25" s="197"/>
      <c r="BBO25" s="197"/>
      <c r="BBP25" s="197"/>
      <c r="BBQ25" s="197"/>
      <c r="BBR25" s="197"/>
      <c r="BBS25" s="197"/>
      <c r="BBT25" s="197"/>
      <c r="BBU25" s="197"/>
      <c r="BBV25" s="197"/>
      <c r="BBW25" s="197"/>
      <c r="BBX25" s="197"/>
      <c r="BBY25" s="197"/>
      <c r="BBZ25" s="197"/>
      <c r="BCA25" s="197"/>
      <c r="BCB25" s="197"/>
      <c r="BCC25" s="197"/>
      <c r="BCD25" s="197"/>
      <c r="BCE25" s="197"/>
      <c r="BCF25" s="197"/>
      <c r="BCG25" s="197"/>
      <c r="BCH25" s="197"/>
      <c r="BCI25" s="197"/>
      <c r="BCJ25" s="197"/>
      <c r="BCK25" s="197"/>
      <c r="BCL25" s="197"/>
      <c r="BCM25" s="197"/>
      <c r="BCN25" s="197"/>
      <c r="BCO25" s="197"/>
      <c r="BCP25" s="197"/>
      <c r="BCQ25" s="197"/>
      <c r="BCR25" s="197"/>
      <c r="BCS25" s="197"/>
      <c r="BCT25" s="197"/>
      <c r="BCU25" s="197"/>
      <c r="BCV25" s="197"/>
      <c r="BCW25" s="197"/>
      <c r="BCX25" s="197"/>
      <c r="BCY25" s="197"/>
      <c r="BCZ25" s="197"/>
      <c r="BDA25" s="197"/>
      <c r="BDB25" s="197"/>
      <c r="BDC25" s="197"/>
      <c r="BDD25" s="197"/>
      <c r="BDE25" s="197"/>
      <c r="BDF25" s="197"/>
      <c r="BDG25" s="197"/>
      <c r="BDH25" s="197"/>
      <c r="BDI25" s="197"/>
      <c r="BDJ25" s="197"/>
      <c r="BDK25" s="197"/>
      <c r="BDL25" s="197"/>
      <c r="BDM25" s="197"/>
      <c r="BDN25" s="197"/>
      <c r="BDO25" s="197"/>
      <c r="BDP25" s="197"/>
      <c r="BDQ25" s="197"/>
      <c r="BDR25" s="197"/>
      <c r="BDS25" s="197"/>
      <c r="BDT25" s="197"/>
      <c r="BDU25" s="197"/>
      <c r="BDV25" s="197"/>
      <c r="BDW25" s="197"/>
      <c r="BDX25" s="197"/>
      <c r="BDY25" s="197"/>
      <c r="BDZ25" s="197"/>
      <c r="BEA25" s="197"/>
      <c r="BEB25" s="197"/>
      <c r="BEC25" s="197"/>
      <c r="BED25" s="197"/>
      <c r="BEE25" s="197"/>
      <c r="BEF25" s="197"/>
      <c r="BEG25" s="197"/>
      <c r="BEH25" s="197"/>
      <c r="BEI25" s="197"/>
      <c r="BEJ25" s="197"/>
      <c r="BEK25" s="197"/>
      <c r="BEL25" s="197"/>
      <c r="BEM25" s="197"/>
      <c r="BEN25" s="197"/>
      <c r="BEO25" s="197"/>
      <c r="BEP25" s="197"/>
      <c r="BEQ25" s="197"/>
      <c r="BER25" s="197"/>
      <c r="BES25" s="197"/>
      <c r="BET25" s="197"/>
      <c r="BEU25" s="197"/>
      <c r="BEV25" s="197"/>
      <c r="BEW25" s="197"/>
      <c r="BEX25" s="197"/>
      <c r="BEY25" s="197"/>
      <c r="BEZ25" s="197"/>
      <c r="BFA25" s="197"/>
      <c r="BFB25" s="197"/>
      <c r="BFC25" s="197"/>
      <c r="BFD25" s="197"/>
      <c r="BFE25" s="197"/>
      <c r="BFF25" s="197"/>
      <c r="BFG25" s="197"/>
      <c r="BFH25" s="197"/>
      <c r="BFI25" s="197"/>
      <c r="BFJ25" s="197"/>
      <c r="BFK25" s="197"/>
      <c r="BFL25" s="197"/>
      <c r="BFM25" s="197"/>
      <c r="BFN25" s="197"/>
      <c r="BFO25" s="197"/>
      <c r="BFP25" s="197"/>
      <c r="BFQ25" s="197"/>
      <c r="BFR25" s="197"/>
      <c r="BFS25" s="197"/>
      <c r="BFT25" s="197"/>
      <c r="BFU25" s="197"/>
      <c r="BFV25" s="197"/>
      <c r="BFW25" s="197"/>
      <c r="BFX25" s="197"/>
      <c r="BFY25" s="197"/>
      <c r="BFZ25" s="197"/>
      <c r="BGA25" s="197"/>
      <c r="BGB25" s="197"/>
      <c r="BGC25" s="197"/>
      <c r="BGD25" s="197"/>
      <c r="BGE25" s="197"/>
      <c r="BGF25" s="197"/>
      <c r="BGG25" s="197"/>
      <c r="BGH25" s="197"/>
      <c r="BGI25" s="197"/>
      <c r="BGJ25" s="197"/>
      <c r="BGK25" s="197"/>
      <c r="BGL25" s="197"/>
      <c r="BGM25" s="197"/>
      <c r="BGN25" s="197"/>
      <c r="BGO25" s="197"/>
      <c r="BGP25" s="197"/>
      <c r="BGQ25" s="197"/>
      <c r="BGR25" s="197"/>
      <c r="BGS25" s="197"/>
      <c r="BGT25" s="197"/>
      <c r="BGU25" s="197"/>
      <c r="BGV25" s="197"/>
      <c r="BGW25" s="197"/>
      <c r="BGX25" s="197"/>
      <c r="BGY25" s="197"/>
      <c r="BGZ25" s="197"/>
      <c r="BHA25" s="197"/>
      <c r="BHB25" s="197"/>
      <c r="BHC25" s="197"/>
      <c r="BHD25" s="197"/>
      <c r="BHE25" s="197"/>
      <c r="BHF25" s="197"/>
      <c r="BHG25" s="197"/>
      <c r="BHH25" s="197"/>
      <c r="BHI25" s="197"/>
      <c r="BHJ25" s="197"/>
      <c r="BHK25" s="197"/>
      <c r="BHL25" s="197"/>
      <c r="BHM25" s="197"/>
      <c r="BHN25" s="197"/>
      <c r="BHO25" s="197"/>
      <c r="BHP25" s="197"/>
      <c r="BHQ25" s="197"/>
      <c r="BHR25" s="197"/>
      <c r="BHS25" s="197"/>
      <c r="BHT25" s="197"/>
      <c r="BHU25" s="197"/>
      <c r="BHV25" s="197"/>
      <c r="BHW25" s="197"/>
      <c r="BHX25" s="197"/>
      <c r="BHY25" s="197"/>
      <c r="BHZ25" s="197"/>
      <c r="BIA25" s="197"/>
      <c r="BIB25" s="197"/>
      <c r="BIC25" s="197"/>
      <c r="BID25" s="197"/>
      <c r="BIE25" s="197"/>
      <c r="BIF25" s="197"/>
      <c r="BIG25" s="197"/>
      <c r="BIH25" s="197"/>
      <c r="BII25" s="197"/>
      <c r="BIJ25" s="197"/>
      <c r="BIK25" s="197"/>
      <c r="BIL25" s="197"/>
      <c r="BIM25" s="197"/>
      <c r="BIN25" s="197"/>
      <c r="BIO25" s="197"/>
      <c r="BIP25" s="197"/>
      <c r="BIQ25" s="197"/>
      <c r="BIR25" s="197"/>
      <c r="BIS25" s="197"/>
      <c r="BIT25" s="197"/>
      <c r="BIU25" s="197"/>
      <c r="BIV25" s="197"/>
      <c r="BIW25" s="197"/>
      <c r="BIX25" s="197"/>
      <c r="BIY25" s="197"/>
      <c r="BIZ25" s="197"/>
      <c r="BJA25" s="197"/>
      <c r="BJB25" s="197"/>
      <c r="BJC25" s="197"/>
      <c r="BJD25" s="197"/>
      <c r="BJE25" s="197"/>
      <c r="BJF25" s="197"/>
      <c r="BJG25" s="197"/>
      <c r="BJH25" s="197"/>
      <c r="BJI25" s="197"/>
      <c r="BJJ25" s="197"/>
      <c r="BJK25" s="197"/>
      <c r="BJL25" s="197"/>
      <c r="BJM25" s="197"/>
      <c r="BJN25" s="197"/>
      <c r="BJO25" s="197"/>
      <c r="BJP25" s="197"/>
      <c r="BJQ25" s="197"/>
      <c r="BJR25" s="197"/>
      <c r="BJS25" s="197"/>
      <c r="BJT25" s="197"/>
      <c r="BJU25" s="197"/>
      <c r="BJV25" s="197"/>
      <c r="BJW25" s="197"/>
      <c r="BJX25" s="197"/>
      <c r="BJY25" s="197"/>
      <c r="BJZ25" s="197"/>
      <c r="BKA25" s="197"/>
      <c r="BKB25" s="197"/>
      <c r="BKC25" s="197"/>
      <c r="BKD25" s="197"/>
      <c r="BKE25" s="197"/>
      <c r="BKF25" s="197"/>
      <c r="BKG25" s="197"/>
      <c r="BKH25" s="197"/>
      <c r="BKI25" s="197"/>
      <c r="BKJ25" s="197"/>
      <c r="BKK25" s="197"/>
      <c r="BKL25" s="197"/>
      <c r="BKM25" s="197"/>
      <c r="BKN25" s="197"/>
      <c r="BKO25" s="197"/>
      <c r="BKP25" s="197"/>
      <c r="BKQ25" s="197"/>
      <c r="BKR25" s="197"/>
      <c r="BKS25" s="197"/>
      <c r="BKT25" s="197"/>
      <c r="BKU25" s="197"/>
      <c r="BKV25" s="197"/>
      <c r="BKW25" s="197"/>
      <c r="BKX25" s="197"/>
      <c r="BKY25" s="197"/>
      <c r="BKZ25" s="197"/>
      <c r="BLA25" s="197"/>
      <c r="BLB25" s="197"/>
      <c r="BLC25" s="197"/>
      <c r="BLD25" s="197"/>
      <c r="BLE25" s="197"/>
      <c r="BLF25" s="197"/>
      <c r="BLG25" s="197"/>
      <c r="BLH25" s="197"/>
      <c r="BLI25" s="197"/>
      <c r="BLJ25" s="197"/>
      <c r="BLK25" s="197"/>
      <c r="BLL25" s="197"/>
      <c r="BLM25" s="197"/>
      <c r="BLN25" s="197"/>
      <c r="BLO25" s="197"/>
      <c r="BLP25" s="197"/>
      <c r="BLQ25" s="197"/>
      <c r="BLR25" s="197"/>
      <c r="BLS25" s="197"/>
      <c r="BLT25" s="197"/>
      <c r="BLU25" s="197"/>
      <c r="BLV25" s="197"/>
      <c r="BLW25" s="197"/>
      <c r="BLX25" s="197"/>
      <c r="BLY25" s="197"/>
      <c r="BLZ25" s="197"/>
      <c r="BMA25" s="197"/>
      <c r="BMB25" s="197"/>
      <c r="BMC25" s="197"/>
      <c r="BMD25" s="197"/>
      <c r="BME25" s="197"/>
      <c r="BMF25" s="197"/>
      <c r="BMG25" s="197"/>
      <c r="BMH25" s="197"/>
      <c r="BMI25" s="197"/>
      <c r="BMJ25" s="197"/>
      <c r="BMK25" s="197"/>
      <c r="BML25" s="197"/>
      <c r="BMM25" s="197"/>
      <c r="BMN25" s="197"/>
      <c r="BMO25" s="197"/>
      <c r="BMP25" s="197"/>
      <c r="BMQ25" s="197"/>
      <c r="BMR25" s="197"/>
      <c r="BMS25" s="197"/>
      <c r="BMT25" s="197"/>
      <c r="BMU25" s="197"/>
      <c r="BMV25" s="197"/>
      <c r="BMW25" s="197"/>
      <c r="BMX25" s="197"/>
      <c r="BMY25" s="197"/>
      <c r="BMZ25" s="197"/>
      <c r="BNA25" s="197"/>
      <c r="BNB25" s="197"/>
      <c r="BNC25" s="197"/>
      <c r="BND25" s="197"/>
      <c r="BNE25" s="197"/>
      <c r="BNF25" s="197"/>
      <c r="BNG25" s="197"/>
      <c r="BNH25" s="197"/>
      <c r="BNI25" s="197"/>
      <c r="BNJ25" s="197"/>
      <c r="BNK25" s="197"/>
      <c r="BNL25" s="197"/>
      <c r="BNM25" s="197"/>
      <c r="BNN25" s="197"/>
      <c r="BNO25" s="197"/>
      <c r="BNP25" s="197"/>
      <c r="BNQ25" s="197"/>
      <c r="BNR25" s="197"/>
      <c r="BNS25" s="197"/>
      <c r="BNT25" s="197"/>
      <c r="BNU25" s="197"/>
      <c r="BNV25" s="197"/>
      <c r="BNW25" s="197"/>
      <c r="BNX25" s="197"/>
      <c r="BNY25" s="197"/>
      <c r="BNZ25" s="197"/>
      <c r="BOA25" s="197"/>
      <c r="BOB25" s="197"/>
      <c r="BOC25" s="197"/>
      <c r="BOD25" s="197"/>
      <c r="BOE25" s="197"/>
      <c r="BOF25" s="197"/>
      <c r="BOG25" s="197"/>
      <c r="BOH25" s="197"/>
      <c r="BOI25" s="197"/>
      <c r="BOJ25" s="197"/>
      <c r="BOK25" s="197"/>
      <c r="BOL25" s="197"/>
      <c r="BOM25" s="197"/>
      <c r="BON25" s="197"/>
      <c r="BOO25" s="197"/>
      <c r="BOP25" s="197"/>
      <c r="BOQ25" s="197"/>
      <c r="BOR25" s="197"/>
      <c r="BOS25" s="197"/>
      <c r="BOT25" s="197"/>
      <c r="BOU25" s="197"/>
      <c r="BOV25" s="197"/>
      <c r="BOW25" s="197"/>
      <c r="BOX25" s="197"/>
      <c r="BOY25" s="197"/>
      <c r="BOZ25" s="197"/>
      <c r="BPA25" s="197"/>
      <c r="BPB25" s="197"/>
      <c r="BPC25" s="197"/>
      <c r="BPD25" s="197"/>
      <c r="BPE25" s="197"/>
      <c r="BPF25" s="197"/>
      <c r="BPG25" s="197"/>
      <c r="BPH25" s="197"/>
      <c r="BPI25" s="197"/>
      <c r="BPJ25" s="197"/>
      <c r="BPK25" s="197"/>
      <c r="BPL25" s="197"/>
      <c r="BPM25" s="197"/>
      <c r="BPN25" s="197"/>
      <c r="BPO25" s="197"/>
      <c r="BPP25" s="197"/>
      <c r="BPQ25" s="197"/>
      <c r="BPR25" s="197"/>
      <c r="BPS25" s="197"/>
      <c r="BPT25" s="197"/>
      <c r="BPU25" s="197"/>
      <c r="BPV25" s="197"/>
      <c r="BPW25" s="197"/>
      <c r="BPX25" s="197"/>
      <c r="BPY25" s="197"/>
      <c r="BPZ25" s="197"/>
      <c r="BQA25" s="197"/>
      <c r="BQB25" s="197"/>
      <c r="BQC25" s="197"/>
      <c r="BQD25" s="197"/>
      <c r="BQE25" s="197"/>
      <c r="BQF25" s="197"/>
      <c r="BQG25" s="197"/>
      <c r="BQH25" s="197"/>
      <c r="BQI25" s="197"/>
      <c r="BQJ25" s="197"/>
      <c r="BQK25" s="197"/>
      <c r="BQL25" s="197"/>
      <c r="BQM25" s="197"/>
      <c r="BQN25" s="197"/>
      <c r="BQO25" s="197"/>
      <c r="BQP25" s="197"/>
      <c r="BQQ25" s="197"/>
      <c r="BQR25" s="197"/>
      <c r="BQS25" s="197"/>
      <c r="BQT25" s="197"/>
      <c r="BQU25" s="197"/>
      <c r="BQV25" s="197"/>
      <c r="BQW25" s="197"/>
      <c r="BQX25" s="197"/>
      <c r="BQY25" s="197"/>
      <c r="BQZ25" s="197"/>
      <c r="BRA25" s="197"/>
      <c r="BRB25" s="197"/>
      <c r="BRC25" s="197"/>
      <c r="BRD25" s="197"/>
      <c r="BRE25" s="197"/>
      <c r="BRF25" s="197"/>
      <c r="BRG25" s="197"/>
      <c r="BRH25" s="197"/>
      <c r="BRI25" s="197"/>
      <c r="BRJ25" s="197"/>
      <c r="BRK25" s="197"/>
      <c r="BRL25" s="197"/>
      <c r="BRM25" s="197"/>
      <c r="BRN25" s="197"/>
      <c r="BRO25" s="197"/>
      <c r="BRP25" s="197"/>
      <c r="BRQ25" s="197"/>
      <c r="BRR25" s="197"/>
      <c r="BRS25" s="197"/>
      <c r="BRT25" s="197"/>
      <c r="BRU25" s="197"/>
      <c r="BRV25" s="197"/>
      <c r="BRW25" s="197"/>
      <c r="BRX25" s="197"/>
      <c r="BRY25" s="197"/>
      <c r="BRZ25" s="197"/>
      <c r="BSA25" s="197"/>
      <c r="BSB25" s="197"/>
      <c r="BSC25" s="197"/>
      <c r="BSD25" s="197"/>
      <c r="BSE25" s="197"/>
      <c r="BSF25" s="197"/>
      <c r="BSG25" s="197"/>
      <c r="BSH25" s="197"/>
      <c r="BSI25" s="197"/>
      <c r="BSJ25" s="197"/>
      <c r="BSK25" s="197"/>
      <c r="BSL25" s="197"/>
      <c r="BSM25" s="197"/>
      <c r="BSN25" s="197"/>
      <c r="BSO25" s="197"/>
      <c r="BSP25" s="197"/>
      <c r="BSQ25" s="197"/>
      <c r="BSR25" s="197"/>
      <c r="BSS25" s="197"/>
      <c r="BST25" s="197"/>
      <c r="BSU25" s="197"/>
      <c r="BSV25" s="197"/>
      <c r="BSW25" s="197"/>
      <c r="BSX25" s="197"/>
      <c r="BSY25" s="197"/>
      <c r="BSZ25" s="197"/>
      <c r="BTA25" s="197"/>
      <c r="BTB25" s="197"/>
      <c r="BTC25" s="197"/>
      <c r="BTD25" s="197"/>
      <c r="BTE25" s="197"/>
      <c r="BTF25" s="197"/>
      <c r="BTG25" s="197"/>
      <c r="BTH25" s="197"/>
      <c r="BTI25" s="197"/>
      <c r="BTJ25" s="197"/>
      <c r="BTK25" s="197"/>
      <c r="BTL25" s="197"/>
      <c r="BTM25" s="197"/>
      <c r="BTN25" s="197"/>
      <c r="BTO25" s="197"/>
      <c r="BTP25" s="197"/>
      <c r="BTQ25" s="197"/>
      <c r="BTR25" s="197"/>
      <c r="BTS25" s="197"/>
      <c r="BTT25" s="197"/>
      <c r="BTU25" s="197"/>
      <c r="BTV25" s="197"/>
      <c r="BTW25" s="197"/>
      <c r="BTX25" s="197"/>
      <c r="BTY25" s="197"/>
      <c r="BTZ25" s="197"/>
      <c r="BUA25" s="197"/>
      <c r="BUB25" s="197"/>
      <c r="BUC25" s="197"/>
      <c r="BUD25" s="197"/>
      <c r="BUE25" s="197"/>
      <c r="BUF25" s="197"/>
      <c r="BUG25" s="197"/>
      <c r="BUH25" s="197"/>
      <c r="BUI25" s="197"/>
      <c r="BUJ25" s="197"/>
      <c r="BUK25" s="197"/>
      <c r="BUL25" s="197"/>
      <c r="BUM25" s="197"/>
      <c r="BUN25" s="197"/>
      <c r="BUO25" s="197"/>
      <c r="BUP25" s="197"/>
      <c r="BUQ25" s="197"/>
      <c r="BUR25" s="197"/>
      <c r="BUS25" s="197"/>
      <c r="BUT25" s="197"/>
      <c r="BUU25" s="197"/>
      <c r="BUV25" s="197"/>
      <c r="BUW25" s="197"/>
      <c r="BUX25" s="197"/>
      <c r="BUY25" s="197"/>
      <c r="BUZ25" s="197"/>
      <c r="BVA25" s="197"/>
      <c r="BVB25" s="197"/>
      <c r="BVC25" s="197"/>
      <c r="BVD25" s="197"/>
      <c r="BVE25" s="197"/>
      <c r="BVF25" s="197"/>
      <c r="BVG25" s="197"/>
      <c r="BVH25" s="197"/>
      <c r="BVI25" s="197"/>
      <c r="BVJ25" s="197"/>
      <c r="BVK25" s="197"/>
      <c r="BVL25" s="197"/>
      <c r="BVM25" s="197"/>
      <c r="BVN25" s="197"/>
      <c r="BVO25" s="197"/>
      <c r="BVP25" s="197"/>
      <c r="BVQ25" s="197"/>
      <c r="BVR25" s="197"/>
      <c r="BVS25" s="197"/>
      <c r="BVT25" s="197"/>
      <c r="BVU25" s="197"/>
      <c r="BVV25" s="197"/>
      <c r="BVW25" s="197"/>
      <c r="BVX25" s="197"/>
      <c r="BVY25" s="197"/>
      <c r="BVZ25" s="197"/>
      <c r="BWA25" s="197"/>
      <c r="BWB25" s="197"/>
      <c r="BWC25" s="197"/>
      <c r="BWD25" s="197"/>
      <c r="BWE25" s="197"/>
      <c r="BWF25" s="197"/>
      <c r="BWG25" s="197"/>
      <c r="BWH25" s="197"/>
      <c r="BWI25" s="197"/>
      <c r="BWJ25" s="197"/>
      <c r="BWK25" s="197"/>
      <c r="BWL25" s="197"/>
      <c r="BWM25" s="197"/>
      <c r="BWN25" s="197"/>
      <c r="BWO25" s="197"/>
      <c r="BWP25" s="197"/>
      <c r="BWQ25" s="197"/>
      <c r="BWR25" s="197"/>
      <c r="BWS25" s="197"/>
      <c r="BWT25" s="197"/>
      <c r="BWU25" s="197"/>
      <c r="BWV25" s="197"/>
      <c r="BWW25" s="197"/>
      <c r="BWX25" s="197"/>
      <c r="BWY25" s="197"/>
      <c r="BWZ25" s="197"/>
      <c r="BXA25" s="197"/>
      <c r="BXB25" s="197"/>
      <c r="BXC25" s="197"/>
      <c r="BXD25" s="197"/>
      <c r="BXE25" s="197"/>
      <c r="BXF25" s="197"/>
      <c r="BXG25" s="197"/>
      <c r="BXH25" s="197"/>
      <c r="BXI25" s="197"/>
      <c r="BXJ25" s="197"/>
      <c r="BXK25" s="197"/>
      <c r="BXL25" s="197"/>
      <c r="BXM25" s="197"/>
      <c r="BXN25" s="197"/>
      <c r="BXO25" s="197"/>
      <c r="BXP25" s="197"/>
      <c r="BXQ25" s="197"/>
      <c r="BXR25" s="197"/>
      <c r="BXS25" s="197"/>
      <c r="BXT25" s="197"/>
      <c r="BXU25" s="197"/>
      <c r="BXV25" s="197"/>
      <c r="BXW25" s="197"/>
      <c r="BXX25" s="197"/>
      <c r="BXY25" s="197"/>
      <c r="BXZ25" s="197"/>
      <c r="BYA25" s="197"/>
      <c r="BYB25" s="197"/>
      <c r="BYC25" s="197"/>
      <c r="BYD25" s="197"/>
      <c r="BYE25" s="197"/>
      <c r="BYF25" s="197"/>
      <c r="BYG25" s="197"/>
      <c r="BYH25" s="197"/>
      <c r="BYI25" s="197"/>
      <c r="BYJ25" s="197"/>
      <c r="BYK25" s="197"/>
      <c r="BYL25" s="197"/>
      <c r="BYM25" s="197"/>
      <c r="BYN25" s="197"/>
      <c r="BYO25" s="197"/>
      <c r="BYP25" s="197"/>
      <c r="BYQ25" s="197"/>
      <c r="BYR25" s="197"/>
      <c r="BYS25" s="197"/>
      <c r="BYT25" s="197"/>
      <c r="BYU25" s="197"/>
      <c r="BYV25" s="197"/>
      <c r="BYW25" s="197"/>
      <c r="BYX25" s="197"/>
      <c r="BYY25" s="197"/>
      <c r="BYZ25" s="197"/>
      <c r="BZA25" s="197"/>
      <c r="BZB25" s="197"/>
      <c r="BZC25" s="197"/>
      <c r="BZD25" s="197"/>
      <c r="BZE25" s="197"/>
      <c r="BZF25" s="197"/>
      <c r="BZG25" s="197"/>
      <c r="BZH25" s="197"/>
      <c r="BZI25" s="197"/>
      <c r="BZJ25" s="197"/>
      <c r="BZK25" s="197"/>
      <c r="BZL25" s="197"/>
      <c r="BZM25" s="197"/>
      <c r="BZN25" s="197"/>
      <c r="BZO25" s="197"/>
      <c r="BZP25" s="197"/>
      <c r="BZQ25" s="197"/>
      <c r="BZR25" s="197"/>
      <c r="BZS25" s="197"/>
      <c r="BZT25" s="197"/>
      <c r="BZU25" s="197"/>
      <c r="BZV25" s="197"/>
      <c r="BZW25" s="197"/>
      <c r="BZX25" s="197"/>
      <c r="BZY25" s="197"/>
      <c r="BZZ25" s="197"/>
      <c r="CAA25" s="197"/>
      <c r="CAB25" s="197"/>
      <c r="CAC25" s="197"/>
      <c r="CAD25" s="197"/>
      <c r="CAE25" s="197"/>
      <c r="CAF25" s="197"/>
      <c r="CAG25" s="197"/>
      <c r="CAH25" s="197"/>
      <c r="CAI25" s="197"/>
      <c r="CAJ25" s="197"/>
      <c r="CAK25" s="197"/>
      <c r="CAL25" s="197"/>
      <c r="CAM25" s="197"/>
      <c r="CAN25" s="197"/>
      <c r="CAO25" s="197"/>
      <c r="CAP25" s="197"/>
      <c r="CAQ25" s="197"/>
      <c r="CAR25" s="197"/>
      <c r="CAS25" s="197"/>
      <c r="CAT25" s="197"/>
      <c r="CAU25" s="197"/>
      <c r="CAV25" s="197"/>
      <c r="CAW25" s="197"/>
      <c r="CAX25" s="197"/>
      <c r="CAY25" s="197"/>
      <c r="CAZ25" s="197"/>
      <c r="CBA25" s="197"/>
      <c r="CBB25" s="197"/>
      <c r="CBC25" s="197"/>
      <c r="CBD25" s="197"/>
      <c r="CBE25" s="197"/>
      <c r="CBF25" s="197"/>
      <c r="CBG25" s="197"/>
      <c r="CBH25" s="197"/>
      <c r="CBI25" s="197"/>
      <c r="CBJ25" s="197"/>
      <c r="CBK25" s="197"/>
      <c r="CBL25" s="197"/>
      <c r="CBM25" s="197"/>
      <c r="CBN25" s="197"/>
      <c r="CBO25" s="197"/>
      <c r="CBP25" s="197"/>
      <c r="CBQ25" s="197"/>
      <c r="CBR25" s="197"/>
      <c r="CBS25" s="197"/>
      <c r="CBT25" s="197"/>
      <c r="CBU25" s="197"/>
      <c r="CBV25" s="197"/>
      <c r="CBW25" s="197"/>
      <c r="CBX25" s="197"/>
      <c r="CBY25" s="197"/>
      <c r="CBZ25" s="197"/>
      <c r="CCA25" s="197"/>
      <c r="CCB25" s="197"/>
      <c r="CCC25" s="197"/>
      <c r="CCD25" s="197"/>
      <c r="CCE25" s="197"/>
      <c r="CCF25" s="197"/>
      <c r="CCG25" s="197"/>
      <c r="CCH25" s="197"/>
      <c r="CCI25" s="197"/>
      <c r="CCJ25" s="197"/>
      <c r="CCK25" s="197"/>
      <c r="CCL25" s="197"/>
      <c r="CCM25" s="197"/>
      <c r="CCN25" s="197"/>
      <c r="CCO25" s="197"/>
      <c r="CCP25" s="197"/>
      <c r="CCQ25" s="197"/>
      <c r="CCR25" s="197"/>
      <c r="CCS25" s="197"/>
      <c r="CCT25" s="197"/>
      <c r="CCU25" s="197"/>
      <c r="CCV25" s="197"/>
      <c r="CCW25" s="197"/>
      <c r="CCX25" s="197"/>
      <c r="CCY25" s="197"/>
      <c r="CCZ25" s="197"/>
      <c r="CDA25" s="197"/>
      <c r="CDB25" s="197"/>
      <c r="CDC25" s="197"/>
      <c r="CDD25" s="197"/>
      <c r="CDE25" s="197"/>
      <c r="CDF25" s="197"/>
      <c r="CDG25" s="197"/>
      <c r="CDH25" s="197"/>
      <c r="CDI25" s="197"/>
      <c r="CDJ25" s="197"/>
      <c r="CDK25" s="197"/>
      <c r="CDL25" s="197"/>
      <c r="CDM25" s="197"/>
      <c r="CDN25" s="197"/>
      <c r="CDO25" s="197"/>
      <c r="CDP25" s="197"/>
      <c r="CDQ25" s="197"/>
      <c r="CDR25" s="197"/>
      <c r="CDS25" s="197"/>
      <c r="CDT25" s="197"/>
      <c r="CDU25" s="197"/>
      <c r="CDV25" s="197"/>
      <c r="CDW25" s="197"/>
      <c r="CDX25" s="197"/>
      <c r="CDY25" s="197"/>
      <c r="CDZ25" s="197"/>
      <c r="CEA25" s="197"/>
      <c r="CEB25" s="197"/>
      <c r="CEC25" s="197"/>
      <c r="CED25" s="197"/>
      <c r="CEE25" s="197"/>
      <c r="CEF25" s="197"/>
      <c r="CEG25" s="197"/>
      <c r="CEH25" s="197"/>
      <c r="CEI25" s="197"/>
      <c r="CEJ25" s="197"/>
      <c r="CEK25" s="197"/>
      <c r="CEL25" s="197"/>
      <c r="CEM25" s="197"/>
      <c r="CEN25" s="197"/>
      <c r="CEO25" s="197"/>
      <c r="CEP25" s="197"/>
      <c r="CEQ25" s="197"/>
      <c r="CER25" s="197"/>
      <c r="CES25" s="197"/>
      <c r="CET25" s="197"/>
      <c r="CEU25" s="197"/>
      <c r="CEV25" s="197"/>
      <c r="CEW25" s="197"/>
      <c r="CEX25" s="197"/>
      <c r="CEY25" s="197"/>
      <c r="CEZ25" s="197"/>
      <c r="CFA25" s="197"/>
      <c r="CFB25" s="197"/>
      <c r="CFC25" s="197"/>
      <c r="CFD25" s="197"/>
      <c r="CFE25" s="197"/>
      <c r="CFF25" s="197"/>
      <c r="CFG25" s="197"/>
      <c r="CFH25" s="197"/>
      <c r="CFI25" s="197"/>
      <c r="CFJ25" s="197"/>
      <c r="CFK25" s="197"/>
      <c r="CFL25" s="197"/>
      <c r="CFM25" s="197"/>
      <c r="CFN25" s="197"/>
      <c r="CFO25" s="197"/>
      <c r="CFP25" s="197"/>
      <c r="CFQ25" s="197"/>
      <c r="CFR25" s="197"/>
      <c r="CFS25" s="197"/>
      <c r="CFT25" s="197"/>
      <c r="CFU25" s="197"/>
      <c r="CFV25" s="197"/>
      <c r="CFW25" s="197"/>
      <c r="CFX25" s="197"/>
      <c r="CFY25" s="197"/>
      <c r="CFZ25" s="197"/>
      <c r="CGA25" s="197"/>
      <c r="CGB25" s="197"/>
      <c r="CGC25" s="197"/>
      <c r="CGD25" s="197"/>
      <c r="CGE25" s="197"/>
      <c r="CGF25" s="197"/>
      <c r="CGG25" s="197"/>
      <c r="CGH25" s="197"/>
      <c r="CGI25" s="197"/>
      <c r="CGJ25" s="197"/>
      <c r="CGK25" s="197"/>
      <c r="CGL25" s="197"/>
      <c r="CGM25" s="197"/>
      <c r="CGN25" s="197"/>
      <c r="CGO25" s="197"/>
      <c r="CGP25" s="197"/>
      <c r="CGQ25" s="197"/>
      <c r="CGR25" s="197"/>
      <c r="CGS25" s="197"/>
      <c r="CGT25" s="197"/>
      <c r="CGU25" s="197"/>
      <c r="CGV25" s="197"/>
      <c r="CGW25" s="197"/>
      <c r="CGX25" s="197"/>
      <c r="CGY25" s="197"/>
      <c r="CGZ25" s="197"/>
      <c r="CHA25" s="197"/>
      <c r="CHB25" s="197"/>
      <c r="CHC25" s="197"/>
      <c r="CHD25" s="197"/>
      <c r="CHE25" s="197"/>
      <c r="CHF25" s="197"/>
      <c r="CHG25" s="197"/>
      <c r="CHH25" s="197"/>
      <c r="CHI25" s="197"/>
      <c r="CHJ25" s="197"/>
      <c r="CHK25" s="197"/>
      <c r="CHL25" s="197"/>
      <c r="CHM25" s="197"/>
      <c r="CHN25" s="197"/>
      <c r="CHO25" s="197"/>
      <c r="CHP25" s="197"/>
      <c r="CHQ25" s="197"/>
      <c r="CHR25" s="197"/>
      <c r="CHS25" s="197"/>
      <c r="CHT25" s="197"/>
      <c r="CHU25" s="197"/>
      <c r="CHV25" s="197"/>
      <c r="CHW25" s="197"/>
      <c r="CHX25" s="197"/>
      <c r="CHY25" s="197"/>
      <c r="CHZ25" s="197"/>
      <c r="CIA25" s="197"/>
      <c r="CIB25" s="197"/>
      <c r="CIC25" s="197"/>
      <c r="CID25" s="197"/>
      <c r="CIE25" s="197"/>
      <c r="CIF25" s="197"/>
      <c r="CIG25" s="197"/>
      <c r="CIH25" s="197"/>
      <c r="CII25" s="197"/>
      <c r="CIJ25" s="197"/>
      <c r="CIK25" s="197"/>
      <c r="CIL25" s="197"/>
      <c r="CIM25" s="197"/>
      <c r="CIN25" s="197"/>
      <c r="CIO25" s="197"/>
      <c r="CIP25" s="197"/>
      <c r="CIQ25" s="197"/>
      <c r="CIR25" s="197"/>
      <c r="CIS25" s="197"/>
      <c r="CIT25" s="197"/>
      <c r="CIU25" s="197"/>
      <c r="CIV25" s="197"/>
      <c r="CIW25" s="197"/>
      <c r="CIX25" s="197"/>
      <c r="CIY25" s="197"/>
      <c r="CIZ25" s="197"/>
      <c r="CJA25" s="197"/>
      <c r="CJB25" s="197"/>
      <c r="CJC25" s="197"/>
      <c r="CJD25" s="197"/>
      <c r="CJE25" s="197"/>
      <c r="CJF25" s="197"/>
      <c r="CJG25" s="197"/>
      <c r="CJH25" s="197"/>
      <c r="CJI25" s="197"/>
      <c r="CJJ25" s="197"/>
      <c r="CJK25" s="197"/>
      <c r="CJL25" s="197"/>
      <c r="CJM25" s="197"/>
      <c r="CJN25" s="197"/>
      <c r="CJO25" s="197"/>
      <c r="CJP25" s="197"/>
      <c r="CJQ25" s="197"/>
      <c r="CJR25" s="197"/>
      <c r="CJS25" s="197"/>
      <c r="CJT25" s="197"/>
      <c r="CJU25" s="197"/>
      <c r="CJV25" s="197"/>
      <c r="CJW25" s="197"/>
      <c r="CJX25" s="197"/>
      <c r="CJY25" s="197"/>
      <c r="CJZ25" s="197"/>
      <c r="CKA25" s="197"/>
      <c r="CKB25" s="197"/>
      <c r="CKC25" s="197"/>
      <c r="CKD25" s="197"/>
      <c r="CKE25" s="197"/>
      <c r="CKF25" s="197"/>
      <c r="CKG25" s="197"/>
      <c r="CKH25" s="197"/>
      <c r="CKI25" s="197"/>
      <c r="CKJ25" s="197"/>
      <c r="CKK25" s="197"/>
      <c r="CKL25" s="197"/>
      <c r="CKM25" s="197"/>
      <c r="CKN25" s="197"/>
      <c r="CKO25" s="197"/>
      <c r="CKP25" s="197"/>
      <c r="CKQ25" s="197"/>
      <c r="CKR25" s="197"/>
      <c r="CKS25" s="197"/>
      <c r="CKT25" s="197"/>
      <c r="CKU25" s="197"/>
      <c r="CKV25" s="197"/>
      <c r="CKW25" s="197"/>
      <c r="CKX25" s="197"/>
      <c r="CKY25" s="197"/>
      <c r="CKZ25" s="197"/>
      <c r="CLA25" s="197"/>
      <c r="CLB25" s="197"/>
      <c r="CLC25" s="197"/>
      <c r="CLD25" s="197"/>
      <c r="CLE25" s="197"/>
      <c r="CLF25" s="197"/>
      <c r="CLG25" s="197"/>
      <c r="CLH25" s="197"/>
      <c r="CLI25" s="197"/>
      <c r="CLJ25" s="197"/>
      <c r="CLK25" s="197"/>
      <c r="CLL25" s="197"/>
      <c r="CLM25" s="197"/>
      <c r="CLN25" s="197"/>
      <c r="CLO25" s="197"/>
      <c r="CLP25" s="197"/>
      <c r="CLQ25" s="197"/>
      <c r="CLR25" s="197"/>
      <c r="CLS25" s="197"/>
      <c r="CLT25" s="197"/>
      <c r="CLU25" s="197"/>
      <c r="CLV25" s="197"/>
      <c r="CLW25" s="197"/>
      <c r="CLX25" s="197"/>
      <c r="CLY25" s="197"/>
      <c r="CLZ25" s="197"/>
      <c r="CMA25" s="197"/>
      <c r="CMB25" s="197"/>
      <c r="CMC25" s="197"/>
      <c r="CMD25" s="197"/>
      <c r="CME25" s="197"/>
      <c r="CMF25" s="197"/>
      <c r="CMG25" s="197"/>
      <c r="CMH25" s="197"/>
      <c r="CMI25" s="197"/>
      <c r="CMJ25" s="197"/>
      <c r="CMK25" s="197"/>
      <c r="CML25" s="197"/>
      <c r="CMM25" s="197"/>
      <c r="CMN25" s="197"/>
      <c r="CMO25" s="197"/>
      <c r="CMP25" s="197"/>
      <c r="CMQ25" s="197"/>
      <c r="CMR25" s="197"/>
      <c r="CMS25" s="197"/>
      <c r="CMT25" s="197"/>
      <c r="CMU25" s="197"/>
      <c r="CMV25" s="197"/>
      <c r="CMW25" s="197"/>
      <c r="CMX25" s="197"/>
      <c r="CMY25" s="197"/>
      <c r="CMZ25" s="197"/>
      <c r="CNA25" s="197"/>
      <c r="CNB25" s="197"/>
      <c r="CNC25" s="197"/>
      <c r="CND25" s="197"/>
      <c r="CNE25" s="197"/>
      <c r="CNF25" s="197"/>
      <c r="CNG25" s="197"/>
      <c r="CNH25" s="197"/>
      <c r="CNI25" s="197"/>
      <c r="CNJ25" s="197"/>
      <c r="CNK25" s="197"/>
      <c r="CNL25" s="197"/>
      <c r="CNM25" s="197"/>
      <c r="CNN25" s="197"/>
      <c r="CNO25" s="197"/>
      <c r="CNP25" s="197"/>
      <c r="CNQ25" s="197"/>
      <c r="CNR25" s="197"/>
      <c r="CNS25" s="197"/>
      <c r="CNT25" s="197"/>
      <c r="CNU25" s="197"/>
      <c r="CNV25" s="197"/>
      <c r="CNW25" s="197"/>
      <c r="CNX25" s="197"/>
      <c r="CNY25" s="197"/>
      <c r="CNZ25" s="197"/>
      <c r="COA25" s="197"/>
      <c r="COB25" s="197"/>
      <c r="COC25" s="197"/>
      <c r="COD25" s="197"/>
      <c r="COE25" s="197"/>
      <c r="COF25" s="197"/>
      <c r="COG25" s="197"/>
      <c r="COH25" s="197"/>
      <c r="COI25" s="197"/>
      <c r="COJ25" s="197"/>
      <c r="COK25" s="197"/>
      <c r="COL25" s="197"/>
      <c r="COM25" s="197"/>
      <c r="CON25" s="197"/>
      <c r="COO25" s="197"/>
      <c r="COP25" s="197"/>
      <c r="COQ25" s="197"/>
      <c r="COR25" s="197"/>
      <c r="COS25" s="197"/>
      <c r="COT25" s="197"/>
      <c r="COU25" s="197"/>
      <c r="COV25" s="197"/>
      <c r="COW25" s="197"/>
      <c r="COX25" s="197"/>
      <c r="COY25" s="197"/>
      <c r="COZ25" s="197"/>
      <c r="CPA25" s="197"/>
      <c r="CPB25" s="197"/>
      <c r="CPC25" s="197"/>
      <c r="CPD25" s="197"/>
      <c r="CPE25" s="197"/>
      <c r="CPF25" s="197"/>
      <c r="CPG25" s="197"/>
      <c r="CPH25" s="197"/>
      <c r="CPI25" s="197"/>
      <c r="CPJ25" s="197"/>
      <c r="CPK25" s="197"/>
      <c r="CPL25" s="197"/>
      <c r="CPM25" s="197"/>
      <c r="CPN25" s="197"/>
      <c r="CPO25" s="197"/>
      <c r="CPP25" s="197"/>
      <c r="CPQ25" s="197"/>
      <c r="CPR25" s="197"/>
      <c r="CPS25" s="197"/>
      <c r="CPT25" s="197"/>
      <c r="CPU25" s="197"/>
      <c r="CPV25" s="197"/>
      <c r="CPW25" s="197"/>
      <c r="CPX25" s="197"/>
      <c r="CPY25" s="197"/>
      <c r="CPZ25" s="197"/>
      <c r="CQA25" s="197"/>
      <c r="CQB25" s="197"/>
      <c r="CQC25" s="197"/>
      <c r="CQD25" s="197"/>
      <c r="CQE25" s="197"/>
      <c r="CQF25" s="197"/>
      <c r="CQG25" s="197"/>
      <c r="CQH25" s="197"/>
      <c r="CQI25" s="197"/>
      <c r="CQJ25" s="197"/>
      <c r="CQK25" s="197"/>
      <c r="CQL25" s="197"/>
      <c r="CQM25" s="197"/>
      <c r="CQN25" s="197"/>
      <c r="CQO25" s="197"/>
      <c r="CQP25" s="197"/>
      <c r="CQQ25" s="197"/>
      <c r="CQR25" s="197"/>
      <c r="CQS25" s="197"/>
      <c r="CQT25" s="197"/>
      <c r="CQU25" s="197"/>
      <c r="CQV25" s="197"/>
      <c r="CQW25" s="197"/>
      <c r="CQX25" s="197"/>
      <c r="CQY25" s="197"/>
      <c r="CQZ25" s="197"/>
      <c r="CRA25" s="197"/>
      <c r="CRB25" s="197"/>
      <c r="CRC25" s="197"/>
      <c r="CRD25" s="197"/>
      <c r="CRE25" s="197"/>
      <c r="CRF25" s="197"/>
      <c r="CRG25" s="197"/>
      <c r="CRH25" s="197"/>
      <c r="CRI25" s="197"/>
      <c r="CRJ25" s="197"/>
      <c r="CRK25" s="197"/>
      <c r="CRL25" s="197"/>
      <c r="CRM25" s="197"/>
      <c r="CRN25" s="197"/>
      <c r="CRO25" s="197"/>
      <c r="CRP25" s="197"/>
      <c r="CRQ25" s="197"/>
      <c r="CRR25" s="197"/>
      <c r="CRS25" s="197"/>
      <c r="CRT25" s="197"/>
      <c r="CRU25" s="197"/>
      <c r="CRV25" s="197"/>
      <c r="CRW25" s="197"/>
      <c r="CRX25" s="197"/>
      <c r="CRY25" s="197"/>
      <c r="CRZ25" s="197"/>
      <c r="CSA25" s="197"/>
      <c r="CSB25" s="197"/>
      <c r="CSC25" s="197"/>
      <c r="CSD25" s="197"/>
      <c r="CSE25" s="197"/>
      <c r="CSF25" s="197"/>
      <c r="CSG25" s="197"/>
      <c r="CSH25" s="197"/>
      <c r="CSI25" s="197"/>
      <c r="CSJ25" s="197"/>
      <c r="CSK25" s="197"/>
      <c r="CSL25" s="197"/>
      <c r="CSM25" s="197"/>
      <c r="CSN25" s="197"/>
      <c r="CSO25" s="197"/>
      <c r="CSP25" s="197"/>
      <c r="CSQ25" s="197"/>
      <c r="CSR25" s="197"/>
      <c r="CSS25" s="197"/>
      <c r="CST25" s="197"/>
      <c r="CSU25" s="197"/>
      <c r="CSV25" s="197"/>
      <c r="CSW25" s="197"/>
      <c r="CSX25" s="197"/>
      <c r="CSY25" s="197"/>
      <c r="CSZ25" s="197"/>
      <c r="CTA25" s="197"/>
      <c r="CTB25" s="197"/>
      <c r="CTC25" s="197"/>
      <c r="CTD25" s="197"/>
      <c r="CTE25" s="197"/>
      <c r="CTF25" s="197"/>
      <c r="CTG25" s="197"/>
      <c r="CTH25" s="197"/>
      <c r="CTI25" s="197"/>
      <c r="CTJ25" s="197"/>
      <c r="CTK25" s="197"/>
      <c r="CTL25" s="197"/>
      <c r="CTM25" s="197"/>
      <c r="CTN25" s="197"/>
      <c r="CTO25" s="197"/>
      <c r="CTP25" s="197"/>
      <c r="CTQ25" s="197"/>
      <c r="CTR25" s="197"/>
      <c r="CTS25" s="197"/>
      <c r="CTT25" s="197"/>
      <c r="CTU25" s="197"/>
      <c r="CTV25" s="197"/>
      <c r="CTW25" s="197"/>
      <c r="CTX25" s="197"/>
      <c r="CTY25" s="197"/>
      <c r="CTZ25" s="197"/>
      <c r="CUA25" s="197"/>
      <c r="CUB25" s="197"/>
      <c r="CUC25" s="197"/>
      <c r="CUD25" s="197"/>
      <c r="CUE25" s="197"/>
      <c r="CUF25" s="197"/>
      <c r="CUG25" s="197"/>
      <c r="CUH25" s="197"/>
      <c r="CUI25" s="197"/>
      <c r="CUJ25" s="197"/>
      <c r="CUK25" s="197"/>
      <c r="CUL25" s="197"/>
      <c r="CUM25" s="197"/>
      <c r="CUN25" s="197"/>
      <c r="CUO25" s="197"/>
      <c r="CUP25" s="197"/>
      <c r="CUQ25" s="197"/>
      <c r="CUR25" s="197"/>
      <c r="CUS25" s="197"/>
      <c r="CUT25" s="197"/>
      <c r="CUU25" s="197"/>
      <c r="CUV25" s="197"/>
      <c r="CUW25" s="197"/>
      <c r="CUX25" s="197"/>
      <c r="CUY25" s="197"/>
      <c r="CUZ25" s="197"/>
      <c r="CVA25" s="197"/>
      <c r="CVB25" s="197"/>
      <c r="CVC25" s="197"/>
      <c r="CVD25" s="197"/>
      <c r="CVE25" s="197"/>
      <c r="CVF25" s="197"/>
      <c r="CVG25" s="197"/>
      <c r="CVH25" s="197"/>
      <c r="CVI25" s="197"/>
      <c r="CVJ25" s="197"/>
      <c r="CVK25" s="197"/>
      <c r="CVL25" s="197"/>
      <c r="CVM25" s="197"/>
      <c r="CVN25" s="197"/>
      <c r="CVO25" s="197"/>
      <c r="CVP25" s="197"/>
      <c r="CVQ25" s="197"/>
      <c r="CVR25" s="197"/>
      <c r="CVS25" s="197"/>
      <c r="CVT25" s="197"/>
      <c r="CVU25" s="197"/>
      <c r="CVV25" s="197"/>
      <c r="CVW25" s="197"/>
      <c r="CVX25" s="197"/>
      <c r="CVY25" s="197"/>
      <c r="CVZ25" s="197"/>
      <c r="CWA25" s="197"/>
      <c r="CWB25" s="197"/>
      <c r="CWC25" s="197"/>
      <c r="CWD25" s="197"/>
      <c r="CWE25" s="197"/>
      <c r="CWF25" s="197"/>
      <c r="CWG25" s="197"/>
      <c r="CWH25" s="197"/>
      <c r="CWI25" s="197"/>
      <c r="CWJ25" s="197"/>
      <c r="CWK25" s="197"/>
      <c r="CWL25" s="197"/>
      <c r="CWM25" s="197"/>
      <c r="CWN25" s="197"/>
      <c r="CWO25" s="197"/>
      <c r="CWP25" s="197"/>
      <c r="CWQ25" s="197"/>
      <c r="CWR25" s="197"/>
      <c r="CWS25" s="197"/>
      <c r="CWT25" s="197"/>
      <c r="CWU25" s="197"/>
      <c r="CWV25" s="197"/>
      <c r="CWW25" s="197"/>
      <c r="CWX25" s="197"/>
      <c r="CWY25" s="197"/>
      <c r="CWZ25" s="197"/>
      <c r="CXA25" s="197"/>
      <c r="CXB25" s="197"/>
      <c r="CXC25" s="197"/>
      <c r="CXD25" s="197"/>
      <c r="CXE25" s="197"/>
      <c r="CXF25" s="197"/>
      <c r="CXG25" s="197"/>
      <c r="CXH25" s="197"/>
      <c r="CXI25" s="197"/>
      <c r="CXJ25" s="197"/>
      <c r="CXK25" s="197"/>
      <c r="CXL25" s="197"/>
      <c r="CXM25" s="197"/>
      <c r="CXN25" s="197"/>
      <c r="CXO25" s="197"/>
      <c r="CXP25" s="197"/>
      <c r="CXQ25" s="197"/>
      <c r="CXR25" s="197"/>
      <c r="CXS25" s="197"/>
      <c r="CXT25" s="197"/>
      <c r="CXU25" s="197"/>
      <c r="CXV25" s="197"/>
      <c r="CXW25" s="197"/>
      <c r="CXX25" s="197"/>
      <c r="CXY25" s="197"/>
      <c r="CXZ25" s="197"/>
      <c r="CYA25" s="197"/>
      <c r="CYB25" s="197"/>
      <c r="CYC25" s="197"/>
      <c r="CYD25" s="197"/>
      <c r="CYE25" s="197"/>
      <c r="CYF25" s="197"/>
      <c r="CYG25" s="197"/>
      <c r="CYH25" s="197"/>
      <c r="CYI25" s="197"/>
      <c r="CYJ25" s="197"/>
      <c r="CYK25" s="197"/>
      <c r="CYL25" s="197"/>
      <c r="CYM25" s="197"/>
      <c r="CYN25" s="197"/>
      <c r="CYO25" s="197"/>
      <c r="CYP25" s="197"/>
      <c r="CYQ25" s="197"/>
      <c r="CYR25" s="197"/>
      <c r="CYS25" s="197"/>
      <c r="CYT25" s="197"/>
      <c r="CYU25" s="197"/>
      <c r="CYV25" s="197"/>
      <c r="CYW25" s="197"/>
      <c r="CYX25" s="197"/>
      <c r="CYY25" s="197"/>
      <c r="CYZ25" s="197"/>
      <c r="CZA25" s="197"/>
      <c r="CZB25" s="197"/>
      <c r="CZC25" s="197"/>
      <c r="CZD25" s="197"/>
      <c r="CZE25" s="197"/>
      <c r="CZF25" s="197"/>
      <c r="CZG25" s="197"/>
      <c r="CZH25" s="197"/>
      <c r="CZI25" s="197"/>
      <c r="CZJ25" s="197"/>
      <c r="CZK25" s="197"/>
      <c r="CZL25" s="197"/>
      <c r="CZM25" s="197"/>
      <c r="CZN25" s="197"/>
      <c r="CZO25" s="197"/>
      <c r="CZP25" s="197"/>
      <c r="CZQ25" s="197"/>
      <c r="CZR25" s="197"/>
      <c r="CZS25" s="197"/>
      <c r="CZT25" s="197"/>
      <c r="CZU25" s="197"/>
      <c r="CZV25" s="197"/>
      <c r="CZW25" s="197"/>
      <c r="CZX25" s="197"/>
      <c r="CZY25" s="197"/>
      <c r="CZZ25" s="197"/>
      <c r="DAA25" s="197"/>
      <c r="DAB25" s="197"/>
      <c r="DAC25" s="197"/>
      <c r="DAD25" s="197"/>
      <c r="DAE25" s="197"/>
      <c r="DAF25" s="197"/>
      <c r="DAG25" s="197"/>
      <c r="DAH25" s="197"/>
      <c r="DAI25" s="197"/>
      <c r="DAJ25" s="197"/>
      <c r="DAK25" s="197"/>
      <c r="DAL25" s="197"/>
      <c r="DAM25" s="197"/>
      <c r="DAN25" s="197"/>
      <c r="DAO25" s="197"/>
      <c r="DAP25" s="197"/>
      <c r="DAQ25" s="197"/>
      <c r="DAR25" s="197"/>
      <c r="DAS25" s="197"/>
      <c r="DAT25" s="197"/>
      <c r="DAU25" s="197"/>
      <c r="DAV25" s="197"/>
      <c r="DAW25" s="197"/>
      <c r="DAX25" s="197"/>
      <c r="DAY25" s="197"/>
      <c r="DAZ25" s="197"/>
      <c r="DBA25" s="197"/>
      <c r="DBB25" s="197"/>
      <c r="DBC25" s="197"/>
      <c r="DBD25" s="197"/>
      <c r="DBE25" s="197"/>
      <c r="DBF25" s="197"/>
      <c r="DBG25" s="197"/>
      <c r="DBH25" s="197"/>
      <c r="DBI25" s="197"/>
      <c r="DBJ25" s="197"/>
      <c r="DBK25" s="197"/>
      <c r="DBL25" s="197"/>
      <c r="DBM25" s="197"/>
      <c r="DBN25" s="197"/>
      <c r="DBO25" s="197"/>
      <c r="DBP25" s="197"/>
      <c r="DBQ25" s="197"/>
      <c r="DBR25" s="197"/>
      <c r="DBS25" s="197"/>
      <c r="DBT25" s="197"/>
      <c r="DBU25" s="197"/>
      <c r="DBV25" s="197"/>
      <c r="DBW25" s="197"/>
      <c r="DBX25" s="197"/>
      <c r="DBY25" s="197"/>
      <c r="DBZ25" s="197"/>
      <c r="DCA25" s="197"/>
      <c r="DCB25" s="197"/>
      <c r="DCC25" s="197"/>
      <c r="DCD25" s="197"/>
      <c r="DCE25" s="197"/>
      <c r="DCF25" s="197"/>
      <c r="DCG25" s="197"/>
      <c r="DCH25" s="197"/>
      <c r="DCI25" s="197"/>
      <c r="DCJ25" s="197"/>
      <c r="DCK25" s="197"/>
      <c r="DCL25" s="197"/>
      <c r="DCM25" s="197"/>
      <c r="DCN25" s="197"/>
      <c r="DCO25" s="197"/>
      <c r="DCP25" s="197"/>
      <c r="DCQ25" s="197"/>
      <c r="DCR25" s="197"/>
      <c r="DCS25" s="197"/>
      <c r="DCT25" s="197"/>
      <c r="DCU25" s="197"/>
      <c r="DCV25" s="197"/>
      <c r="DCW25" s="197"/>
      <c r="DCX25" s="197"/>
      <c r="DCY25" s="197"/>
      <c r="DCZ25" s="197"/>
      <c r="DDA25" s="197"/>
      <c r="DDB25" s="197"/>
      <c r="DDC25" s="197"/>
      <c r="DDD25" s="197"/>
      <c r="DDE25" s="197"/>
      <c r="DDF25" s="197"/>
      <c r="DDG25" s="197"/>
      <c r="DDH25" s="197"/>
      <c r="DDI25" s="197"/>
      <c r="DDJ25" s="197"/>
      <c r="DDK25" s="197"/>
      <c r="DDL25" s="197"/>
      <c r="DDM25" s="197"/>
      <c r="DDN25" s="197"/>
      <c r="DDO25" s="197"/>
      <c r="DDP25" s="197"/>
      <c r="DDQ25" s="197"/>
      <c r="DDR25" s="197"/>
      <c r="DDS25" s="197"/>
      <c r="DDT25" s="197"/>
      <c r="DDU25" s="197"/>
      <c r="DDV25" s="197"/>
      <c r="DDW25" s="197"/>
      <c r="DDX25" s="197"/>
      <c r="DDY25" s="197"/>
      <c r="DDZ25" s="197"/>
      <c r="DEA25" s="197"/>
      <c r="DEB25" s="197"/>
      <c r="DEC25" s="197"/>
      <c r="DED25" s="197"/>
      <c r="DEE25" s="197"/>
      <c r="DEF25" s="197"/>
      <c r="DEG25" s="197"/>
      <c r="DEH25" s="197"/>
      <c r="DEI25" s="197"/>
      <c r="DEJ25" s="197"/>
      <c r="DEK25" s="197"/>
      <c r="DEL25" s="197"/>
      <c r="DEM25" s="197"/>
      <c r="DEN25" s="197"/>
      <c r="DEO25" s="197"/>
      <c r="DEP25" s="197"/>
      <c r="DEQ25" s="197"/>
      <c r="DER25" s="197"/>
      <c r="DES25" s="197"/>
      <c r="DET25" s="197"/>
      <c r="DEU25" s="197"/>
      <c r="DEV25" s="197"/>
      <c r="DEW25" s="197"/>
      <c r="DEX25" s="197"/>
      <c r="DEY25" s="197"/>
      <c r="DEZ25" s="197"/>
      <c r="DFA25" s="197"/>
      <c r="DFB25" s="197"/>
      <c r="DFC25" s="197"/>
      <c r="DFD25" s="197"/>
      <c r="DFE25" s="197"/>
      <c r="DFF25" s="197"/>
      <c r="DFG25" s="197"/>
      <c r="DFH25" s="197"/>
      <c r="DFI25" s="197"/>
      <c r="DFJ25" s="197"/>
      <c r="DFK25" s="197"/>
      <c r="DFL25" s="197"/>
      <c r="DFM25" s="197"/>
      <c r="DFN25" s="197"/>
      <c r="DFO25" s="197"/>
      <c r="DFP25" s="197"/>
      <c r="DFQ25" s="197"/>
      <c r="DFR25" s="197"/>
      <c r="DFS25" s="197"/>
      <c r="DFT25" s="197"/>
      <c r="DFU25" s="197"/>
      <c r="DFV25" s="197"/>
      <c r="DFW25" s="197"/>
      <c r="DFX25" s="197"/>
      <c r="DFY25" s="197"/>
      <c r="DFZ25" s="197"/>
      <c r="DGA25" s="197"/>
      <c r="DGB25" s="197"/>
      <c r="DGC25" s="197"/>
      <c r="DGD25" s="197"/>
      <c r="DGE25" s="197"/>
      <c r="DGF25" s="197"/>
      <c r="DGG25" s="197"/>
      <c r="DGH25" s="197"/>
      <c r="DGI25" s="197"/>
      <c r="DGJ25" s="197"/>
      <c r="DGK25" s="197"/>
      <c r="DGL25" s="197"/>
      <c r="DGM25" s="197"/>
      <c r="DGN25" s="197"/>
      <c r="DGO25" s="197"/>
      <c r="DGP25" s="197"/>
      <c r="DGQ25" s="197"/>
      <c r="DGR25" s="197"/>
      <c r="DGS25" s="197"/>
      <c r="DGT25" s="197"/>
      <c r="DGU25" s="197"/>
      <c r="DGV25" s="197"/>
      <c r="DGW25" s="197"/>
      <c r="DGX25" s="197"/>
      <c r="DGY25" s="197"/>
      <c r="DGZ25" s="197"/>
      <c r="DHA25" s="197"/>
      <c r="DHB25" s="197"/>
      <c r="DHC25" s="197"/>
      <c r="DHD25" s="197"/>
      <c r="DHE25" s="197"/>
      <c r="DHF25" s="197"/>
      <c r="DHG25" s="197"/>
      <c r="DHH25" s="197"/>
      <c r="DHI25" s="197"/>
      <c r="DHJ25" s="197"/>
      <c r="DHK25" s="197"/>
      <c r="DHL25" s="197"/>
      <c r="DHM25" s="197"/>
      <c r="DHN25" s="197"/>
      <c r="DHO25" s="197"/>
      <c r="DHP25" s="197"/>
      <c r="DHQ25" s="197"/>
      <c r="DHR25" s="197"/>
      <c r="DHS25" s="197"/>
      <c r="DHT25" s="197"/>
      <c r="DHU25" s="197"/>
      <c r="DHV25" s="197"/>
      <c r="DHW25" s="197"/>
      <c r="DHX25" s="197"/>
      <c r="DHY25" s="197"/>
      <c r="DHZ25" s="197"/>
      <c r="DIA25" s="197"/>
      <c r="DIB25" s="197"/>
      <c r="DIC25" s="197"/>
      <c r="DID25" s="197"/>
      <c r="DIE25" s="197"/>
      <c r="DIF25" s="197"/>
      <c r="DIG25" s="197"/>
      <c r="DIH25" s="197"/>
      <c r="DII25" s="197"/>
      <c r="DIJ25" s="197"/>
      <c r="DIK25" s="197"/>
      <c r="DIL25" s="197"/>
      <c r="DIM25" s="197"/>
      <c r="DIN25" s="197"/>
      <c r="DIO25" s="197"/>
      <c r="DIP25" s="197"/>
      <c r="DIQ25" s="197"/>
      <c r="DIR25" s="197"/>
      <c r="DIS25" s="197"/>
      <c r="DIT25" s="197"/>
      <c r="DIU25" s="197"/>
      <c r="DIV25" s="197"/>
      <c r="DIW25" s="197"/>
      <c r="DIX25" s="197"/>
      <c r="DIY25" s="197"/>
      <c r="DIZ25" s="197"/>
      <c r="DJA25" s="197"/>
      <c r="DJB25" s="197"/>
      <c r="DJC25" s="197"/>
      <c r="DJD25" s="197"/>
      <c r="DJE25" s="197"/>
      <c r="DJF25" s="197"/>
      <c r="DJG25" s="197"/>
      <c r="DJH25" s="197"/>
      <c r="DJI25" s="197"/>
      <c r="DJJ25" s="197"/>
      <c r="DJK25" s="197"/>
      <c r="DJL25" s="197"/>
      <c r="DJM25" s="197"/>
      <c r="DJN25" s="197"/>
      <c r="DJO25" s="197"/>
      <c r="DJP25" s="197"/>
      <c r="DJQ25" s="197"/>
      <c r="DJR25" s="197"/>
      <c r="DJS25" s="197"/>
      <c r="DJT25" s="197"/>
      <c r="DJU25" s="197"/>
      <c r="DJV25" s="197"/>
      <c r="DJW25" s="197"/>
      <c r="DJX25" s="197"/>
      <c r="DJY25" s="197"/>
      <c r="DJZ25" s="197"/>
      <c r="DKA25" s="197"/>
      <c r="DKB25" s="197"/>
      <c r="DKC25" s="197"/>
      <c r="DKD25" s="197"/>
      <c r="DKE25" s="197"/>
      <c r="DKF25" s="197"/>
      <c r="DKG25" s="197"/>
      <c r="DKH25" s="197"/>
      <c r="DKI25" s="197"/>
      <c r="DKJ25" s="197"/>
      <c r="DKK25" s="197"/>
      <c r="DKL25" s="197"/>
      <c r="DKM25" s="197"/>
      <c r="DKN25" s="197"/>
      <c r="DKO25" s="197"/>
      <c r="DKP25" s="197"/>
      <c r="DKQ25" s="197"/>
      <c r="DKR25" s="197"/>
      <c r="DKS25" s="197"/>
      <c r="DKT25" s="197"/>
      <c r="DKU25" s="197"/>
      <c r="DKV25" s="197"/>
      <c r="DKW25" s="197"/>
      <c r="DKX25" s="197"/>
      <c r="DKY25" s="197"/>
      <c r="DKZ25" s="197"/>
      <c r="DLA25" s="197"/>
      <c r="DLB25" s="197"/>
      <c r="DLC25" s="197"/>
      <c r="DLD25" s="197"/>
      <c r="DLE25" s="197"/>
      <c r="DLF25" s="197"/>
      <c r="DLG25" s="197"/>
      <c r="DLH25" s="197"/>
      <c r="DLI25" s="197"/>
      <c r="DLJ25" s="197"/>
      <c r="DLK25" s="197"/>
      <c r="DLL25" s="197"/>
      <c r="DLM25" s="197"/>
      <c r="DLN25" s="197"/>
      <c r="DLO25" s="197"/>
      <c r="DLP25" s="197"/>
      <c r="DLQ25" s="197"/>
      <c r="DLR25" s="197"/>
      <c r="DLS25" s="197"/>
      <c r="DLT25" s="197"/>
      <c r="DLU25" s="197"/>
      <c r="DLV25" s="197"/>
      <c r="DLW25" s="197"/>
      <c r="DLX25" s="197"/>
      <c r="DLY25" s="197"/>
      <c r="DLZ25" s="197"/>
      <c r="DMA25" s="197"/>
      <c r="DMB25" s="197"/>
      <c r="DMC25" s="197"/>
      <c r="DMD25" s="197"/>
      <c r="DME25" s="197"/>
      <c r="DMF25" s="197"/>
      <c r="DMG25" s="197"/>
      <c r="DMH25" s="197"/>
      <c r="DMI25" s="197"/>
      <c r="DMJ25" s="197"/>
      <c r="DMK25" s="197"/>
      <c r="DML25" s="197"/>
      <c r="DMM25" s="197"/>
      <c r="DMN25" s="197"/>
      <c r="DMO25" s="197"/>
      <c r="DMP25" s="197"/>
      <c r="DMQ25" s="197"/>
      <c r="DMR25" s="197"/>
      <c r="DMS25" s="197"/>
      <c r="DMT25" s="197"/>
      <c r="DMU25" s="197"/>
      <c r="DMV25" s="197"/>
      <c r="DMW25" s="197"/>
      <c r="DMX25" s="197"/>
      <c r="DMY25" s="197"/>
      <c r="DMZ25" s="197"/>
      <c r="DNA25" s="197"/>
      <c r="DNB25" s="197"/>
      <c r="DNC25" s="197"/>
      <c r="DND25" s="197"/>
      <c r="DNE25" s="197"/>
      <c r="DNF25" s="197"/>
      <c r="DNG25" s="197"/>
      <c r="DNH25" s="197"/>
      <c r="DNI25" s="197"/>
      <c r="DNJ25" s="197"/>
      <c r="DNK25" s="197"/>
      <c r="DNL25" s="197"/>
      <c r="DNM25" s="197"/>
      <c r="DNN25" s="197"/>
      <c r="DNO25" s="197"/>
      <c r="DNP25" s="197"/>
      <c r="DNQ25" s="197"/>
      <c r="DNR25" s="197"/>
      <c r="DNS25" s="197"/>
      <c r="DNT25" s="197"/>
      <c r="DNU25" s="197"/>
      <c r="DNV25" s="197"/>
      <c r="DNW25" s="197"/>
      <c r="DNX25" s="197"/>
      <c r="DNY25" s="197"/>
      <c r="DNZ25" s="197"/>
      <c r="DOA25" s="197"/>
      <c r="DOB25" s="197"/>
      <c r="DOC25" s="197"/>
      <c r="DOD25" s="197"/>
      <c r="DOE25" s="197"/>
      <c r="DOF25" s="197"/>
      <c r="DOG25" s="197"/>
      <c r="DOH25" s="197"/>
      <c r="DOI25" s="197"/>
      <c r="DOJ25" s="197"/>
      <c r="DOK25" s="197"/>
      <c r="DOL25" s="197"/>
      <c r="DOM25" s="197"/>
      <c r="DON25" s="197"/>
      <c r="DOO25" s="197"/>
      <c r="DOP25" s="197"/>
      <c r="DOQ25" s="197"/>
      <c r="DOR25" s="197"/>
      <c r="DOS25" s="197"/>
      <c r="DOT25" s="197"/>
      <c r="DOU25" s="197"/>
      <c r="DOV25" s="197"/>
      <c r="DOW25" s="197"/>
      <c r="DOX25" s="197"/>
      <c r="DOY25" s="197"/>
      <c r="DOZ25" s="197"/>
      <c r="DPA25" s="197"/>
      <c r="DPB25" s="197"/>
      <c r="DPC25" s="197"/>
      <c r="DPD25" s="197"/>
      <c r="DPE25" s="197"/>
      <c r="DPF25" s="197"/>
      <c r="DPG25" s="197"/>
      <c r="DPH25" s="197"/>
      <c r="DPI25" s="197"/>
      <c r="DPJ25" s="197"/>
      <c r="DPK25" s="197"/>
      <c r="DPL25" s="197"/>
      <c r="DPM25" s="197"/>
      <c r="DPN25" s="197"/>
      <c r="DPO25" s="197"/>
      <c r="DPP25" s="197"/>
      <c r="DPQ25" s="197"/>
      <c r="DPR25" s="197"/>
      <c r="DPS25" s="197"/>
      <c r="DPT25" s="197"/>
      <c r="DPU25" s="197"/>
      <c r="DPV25" s="197"/>
      <c r="DPW25" s="197"/>
      <c r="DPX25" s="197"/>
      <c r="DPY25" s="197"/>
      <c r="DPZ25" s="197"/>
      <c r="DQA25" s="197"/>
      <c r="DQB25" s="197"/>
      <c r="DQC25" s="197"/>
      <c r="DQD25" s="197"/>
      <c r="DQE25" s="197"/>
      <c r="DQF25" s="197"/>
      <c r="DQG25" s="197"/>
      <c r="DQH25" s="197"/>
      <c r="DQI25" s="197"/>
      <c r="DQJ25" s="197"/>
      <c r="DQK25" s="197"/>
      <c r="DQL25" s="197"/>
      <c r="DQM25" s="197"/>
      <c r="DQN25" s="197"/>
      <c r="DQO25" s="197"/>
      <c r="DQP25" s="197"/>
      <c r="DQQ25" s="197"/>
      <c r="DQR25" s="197"/>
      <c r="DQS25" s="197"/>
      <c r="DQT25" s="197"/>
      <c r="DQU25" s="197"/>
      <c r="DQV25" s="197"/>
      <c r="DQW25" s="197"/>
      <c r="DQX25" s="197"/>
      <c r="DQY25" s="197"/>
      <c r="DQZ25" s="197"/>
      <c r="DRA25" s="197"/>
      <c r="DRB25" s="197"/>
      <c r="DRC25" s="197"/>
      <c r="DRD25" s="197"/>
      <c r="DRE25" s="197"/>
      <c r="DRF25" s="197"/>
      <c r="DRG25" s="197"/>
      <c r="DRH25" s="197"/>
      <c r="DRI25" s="197"/>
      <c r="DRJ25" s="197"/>
      <c r="DRK25" s="197"/>
      <c r="DRL25" s="197"/>
      <c r="DRM25" s="197"/>
      <c r="DRN25" s="197"/>
      <c r="DRO25" s="197"/>
      <c r="DRP25" s="197"/>
      <c r="DRQ25" s="197"/>
      <c r="DRR25" s="197"/>
      <c r="DRS25" s="197"/>
      <c r="DRT25" s="197"/>
      <c r="DRU25" s="197"/>
      <c r="DRV25" s="197"/>
      <c r="DRW25" s="197"/>
      <c r="DRX25" s="197"/>
      <c r="DRY25" s="197"/>
      <c r="DRZ25" s="197"/>
      <c r="DSA25" s="197"/>
      <c r="DSB25" s="197"/>
      <c r="DSC25" s="197"/>
      <c r="DSD25" s="197"/>
      <c r="DSE25" s="197"/>
      <c r="DSF25" s="197"/>
      <c r="DSG25" s="197"/>
      <c r="DSH25" s="197"/>
      <c r="DSI25" s="197"/>
      <c r="DSJ25" s="197"/>
      <c r="DSK25" s="197"/>
      <c r="DSL25" s="197"/>
      <c r="DSM25" s="197"/>
      <c r="DSN25" s="197"/>
      <c r="DSO25" s="197"/>
      <c r="DSP25" s="197"/>
      <c r="DSQ25" s="197"/>
      <c r="DSR25" s="197"/>
      <c r="DSS25" s="197"/>
      <c r="DST25" s="197"/>
      <c r="DSU25" s="197"/>
      <c r="DSV25" s="197"/>
      <c r="DSW25" s="197"/>
      <c r="DSX25" s="197"/>
      <c r="DSY25" s="197"/>
      <c r="DSZ25" s="197"/>
      <c r="DTA25" s="197"/>
      <c r="DTB25" s="197"/>
      <c r="DTC25" s="197"/>
      <c r="DTD25" s="197"/>
      <c r="DTE25" s="197"/>
      <c r="DTF25" s="197"/>
      <c r="DTG25" s="197"/>
      <c r="DTH25" s="197"/>
      <c r="DTI25" s="197"/>
      <c r="DTJ25" s="197"/>
      <c r="DTK25" s="197"/>
      <c r="DTL25" s="197"/>
      <c r="DTM25" s="197"/>
      <c r="DTN25" s="197"/>
      <c r="DTO25" s="197"/>
      <c r="DTP25" s="197"/>
      <c r="DTQ25" s="197"/>
      <c r="DTR25" s="197"/>
      <c r="DTS25" s="197"/>
      <c r="DTT25" s="197"/>
      <c r="DTU25" s="197"/>
      <c r="DTV25" s="197"/>
      <c r="DTW25" s="197"/>
      <c r="DTX25" s="197"/>
      <c r="DTY25" s="197"/>
      <c r="DTZ25" s="197"/>
      <c r="DUA25" s="197"/>
      <c r="DUB25" s="197"/>
      <c r="DUC25" s="197"/>
      <c r="DUD25" s="197"/>
      <c r="DUE25" s="197"/>
      <c r="DUF25" s="197"/>
      <c r="DUG25" s="197"/>
      <c r="DUH25" s="197"/>
      <c r="DUI25" s="197"/>
      <c r="DUJ25" s="197"/>
      <c r="DUK25" s="197"/>
      <c r="DUL25" s="197"/>
      <c r="DUM25" s="197"/>
      <c r="DUN25" s="197"/>
      <c r="DUO25" s="197"/>
      <c r="DUP25" s="197"/>
      <c r="DUQ25" s="197"/>
      <c r="DUR25" s="197"/>
      <c r="DUS25" s="197"/>
      <c r="DUT25" s="197"/>
      <c r="DUU25" s="197"/>
      <c r="DUV25" s="197"/>
      <c r="DUW25" s="197"/>
      <c r="DUX25" s="197"/>
      <c r="DUY25" s="197"/>
      <c r="DUZ25" s="197"/>
      <c r="DVA25" s="197"/>
      <c r="DVB25" s="197"/>
      <c r="DVC25" s="197"/>
      <c r="DVD25" s="197"/>
      <c r="DVE25" s="197"/>
      <c r="DVF25" s="197"/>
      <c r="DVG25" s="197"/>
      <c r="DVH25" s="197"/>
      <c r="DVI25" s="197"/>
      <c r="DVJ25" s="197"/>
      <c r="DVK25" s="197"/>
      <c r="DVL25" s="197"/>
      <c r="DVM25" s="197"/>
      <c r="DVN25" s="197"/>
      <c r="DVO25" s="197"/>
      <c r="DVP25" s="197"/>
      <c r="DVQ25" s="197"/>
      <c r="DVR25" s="197"/>
      <c r="DVS25" s="197"/>
      <c r="DVT25" s="197"/>
      <c r="DVU25" s="197"/>
      <c r="DVV25" s="197"/>
      <c r="DVW25" s="197"/>
      <c r="DVX25" s="197"/>
      <c r="DVY25" s="197"/>
      <c r="DVZ25" s="197"/>
      <c r="DWA25" s="197"/>
      <c r="DWB25" s="197"/>
      <c r="DWC25" s="197"/>
      <c r="DWD25" s="197"/>
      <c r="DWE25" s="197"/>
      <c r="DWF25" s="197"/>
      <c r="DWG25" s="197"/>
      <c r="DWH25" s="197"/>
      <c r="DWI25" s="197"/>
      <c r="DWJ25" s="197"/>
      <c r="DWK25" s="197"/>
      <c r="DWL25" s="197"/>
      <c r="DWM25" s="197"/>
      <c r="DWN25" s="197"/>
      <c r="DWO25" s="197"/>
      <c r="DWP25" s="197"/>
      <c r="DWQ25" s="197"/>
      <c r="DWR25" s="197"/>
      <c r="DWS25" s="197"/>
      <c r="DWT25" s="197"/>
      <c r="DWU25" s="197"/>
      <c r="DWV25" s="197"/>
      <c r="DWW25" s="197"/>
      <c r="DWX25" s="197"/>
      <c r="DWY25" s="197"/>
      <c r="DWZ25" s="197"/>
      <c r="DXA25" s="197"/>
      <c r="DXB25" s="197"/>
      <c r="DXC25" s="197"/>
      <c r="DXD25" s="197"/>
      <c r="DXE25" s="197"/>
      <c r="DXF25" s="197"/>
      <c r="DXG25" s="197"/>
      <c r="DXH25" s="197"/>
      <c r="DXI25" s="197"/>
      <c r="DXJ25" s="197"/>
      <c r="DXK25" s="197"/>
      <c r="DXL25" s="197"/>
      <c r="DXM25" s="197"/>
      <c r="DXN25" s="197"/>
      <c r="DXO25" s="197"/>
      <c r="DXP25" s="197"/>
      <c r="DXQ25" s="197"/>
      <c r="DXR25" s="197"/>
      <c r="DXS25" s="197"/>
      <c r="DXT25" s="197"/>
      <c r="DXU25" s="197"/>
      <c r="DXV25" s="197"/>
      <c r="DXW25" s="197"/>
      <c r="DXX25" s="197"/>
      <c r="DXY25" s="197"/>
      <c r="DXZ25" s="197"/>
      <c r="DYA25" s="197"/>
      <c r="DYB25" s="197"/>
      <c r="DYC25" s="197"/>
      <c r="DYD25" s="197"/>
      <c r="DYE25" s="197"/>
      <c r="DYF25" s="197"/>
      <c r="DYG25" s="197"/>
      <c r="DYH25" s="197"/>
      <c r="DYI25" s="197"/>
      <c r="DYJ25" s="197"/>
      <c r="DYK25" s="197"/>
      <c r="DYL25" s="197"/>
      <c r="DYM25" s="197"/>
      <c r="DYN25" s="197"/>
      <c r="DYO25" s="197"/>
      <c r="DYP25" s="197"/>
      <c r="DYQ25" s="197"/>
      <c r="DYR25" s="197"/>
      <c r="DYS25" s="197"/>
      <c r="DYT25" s="197"/>
      <c r="DYU25" s="197"/>
      <c r="DYV25" s="197"/>
      <c r="DYW25" s="197"/>
      <c r="DYX25" s="197"/>
      <c r="DYY25" s="197"/>
      <c r="DYZ25" s="197"/>
      <c r="DZA25" s="197"/>
      <c r="DZB25" s="197"/>
      <c r="DZC25" s="197"/>
      <c r="DZD25" s="197"/>
      <c r="DZE25" s="197"/>
      <c r="DZF25" s="197"/>
      <c r="DZG25" s="197"/>
      <c r="DZH25" s="197"/>
      <c r="DZI25" s="197"/>
      <c r="DZJ25" s="197"/>
      <c r="DZK25" s="197"/>
      <c r="DZL25" s="197"/>
      <c r="DZM25" s="197"/>
      <c r="DZN25" s="197"/>
      <c r="DZO25" s="197"/>
      <c r="DZP25" s="197"/>
      <c r="DZQ25" s="197"/>
      <c r="DZR25" s="197"/>
      <c r="DZS25" s="197"/>
      <c r="DZT25" s="197"/>
      <c r="DZU25" s="197"/>
      <c r="DZV25" s="197"/>
      <c r="DZW25" s="197"/>
      <c r="DZX25" s="197"/>
      <c r="DZY25" s="197"/>
      <c r="DZZ25" s="197"/>
      <c r="EAA25" s="197"/>
      <c r="EAB25" s="197"/>
      <c r="EAC25" s="197"/>
      <c r="EAD25" s="197"/>
      <c r="EAE25" s="197"/>
      <c r="EAF25" s="197"/>
      <c r="EAG25" s="197"/>
      <c r="EAH25" s="197"/>
      <c r="EAI25" s="197"/>
      <c r="EAJ25" s="197"/>
      <c r="EAK25" s="197"/>
      <c r="EAL25" s="197"/>
      <c r="EAM25" s="197"/>
      <c r="EAN25" s="197"/>
      <c r="EAO25" s="197"/>
      <c r="EAP25" s="197"/>
      <c r="EAQ25" s="197"/>
      <c r="EAR25" s="197"/>
      <c r="EAS25" s="197"/>
      <c r="EAT25" s="197"/>
      <c r="EAU25" s="197"/>
      <c r="EAV25" s="197"/>
      <c r="EAW25" s="197"/>
      <c r="EAX25" s="197"/>
      <c r="EAY25" s="197"/>
      <c r="EAZ25" s="197"/>
      <c r="EBA25" s="197"/>
      <c r="EBB25" s="197"/>
      <c r="EBC25" s="197"/>
      <c r="EBD25" s="197"/>
      <c r="EBE25" s="197"/>
      <c r="EBF25" s="197"/>
      <c r="EBG25" s="197"/>
      <c r="EBH25" s="197"/>
      <c r="EBI25" s="197"/>
      <c r="EBJ25" s="197"/>
      <c r="EBK25" s="197"/>
      <c r="EBL25" s="197"/>
      <c r="EBM25" s="197"/>
      <c r="EBN25" s="197"/>
      <c r="EBO25" s="197"/>
      <c r="EBP25" s="197"/>
      <c r="EBQ25" s="197"/>
      <c r="EBR25" s="197"/>
      <c r="EBS25" s="197"/>
      <c r="EBT25" s="197"/>
      <c r="EBU25" s="197"/>
      <c r="EBV25" s="197"/>
      <c r="EBW25" s="197"/>
      <c r="EBX25" s="197"/>
      <c r="EBY25" s="197"/>
      <c r="EBZ25" s="197"/>
      <c r="ECA25" s="197"/>
      <c r="ECB25" s="197"/>
      <c r="ECC25" s="197"/>
      <c r="ECD25" s="197"/>
      <c r="ECE25" s="197"/>
      <c r="ECF25" s="197"/>
      <c r="ECG25" s="197"/>
      <c r="ECH25" s="197"/>
      <c r="ECI25" s="197"/>
      <c r="ECJ25" s="197"/>
      <c r="ECK25" s="197"/>
      <c r="ECL25" s="197"/>
      <c r="ECM25" s="197"/>
      <c r="ECN25" s="197"/>
      <c r="ECO25" s="197"/>
      <c r="ECP25" s="197"/>
      <c r="ECQ25" s="197"/>
      <c r="ECR25" s="197"/>
      <c r="ECS25" s="197"/>
      <c r="ECT25" s="197"/>
      <c r="ECU25" s="197"/>
      <c r="ECV25" s="197"/>
      <c r="ECW25" s="197"/>
      <c r="ECX25" s="197"/>
      <c r="ECY25" s="197"/>
      <c r="ECZ25" s="197"/>
      <c r="EDA25" s="197"/>
      <c r="EDB25" s="197"/>
      <c r="EDC25" s="197"/>
      <c r="EDD25" s="197"/>
      <c r="EDE25" s="197"/>
      <c r="EDF25" s="197"/>
      <c r="EDG25" s="197"/>
      <c r="EDH25" s="197"/>
      <c r="EDI25" s="197"/>
      <c r="EDJ25" s="197"/>
      <c r="EDK25" s="197"/>
      <c r="EDL25" s="197"/>
      <c r="EDM25" s="197"/>
      <c r="EDN25" s="197"/>
      <c r="EDO25" s="197"/>
      <c r="EDP25" s="197"/>
      <c r="EDQ25" s="197"/>
      <c r="EDR25" s="197"/>
      <c r="EDS25" s="197"/>
      <c r="EDT25" s="197"/>
      <c r="EDU25" s="197"/>
      <c r="EDV25" s="197"/>
      <c r="EDW25" s="197"/>
      <c r="EDX25" s="197"/>
      <c r="EDY25" s="197"/>
      <c r="EDZ25" s="197"/>
      <c r="EEA25" s="197"/>
      <c r="EEB25" s="197"/>
      <c r="EEC25" s="197"/>
      <c r="EED25" s="197"/>
      <c r="EEE25" s="197"/>
      <c r="EEF25" s="197"/>
      <c r="EEG25" s="197"/>
      <c r="EEH25" s="197"/>
      <c r="EEI25" s="197"/>
      <c r="EEJ25" s="197"/>
      <c r="EEK25" s="197"/>
      <c r="EEL25" s="197"/>
      <c r="EEM25" s="197"/>
      <c r="EEN25" s="197"/>
      <c r="EEO25" s="197"/>
      <c r="EEP25" s="197"/>
      <c r="EEQ25" s="197"/>
      <c r="EER25" s="197"/>
      <c r="EES25" s="197"/>
      <c r="EET25" s="197"/>
      <c r="EEU25" s="197"/>
      <c r="EEV25" s="197"/>
      <c r="EEW25" s="197"/>
      <c r="EEX25" s="197"/>
      <c r="EEY25" s="197"/>
      <c r="EEZ25" s="197"/>
      <c r="EFA25" s="197"/>
      <c r="EFB25" s="197"/>
      <c r="EFC25" s="197"/>
      <c r="EFD25" s="197"/>
      <c r="EFE25" s="197"/>
      <c r="EFF25" s="197"/>
      <c r="EFG25" s="197"/>
      <c r="EFH25" s="197"/>
      <c r="EFI25" s="197"/>
      <c r="EFJ25" s="197"/>
      <c r="EFK25" s="197"/>
      <c r="EFL25" s="197"/>
      <c r="EFM25" s="197"/>
      <c r="EFN25" s="197"/>
      <c r="EFO25" s="197"/>
      <c r="EFP25" s="197"/>
      <c r="EFQ25" s="197"/>
      <c r="EFR25" s="197"/>
      <c r="EFS25" s="197"/>
      <c r="EFT25" s="197"/>
      <c r="EFU25" s="197"/>
      <c r="EFV25" s="197"/>
      <c r="EFW25" s="197"/>
      <c r="EFX25" s="197"/>
      <c r="EFY25" s="197"/>
      <c r="EFZ25" s="197"/>
      <c r="EGA25" s="197"/>
      <c r="EGB25" s="197"/>
      <c r="EGC25" s="197"/>
      <c r="EGD25" s="197"/>
      <c r="EGE25" s="197"/>
      <c r="EGF25" s="197"/>
      <c r="EGG25" s="197"/>
      <c r="EGH25" s="197"/>
      <c r="EGI25" s="197"/>
      <c r="EGJ25" s="197"/>
      <c r="EGK25" s="197"/>
      <c r="EGL25" s="197"/>
      <c r="EGM25" s="197"/>
      <c r="EGN25" s="197"/>
      <c r="EGO25" s="197"/>
      <c r="EGP25" s="197"/>
      <c r="EGQ25" s="197"/>
      <c r="EGR25" s="197"/>
      <c r="EGS25" s="197"/>
      <c r="EGT25" s="197"/>
      <c r="EGU25" s="197"/>
      <c r="EGV25" s="197"/>
      <c r="EGW25" s="197"/>
      <c r="EGX25" s="197"/>
      <c r="EGY25" s="197"/>
      <c r="EGZ25" s="197"/>
      <c r="EHA25" s="197"/>
      <c r="EHB25" s="197"/>
      <c r="EHC25" s="197"/>
      <c r="EHD25" s="197"/>
      <c r="EHE25" s="197"/>
      <c r="EHF25" s="197"/>
      <c r="EHG25" s="197"/>
      <c r="EHH25" s="197"/>
      <c r="EHI25" s="197"/>
      <c r="EHJ25" s="197"/>
      <c r="EHK25" s="197"/>
      <c r="EHL25" s="197"/>
      <c r="EHM25" s="197"/>
      <c r="EHN25" s="197"/>
      <c r="EHO25" s="197"/>
      <c r="EHP25" s="197"/>
      <c r="EHQ25" s="197"/>
      <c r="EHR25" s="197"/>
      <c r="EHS25" s="197"/>
      <c r="EHT25" s="197"/>
      <c r="EHU25" s="197"/>
      <c r="EHV25" s="197"/>
      <c r="EHW25" s="197"/>
      <c r="EHX25" s="197"/>
      <c r="EHY25" s="197"/>
      <c r="EHZ25" s="197"/>
      <c r="EIA25" s="197"/>
      <c r="EIB25" s="197"/>
      <c r="EIC25" s="197"/>
      <c r="EID25" s="197"/>
      <c r="EIE25" s="197"/>
      <c r="EIF25" s="197"/>
      <c r="EIG25" s="197"/>
      <c r="EIH25" s="197"/>
      <c r="EII25" s="197"/>
      <c r="EIJ25" s="197"/>
      <c r="EIK25" s="197"/>
      <c r="EIL25" s="197"/>
      <c r="EIM25" s="197"/>
      <c r="EIN25" s="197"/>
      <c r="EIO25" s="197"/>
      <c r="EIP25" s="197"/>
      <c r="EIQ25" s="197"/>
      <c r="EIR25" s="197"/>
      <c r="EIS25" s="197"/>
      <c r="EIT25" s="197"/>
      <c r="EIU25" s="197"/>
      <c r="EIV25" s="197"/>
      <c r="EIW25" s="197"/>
      <c r="EIX25" s="197"/>
      <c r="EIY25" s="197"/>
      <c r="EIZ25" s="197"/>
      <c r="EJA25" s="197"/>
      <c r="EJB25" s="197"/>
      <c r="EJC25" s="197"/>
      <c r="EJD25" s="197"/>
      <c r="EJE25" s="197"/>
      <c r="EJF25" s="197"/>
      <c r="EJG25" s="197"/>
      <c r="EJH25" s="197"/>
      <c r="EJI25" s="197"/>
      <c r="EJJ25" s="197"/>
      <c r="EJK25" s="197"/>
      <c r="EJL25" s="197"/>
      <c r="EJM25" s="197"/>
      <c r="EJN25" s="197"/>
      <c r="EJO25" s="197"/>
      <c r="EJP25" s="197"/>
      <c r="EJQ25" s="197"/>
      <c r="EJR25" s="197"/>
      <c r="EJS25" s="197"/>
      <c r="EJT25" s="197"/>
      <c r="EJU25" s="197"/>
      <c r="EJV25" s="197"/>
      <c r="EJW25" s="197"/>
      <c r="EJX25" s="197"/>
      <c r="EJY25" s="197"/>
      <c r="EJZ25" s="197"/>
      <c r="EKA25" s="197"/>
      <c r="EKB25" s="197"/>
      <c r="EKC25" s="197"/>
      <c r="EKD25" s="197"/>
      <c r="EKE25" s="197"/>
      <c r="EKF25" s="197"/>
      <c r="EKG25" s="197"/>
      <c r="EKH25" s="197"/>
      <c r="EKI25" s="197"/>
      <c r="EKJ25" s="197"/>
      <c r="EKK25" s="197"/>
      <c r="EKL25" s="197"/>
      <c r="EKM25" s="197"/>
      <c r="EKN25" s="197"/>
      <c r="EKO25" s="197"/>
      <c r="EKP25" s="197"/>
      <c r="EKQ25" s="197"/>
      <c r="EKR25" s="197"/>
      <c r="EKS25" s="197"/>
      <c r="EKT25" s="197"/>
      <c r="EKU25" s="197"/>
      <c r="EKV25" s="197"/>
      <c r="EKW25" s="197"/>
      <c r="EKX25" s="197"/>
      <c r="EKY25" s="197"/>
      <c r="EKZ25" s="197"/>
      <c r="ELA25" s="197"/>
      <c r="ELB25" s="197"/>
      <c r="ELC25" s="197"/>
      <c r="ELD25" s="197"/>
      <c r="ELE25" s="197"/>
      <c r="ELF25" s="197"/>
      <c r="ELG25" s="197"/>
      <c r="ELH25" s="197"/>
      <c r="ELI25" s="197"/>
      <c r="ELJ25" s="197"/>
      <c r="ELK25" s="197"/>
      <c r="ELL25" s="197"/>
      <c r="ELM25" s="197"/>
      <c r="ELN25" s="197"/>
      <c r="ELO25" s="197"/>
      <c r="ELP25" s="197"/>
      <c r="ELQ25" s="197"/>
      <c r="ELR25" s="197"/>
      <c r="ELS25" s="197"/>
      <c r="ELT25" s="197"/>
      <c r="ELU25" s="197"/>
      <c r="ELV25" s="197"/>
      <c r="ELW25" s="197"/>
      <c r="ELX25" s="197"/>
      <c r="ELY25" s="197"/>
      <c r="ELZ25" s="197"/>
      <c r="EMA25" s="197"/>
      <c r="EMB25" s="197"/>
      <c r="EMC25" s="197"/>
      <c r="EMD25" s="197"/>
      <c r="EME25" s="197"/>
      <c r="EMF25" s="197"/>
      <c r="EMG25" s="197"/>
      <c r="EMH25" s="197"/>
      <c r="EMI25" s="197"/>
      <c r="EMJ25" s="197"/>
      <c r="EMK25" s="197"/>
      <c r="EML25" s="197"/>
      <c r="EMM25" s="197"/>
      <c r="EMN25" s="197"/>
      <c r="EMO25" s="197"/>
      <c r="EMP25" s="197"/>
      <c r="EMQ25" s="197"/>
      <c r="EMR25" s="197"/>
      <c r="EMS25" s="197"/>
      <c r="EMT25" s="197"/>
      <c r="EMU25" s="197"/>
      <c r="EMV25" s="197"/>
      <c r="EMW25" s="197"/>
      <c r="EMX25" s="197"/>
      <c r="EMY25" s="197"/>
      <c r="EMZ25" s="197"/>
      <c r="ENA25" s="197"/>
      <c r="ENB25" s="197"/>
      <c r="ENC25" s="197"/>
      <c r="END25" s="197"/>
      <c r="ENE25" s="197"/>
      <c r="ENF25" s="197"/>
      <c r="ENG25" s="197"/>
      <c r="ENH25" s="197"/>
      <c r="ENI25" s="197"/>
      <c r="ENJ25" s="197"/>
      <c r="ENK25" s="197"/>
      <c r="ENL25" s="197"/>
      <c r="ENM25" s="197"/>
      <c r="ENN25" s="197"/>
      <c r="ENO25" s="197"/>
      <c r="ENP25" s="197"/>
      <c r="ENQ25" s="197"/>
      <c r="ENR25" s="197"/>
      <c r="ENS25" s="197"/>
      <c r="ENT25" s="197"/>
      <c r="ENU25" s="197"/>
      <c r="ENV25" s="197"/>
      <c r="ENW25" s="197"/>
      <c r="ENX25" s="197"/>
      <c r="ENY25" s="197"/>
      <c r="ENZ25" s="197"/>
      <c r="EOA25" s="197"/>
      <c r="EOB25" s="197"/>
      <c r="EOC25" s="197"/>
      <c r="EOD25" s="197"/>
      <c r="EOE25" s="197"/>
      <c r="EOF25" s="197"/>
      <c r="EOG25" s="197"/>
      <c r="EOH25" s="197"/>
      <c r="EOI25" s="197"/>
      <c r="EOJ25" s="197"/>
      <c r="EOK25" s="197"/>
      <c r="EOL25" s="197"/>
      <c r="EOM25" s="197"/>
      <c r="EON25" s="197"/>
      <c r="EOO25" s="197"/>
      <c r="EOP25" s="197"/>
      <c r="EOQ25" s="197"/>
      <c r="EOR25" s="197"/>
      <c r="EOS25" s="197"/>
      <c r="EOT25" s="197"/>
      <c r="EOU25" s="197"/>
      <c r="EOV25" s="197"/>
      <c r="EOW25" s="197"/>
      <c r="EOX25" s="197"/>
      <c r="EOY25" s="197"/>
      <c r="EOZ25" s="197"/>
      <c r="EPA25" s="197"/>
      <c r="EPB25" s="197"/>
      <c r="EPC25" s="197"/>
      <c r="EPD25" s="197"/>
      <c r="EPE25" s="197"/>
      <c r="EPF25" s="197"/>
      <c r="EPG25" s="197"/>
      <c r="EPH25" s="197"/>
      <c r="EPI25" s="197"/>
      <c r="EPJ25" s="197"/>
      <c r="EPK25" s="197"/>
      <c r="EPL25" s="197"/>
      <c r="EPM25" s="197"/>
      <c r="EPN25" s="197"/>
      <c r="EPO25" s="197"/>
      <c r="EPP25" s="197"/>
      <c r="EPQ25" s="197"/>
      <c r="EPR25" s="197"/>
      <c r="EPS25" s="197"/>
      <c r="EPT25" s="197"/>
      <c r="EPU25" s="197"/>
      <c r="EPV25" s="197"/>
      <c r="EPW25" s="197"/>
      <c r="EPX25" s="197"/>
      <c r="EPY25" s="197"/>
      <c r="EPZ25" s="197"/>
      <c r="EQA25" s="197"/>
      <c r="EQB25" s="197"/>
      <c r="EQC25" s="197"/>
      <c r="EQD25" s="197"/>
      <c r="EQE25" s="197"/>
      <c r="EQF25" s="197"/>
      <c r="EQG25" s="197"/>
      <c r="EQH25" s="197"/>
      <c r="EQI25" s="197"/>
      <c r="EQJ25" s="197"/>
      <c r="EQK25" s="197"/>
      <c r="EQL25" s="197"/>
      <c r="EQM25" s="197"/>
      <c r="EQN25" s="197"/>
      <c r="EQO25" s="197"/>
      <c r="EQP25" s="197"/>
      <c r="EQQ25" s="197"/>
      <c r="EQR25" s="197"/>
      <c r="EQS25" s="197"/>
      <c r="EQT25" s="197"/>
      <c r="EQU25" s="197"/>
      <c r="EQV25" s="197"/>
      <c r="EQW25" s="197"/>
      <c r="EQX25" s="197"/>
      <c r="EQY25" s="197"/>
      <c r="EQZ25" s="197"/>
      <c r="ERA25" s="197"/>
      <c r="ERB25" s="197"/>
      <c r="ERC25" s="197"/>
      <c r="ERD25" s="197"/>
      <c r="ERE25" s="197"/>
      <c r="ERF25" s="197"/>
      <c r="ERG25" s="197"/>
      <c r="ERH25" s="197"/>
      <c r="ERI25" s="197"/>
      <c r="ERJ25" s="197"/>
      <c r="ERK25" s="197"/>
      <c r="ERL25" s="197"/>
      <c r="ERM25" s="197"/>
      <c r="ERN25" s="197"/>
      <c r="ERO25" s="197"/>
      <c r="ERP25" s="197"/>
      <c r="ERQ25" s="197"/>
      <c r="ERR25" s="197"/>
      <c r="ERS25" s="197"/>
      <c r="ERT25" s="197"/>
      <c r="ERU25" s="197"/>
      <c r="ERV25" s="197"/>
      <c r="ERW25" s="197"/>
      <c r="ERX25" s="197"/>
      <c r="ERY25" s="197"/>
      <c r="ERZ25" s="197"/>
      <c r="ESA25" s="197"/>
      <c r="ESB25" s="197"/>
      <c r="ESC25" s="197"/>
      <c r="ESD25" s="197"/>
      <c r="ESE25" s="197"/>
      <c r="ESF25" s="197"/>
      <c r="ESG25" s="197"/>
      <c r="ESH25" s="197"/>
      <c r="ESI25" s="197"/>
      <c r="ESJ25" s="197"/>
      <c r="ESK25" s="197"/>
      <c r="ESL25" s="197"/>
      <c r="ESM25" s="197"/>
      <c r="ESN25" s="197"/>
      <c r="ESO25" s="197"/>
      <c r="ESP25" s="197"/>
      <c r="ESQ25" s="197"/>
      <c r="ESR25" s="197"/>
      <c r="ESS25" s="197"/>
      <c r="EST25" s="197"/>
      <c r="ESU25" s="197"/>
      <c r="ESV25" s="197"/>
      <c r="ESW25" s="197"/>
      <c r="ESX25" s="197"/>
      <c r="ESY25" s="197"/>
      <c r="ESZ25" s="197"/>
      <c r="ETA25" s="197"/>
      <c r="ETB25" s="197"/>
      <c r="ETC25" s="197"/>
      <c r="ETD25" s="197"/>
      <c r="ETE25" s="197"/>
      <c r="ETF25" s="197"/>
      <c r="ETG25" s="197"/>
      <c r="ETH25" s="197"/>
      <c r="ETI25" s="197"/>
      <c r="ETJ25" s="197"/>
      <c r="ETK25" s="197"/>
      <c r="ETL25" s="197"/>
      <c r="ETM25" s="197"/>
      <c r="ETN25" s="197"/>
      <c r="ETO25" s="197"/>
      <c r="ETP25" s="197"/>
      <c r="ETQ25" s="197"/>
      <c r="ETR25" s="197"/>
      <c r="ETS25" s="197"/>
      <c r="ETT25" s="197"/>
      <c r="ETU25" s="197"/>
      <c r="ETV25" s="197"/>
      <c r="ETW25" s="197"/>
      <c r="ETX25" s="197"/>
      <c r="ETY25" s="197"/>
      <c r="ETZ25" s="197"/>
      <c r="EUA25" s="197"/>
      <c r="EUB25" s="197"/>
      <c r="EUC25" s="197"/>
      <c r="EUD25" s="197"/>
      <c r="EUE25" s="197"/>
      <c r="EUF25" s="197"/>
      <c r="EUG25" s="197"/>
      <c r="EUH25" s="197"/>
      <c r="EUI25" s="197"/>
      <c r="EUJ25" s="197"/>
      <c r="EUK25" s="197"/>
      <c r="EUL25" s="197"/>
      <c r="EUM25" s="197"/>
      <c r="EUN25" s="197"/>
      <c r="EUO25" s="197"/>
      <c r="EUP25" s="197"/>
      <c r="EUQ25" s="197"/>
      <c r="EUR25" s="197"/>
      <c r="EUS25" s="197"/>
      <c r="EUT25" s="197"/>
      <c r="EUU25" s="197"/>
      <c r="EUV25" s="197"/>
      <c r="EUW25" s="197"/>
      <c r="EUX25" s="197"/>
      <c r="EUY25" s="197"/>
      <c r="EUZ25" s="197"/>
      <c r="EVA25" s="197"/>
      <c r="EVB25" s="197"/>
      <c r="EVC25" s="197"/>
      <c r="EVD25" s="197"/>
      <c r="EVE25" s="197"/>
      <c r="EVF25" s="197"/>
      <c r="EVG25" s="197"/>
      <c r="EVH25" s="197"/>
      <c r="EVI25" s="197"/>
      <c r="EVJ25" s="197"/>
      <c r="EVK25" s="197"/>
      <c r="EVL25" s="197"/>
      <c r="EVM25" s="197"/>
      <c r="EVN25" s="197"/>
      <c r="EVO25" s="197"/>
      <c r="EVP25" s="197"/>
      <c r="EVQ25" s="197"/>
      <c r="EVR25" s="197"/>
      <c r="EVS25" s="197"/>
      <c r="EVT25" s="197"/>
      <c r="EVU25" s="197"/>
      <c r="EVV25" s="197"/>
      <c r="EVW25" s="197"/>
      <c r="EVX25" s="197"/>
      <c r="EVY25" s="197"/>
      <c r="EVZ25" s="197"/>
      <c r="EWA25" s="197"/>
      <c r="EWB25" s="197"/>
      <c r="EWC25" s="197"/>
      <c r="EWD25" s="197"/>
      <c r="EWE25" s="197"/>
      <c r="EWF25" s="197"/>
      <c r="EWG25" s="197"/>
      <c r="EWH25" s="197"/>
      <c r="EWI25" s="197"/>
      <c r="EWJ25" s="197"/>
      <c r="EWK25" s="197"/>
      <c r="EWL25" s="197"/>
      <c r="EWM25" s="197"/>
      <c r="EWN25" s="197"/>
      <c r="EWO25" s="197"/>
      <c r="EWP25" s="197"/>
      <c r="EWQ25" s="197"/>
      <c r="EWR25" s="197"/>
      <c r="EWS25" s="197"/>
      <c r="EWT25" s="197"/>
      <c r="EWU25" s="197"/>
      <c r="EWV25" s="197"/>
      <c r="EWW25" s="197"/>
      <c r="EWX25" s="197"/>
      <c r="EWY25" s="197"/>
      <c r="EWZ25" s="197"/>
      <c r="EXA25" s="197"/>
      <c r="EXB25" s="197"/>
      <c r="EXC25" s="197"/>
      <c r="EXD25" s="197"/>
      <c r="EXE25" s="197"/>
      <c r="EXF25" s="197"/>
      <c r="EXG25" s="197"/>
      <c r="EXH25" s="197"/>
      <c r="EXI25" s="197"/>
      <c r="EXJ25" s="197"/>
      <c r="EXK25" s="197"/>
      <c r="EXL25" s="197"/>
      <c r="EXM25" s="197"/>
      <c r="EXN25" s="197"/>
      <c r="EXO25" s="197"/>
      <c r="EXP25" s="197"/>
      <c r="EXQ25" s="197"/>
      <c r="EXR25" s="197"/>
      <c r="EXS25" s="197"/>
      <c r="EXT25" s="197"/>
      <c r="EXU25" s="197"/>
      <c r="EXV25" s="197"/>
      <c r="EXW25" s="197"/>
      <c r="EXX25" s="197"/>
      <c r="EXY25" s="197"/>
      <c r="EXZ25" s="197"/>
      <c r="EYA25" s="197"/>
      <c r="EYB25" s="197"/>
      <c r="EYC25" s="197"/>
      <c r="EYD25" s="197"/>
      <c r="EYE25" s="197"/>
      <c r="EYF25" s="197"/>
      <c r="EYG25" s="197"/>
      <c r="EYH25" s="197"/>
      <c r="EYI25" s="197"/>
      <c r="EYJ25" s="197"/>
      <c r="EYK25" s="197"/>
      <c r="EYL25" s="197"/>
      <c r="EYM25" s="197"/>
      <c r="EYN25" s="197"/>
      <c r="EYO25" s="197"/>
      <c r="EYP25" s="197"/>
      <c r="EYQ25" s="197"/>
      <c r="EYR25" s="197"/>
      <c r="EYS25" s="197"/>
      <c r="EYT25" s="197"/>
      <c r="EYU25" s="197"/>
      <c r="EYV25" s="197"/>
      <c r="EYW25" s="197"/>
      <c r="EYX25" s="197"/>
      <c r="EYY25" s="197"/>
      <c r="EYZ25" s="197"/>
      <c r="EZA25" s="197"/>
      <c r="EZB25" s="197"/>
      <c r="EZC25" s="197"/>
      <c r="EZD25" s="197"/>
      <c r="EZE25" s="197"/>
      <c r="EZF25" s="197"/>
      <c r="EZG25" s="197"/>
      <c r="EZH25" s="197"/>
      <c r="EZI25" s="197"/>
      <c r="EZJ25" s="197"/>
      <c r="EZK25" s="197"/>
      <c r="EZL25" s="197"/>
      <c r="EZM25" s="197"/>
      <c r="EZN25" s="197"/>
      <c r="EZO25" s="197"/>
      <c r="EZP25" s="197"/>
      <c r="EZQ25" s="197"/>
      <c r="EZR25" s="197"/>
      <c r="EZS25" s="197"/>
      <c r="EZT25" s="197"/>
      <c r="EZU25" s="197"/>
      <c r="EZV25" s="197"/>
      <c r="EZW25" s="197"/>
      <c r="EZX25" s="197"/>
      <c r="EZY25" s="197"/>
      <c r="EZZ25" s="197"/>
      <c r="FAA25" s="197"/>
      <c r="FAB25" s="197"/>
      <c r="FAC25" s="197"/>
      <c r="FAD25" s="197"/>
      <c r="FAE25" s="197"/>
      <c r="FAF25" s="197"/>
      <c r="FAG25" s="197"/>
      <c r="FAH25" s="197"/>
      <c r="FAI25" s="197"/>
      <c r="FAJ25" s="197"/>
      <c r="FAK25" s="197"/>
      <c r="FAL25" s="197"/>
      <c r="FAM25" s="197"/>
      <c r="FAN25" s="197"/>
      <c r="FAO25" s="197"/>
      <c r="FAP25" s="197"/>
      <c r="FAQ25" s="197"/>
      <c r="FAR25" s="197"/>
      <c r="FAS25" s="197"/>
      <c r="FAT25" s="197"/>
      <c r="FAU25" s="197"/>
      <c r="FAV25" s="197"/>
      <c r="FAW25" s="197"/>
      <c r="FAX25" s="197"/>
      <c r="FAY25" s="197"/>
      <c r="FAZ25" s="197"/>
      <c r="FBA25" s="197"/>
      <c r="FBB25" s="197"/>
      <c r="FBC25" s="197"/>
      <c r="FBD25" s="197"/>
      <c r="FBE25" s="197"/>
      <c r="FBF25" s="197"/>
      <c r="FBG25" s="197"/>
      <c r="FBH25" s="197"/>
      <c r="FBI25" s="197"/>
      <c r="FBJ25" s="197"/>
      <c r="FBK25" s="197"/>
      <c r="FBL25" s="197"/>
      <c r="FBM25" s="197"/>
      <c r="FBN25" s="197"/>
      <c r="FBO25" s="197"/>
      <c r="FBP25" s="197"/>
      <c r="FBQ25" s="197"/>
      <c r="FBR25" s="197"/>
      <c r="FBS25" s="197"/>
      <c r="FBT25" s="197"/>
      <c r="FBU25" s="197"/>
      <c r="FBV25" s="197"/>
      <c r="FBW25" s="197"/>
      <c r="FBX25" s="197"/>
      <c r="FBY25" s="197"/>
      <c r="FBZ25" s="197"/>
      <c r="FCA25" s="197"/>
      <c r="FCB25" s="197"/>
      <c r="FCC25" s="197"/>
      <c r="FCD25" s="197"/>
      <c r="FCE25" s="197"/>
      <c r="FCF25" s="197"/>
      <c r="FCG25" s="197"/>
      <c r="FCH25" s="197"/>
      <c r="FCI25" s="197"/>
      <c r="FCJ25" s="197"/>
      <c r="FCK25" s="197"/>
      <c r="FCL25" s="197"/>
      <c r="FCM25" s="197"/>
      <c r="FCN25" s="197"/>
      <c r="FCO25" s="197"/>
      <c r="FCP25" s="197"/>
      <c r="FCQ25" s="197"/>
      <c r="FCR25" s="197"/>
      <c r="FCS25" s="197"/>
      <c r="FCT25" s="197"/>
      <c r="FCU25" s="197"/>
      <c r="FCV25" s="197"/>
      <c r="FCW25" s="197"/>
      <c r="FCX25" s="197"/>
      <c r="FCY25" s="197"/>
      <c r="FCZ25" s="197"/>
      <c r="FDA25" s="197"/>
      <c r="FDB25" s="197"/>
      <c r="FDC25" s="197"/>
      <c r="FDD25" s="197"/>
      <c r="FDE25" s="197"/>
      <c r="FDF25" s="197"/>
      <c r="FDG25" s="197"/>
      <c r="FDH25" s="197"/>
      <c r="FDI25" s="197"/>
      <c r="FDJ25" s="197"/>
      <c r="FDK25" s="197"/>
      <c r="FDL25" s="197"/>
      <c r="FDM25" s="197"/>
      <c r="FDN25" s="197"/>
      <c r="FDO25" s="197"/>
      <c r="FDP25" s="197"/>
      <c r="FDQ25" s="197"/>
      <c r="FDR25" s="197"/>
      <c r="FDS25" s="197"/>
      <c r="FDT25" s="197"/>
      <c r="FDU25" s="197"/>
      <c r="FDV25" s="197"/>
      <c r="FDW25" s="197"/>
      <c r="FDX25" s="197"/>
      <c r="FDY25" s="197"/>
      <c r="FDZ25" s="197"/>
      <c r="FEA25" s="197"/>
      <c r="FEB25" s="197"/>
      <c r="FEC25" s="197"/>
      <c r="FED25" s="197"/>
      <c r="FEE25" s="197"/>
      <c r="FEF25" s="197"/>
      <c r="FEG25" s="197"/>
      <c r="FEH25" s="197"/>
      <c r="FEI25" s="197"/>
      <c r="FEJ25" s="197"/>
      <c r="FEK25" s="197"/>
      <c r="FEL25" s="197"/>
      <c r="FEM25" s="197"/>
      <c r="FEN25" s="197"/>
      <c r="FEO25" s="197"/>
      <c r="FEP25" s="197"/>
      <c r="FEQ25" s="197"/>
      <c r="FER25" s="197"/>
      <c r="FES25" s="197"/>
      <c r="FET25" s="197"/>
      <c r="FEU25" s="197"/>
      <c r="FEV25" s="197"/>
      <c r="FEW25" s="197"/>
      <c r="FEX25" s="197"/>
      <c r="FEY25" s="197"/>
      <c r="FEZ25" s="197"/>
      <c r="FFA25" s="197"/>
      <c r="FFB25" s="197"/>
      <c r="FFC25" s="197"/>
      <c r="FFD25" s="197"/>
      <c r="FFE25" s="197"/>
      <c r="FFF25" s="197"/>
      <c r="FFG25" s="197"/>
      <c r="FFH25" s="197"/>
      <c r="FFI25" s="197"/>
      <c r="FFJ25" s="197"/>
      <c r="FFK25" s="197"/>
      <c r="FFL25" s="197"/>
      <c r="FFM25" s="197"/>
      <c r="FFN25" s="197"/>
      <c r="FFO25" s="197"/>
      <c r="FFP25" s="197"/>
      <c r="FFQ25" s="197"/>
      <c r="FFR25" s="197"/>
      <c r="FFS25" s="197"/>
      <c r="FFT25" s="197"/>
      <c r="FFU25" s="197"/>
      <c r="FFV25" s="197"/>
      <c r="FFW25" s="197"/>
      <c r="FFX25" s="197"/>
      <c r="FFY25" s="197"/>
      <c r="FFZ25" s="197"/>
      <c r="FGA25" s="197"/>
      <c r="FGB25" s="197"/>
      <c r="FGC25" s="197"/>
      <c r="FGD25" s="197"/>
      <c r="FGE25" s="197"/>
      <c r="FGF25" s="197"/>
      <c r="FGG25" s="197"/>
      <c r="FGH25" s="197"/>
      <c r="FGI25" s="197"/>
      <c r="FGJ25" s="197"/>
      <c r="FGK25" s="197"/>
      <c r="FGL25" s="197"/>
      <c r="FGM25" s="197"/>
      <c r="FGN25" s="197"/>
      <c r="FGO25" s="197"/>
      <c r="FGP25" s="197"/>
      <c r="FGQ25" s="197"/>
      <c r="FGR25" s="197"/>
      <c r="FGS25" s="197"/>
      <c r="FGT25" s="197"/>
      <c r="FGU25" s="197"/>
      <c r="FGV25" s="197"/>
      <c r="FGW25" s="197"/>
      <c r="FGX25" s="197"/>
      <c r="FGY25" s="197"/>
      <c r="FGZ25" s="197"/>
      <c r="FHA25" s="197"/>
      <c r="FHB25" s="197"/>
      <c r="FHC25" s="197"/>
      <c r="FHD25" s="197"/>
      <c r="FHE25" s="197"/>
      <c r="FHF25" s="197"/>
      <c r="FHG25" s="197"/>
      <c r="FHH25" s="197"/>
      <c r="FHI25" s="197"/>
      <c r="FHJ25" s="197"/>
      <c r="FHK25" s="197"/>
      <c r="FHL25" s="197"/>
      <c r="FHM25" s="197"/>
      <c r="FHN25" s="197"/>
      <c r="FHO25" s="197"/>
      <c r="FHP25" s="197"/>
      <c r="FHQ25" s="197"/>
      <c r="FHR25" s="197"/>
      <c r="FHS25" s="197"/>
      <c r="FHT25" s="197"/>
      <c r="FHU25" s="197"/>
      <c r="FHV25" s="197"/>
      <c r="FHW25" s="197"/>
      <c r="FHX25" s="197"/>
      <c r="FHY25" s="197"/>
      <c r="FHZ25" s="197"/>
      <c r="FIA25" s="197"/>
      <c r="FIB25" s="197"/>
      <c r="FIC25" s="197"/>
      <c r="FID25" s="197"/>
      <c r="FIE25" s="197"/>
      <c r="FIF25" s="197"/>
      <c r="FIG25" s="197"/>
      <c r="FIH25" s="197"/>
      <c r="FII25" s="197"/>
      <c r="FIJ25" s="197"/>
      <c r="FIK25" s="197"/>
      <c r="FIL25" s="197"/>
      <c r="FIM25" s="197"/>
      <c r="FIN25" s="197"/>
      <c r="FIO25" s="197"/>
      <c r="FIP25" s="197"/>
      <c r="FIQ25" s="197"/>
      <c r="FIR25" s="197"/>
      <c r="FIS25" s="197"/>
      <c r="FIT25" s="197"/>
      <c r="FIU25" s="197"/>
      <c r="FIV25" s="197"/>
      <c r="FIW25" s="197"/>
      <c r="FIX25" s="197"/>
      <c r="FIY25" s="197"/>
      <c r="FIZ25" s="197"/>
      <c r="FJA25" s="197"/>
      <c r="FJB25" s="197"/>
      <c r="FJC25" s="197"/>
      <c r="FJD25" s="197"/>
      <c r="FJE25" s="197"/>
      <c r="FJF25" s="197"/>
      <c r="FJG25" s="197"/>
      <c r="FJH25" s="197"/>
      <c r="FJI25" s="197"/>
      <c r="FJJ25" s="197"/>
      <c r="FJK25" s="197"/>
      <c r="FJL25" s="197"/>
      <c r="FJM25" s="197"/>
      <c r="FJN25" s="197"/>
      <c r="FJO25" s="197"/>
      <c r="FJP25" s="197"/>
      <c r="FJQ25" s="197"/>
      <c r="FJR25" s="197"/>
      <c r="FJS25" s="197"/>
      <c r="FJT25" s="197"/>
      <c r="FJU25" s="197"/>
      <c r="FJV25" s="197"/>
      <c r="FJW25" s="197"/>
      <c r="FJX25" s="197"/>
      <c r="FJY25" s="197"/>
      <c r="FJZ25" s="197"/>
      <c r="FKA25" s="197"/>
      <c r="FKB25" s="197"/>
      <c r="FKC25" s="197"/>
      <c r="FKD25" s="197"/>
      <c r="FKE25" s="197"/>
      <c r="FKF25" s="197"/>
      <c r="FKG25" s="197"/>
      <c r="FKH25" s="197"/>
      <c r="FKI25" s="197"/>
      <c r="FKJ25" s="197"/>
      <c r="FKK25" s="197"/>
      <c r="FKL25" s="197"/>
      <c r="FKM25" s="197"/>
      <c r="FKN25" s="197"/>
      <c r="FKO25" s="197"/>
      <c r="FKP25" s="197"/>
      <c r="FKQ25" s="197"/>
      <c r="FKR25" s="197"/>
      <c r="FKS25" s="197"/>
      <c r="FKT25" s="197"/>
      <c r="FKU25" s="197"/>
      <c r="FKV25" s="197"/>
      <c r="FKW25" s="197"/>
      <c r="FKX25" s="197"/>
      <c r="FKY25" s="197"/>
      <c r="FKZ25" s="197"/>
      <c r="FLA25" s="197"/>
      <c r="FLB25" s="197"/>
      <c r="FLC25" s="197"/>
      <c r="FLD25" s="197"/>
      <c r="FLE25" s="197"/>
      <c r="FLF25" s="197"/>
      <c r="FLG25" s="197"/>
      <c r="FLH25" s="197"/>
      <c r="FLI25" s="197"/>
      <c r="FLJ25" s="197"/>
      <c r="FLK25" s="197"/>
      <c r="FLL25" s="197"/>
      <c r="FLM25" s="197"/>
      <c r="FLN25" s="197"/>
      <c r="FLO25" s="197"/>
      <c r="FLP25" s="197"/>
      <c r="FLQ25" s="197"/>
      <c r="FLR25" s="197"/>
      <c r="FLS25" s="197"/>
      <c r="FLT25" s="197"/>
      <c r="FLU25" s="197"/>
      <c r="FLV25" s="197"/>
      <c r="FLW25" s="197"/>
      <c r="FLX25" s="197"/>
      <c r="FLY25" s="197"/>
      <c r="FLZ25" s="197"/>
      <c r="FMA25" s="197"/>
      <c r="FMB25" s="197"/>
      <c r="FMC25" s="197"/>
      <c r="FMD25" s="197"/>
      <c r="FME25" s="197"/>
      <c r="FMF25" s="197"/>
      <c r="FMG25" s="197"/>
      <c r="FMH25" s="197"/>
      <c r="FMI25" s="197"/>
      <c r="FMJ25" s="197"/>
      <c r="FMK25" s="197"/>
      <c r="FML25" s="197"/>
      <c r="FMM25" s="197"/>
      <c r="FMN25" s="197"/>
      <c r="FMO25" s="197"/>
      <c r="FMP25" s="197"/>
      <c r="FMQ25" s="197"/>
      <c r="FMR25" s="197"/>
      <c r="FMS25" s="197"/>
      <c r="FMT25" s="197"/>
      <c r="FMU25" s="197"/>
      <c r="FMV25" s="197"/>
      <c r="FMW25" s="197"/>
      <c r="FMX25" s="197"/>
      <c r="FMY25" s="197"/>
      <c r="FMZ25" s="197"/>
      <c r="FNA25" s="197"/>
      <c r="FNB25" s="197"/>
      <c r="FNC25" s="197"/>
      <c r="FND25" s="197"/>
      <c r="FNE25" s="197"/>
      <c r="FNF25" s="197"/>
      <c r="FNG25" s="197"/>
      <c r="FNH25" s="197"/>
      <c r="FNI25" s="197"/>
      <c r="FNJ25" s="197"/>
      <c r="FNK25" s="197"/>
      <c r="FNL25" s="197"/>
      <c r="FNM25" s="197"/>
      <c r="FNN25" s="197"/>
      <c r="FNO25" s="197"/>
      <c r="FNP25" s="197"/>
      <c r="FNQ25" s="197"/>
      <c r="FNR25" s="197"/>
      <c r="FNS25" s="197"/>
      <c r="FNT25" s="197"/>
      <c r="FNU25" s="197"/>
      <c r="FNV25" s="197"/>
      <c r="FNW25" s="197"/>
      <c r="FNX25" s="197"/>
      <c r="FNY25" s="197"/>
      <c r="FNZ25" s="197"/>
      <c r="FOA25" s="197"/>
      <c r="FOB25" s="197"/>
      <c r="FOC25" s="197"/>
      <c r="FOD25" s="197"/>
      <c r="FOE25" s="197"/>
      <c r="FOF25" s="197"/>
      <c r="FOG25" s="197"/>
      <c r="FOH25" s="197"/>
      <c r="FOI25" s="197"/>
      <c r="FOJ25" s="197"/>
      <c r="FOK25" s="197"/>
      <c r="FOL25" s="197"/>
      <c r="FOM25" s="197"/>
      <c r="FON25" s="197"/>
      <c r="FOO25" s="197"/>
      <c r="FOP25" s="197"/>
      <c r="FOQ25" s="197"/>
      <c r="FOR25" s="197"/>
      <c r="FOS25" s="197"/>
      <c r="FOT25" s="197"/>
      <c r="FOU25" s="197"/>
      <c r="FOV25" s="197"/>
      <c r="FOW25" s="197"/>
      <c r="FOX25" s="197"/>
      <c r="FOY25" s="197"/>
      <c r="FOZ25" s="197"/>
      <c r="FPA25" s="197"/>
      <c r="FPB25" s="197"/>
      <c r="FPC25" s="197"/>
      <c r="FPD25" s="197"/>
      <c r="FPE25" s="197"/>
      <c r="FPF25" s="197"/>
      <c r="FPG25" s="197"/>
      <c r="FPH25" s="197"/>
      <c r="FPI25" s="197"/>
      <c r="FPJ25" s="197"/>
      <c r="FPK25" s="197"/>
      <c r="FPL25" s="197"/>
      <c r="FPM25" s="197"/>
      <c r="FPN25" s="197"/>
      <c r="FPO25" s="197"/>
      <c r="FPP25" s="197"/>
      <c r="FPQ25" s="197"/>
      <c r="FPR25" s="197"/>
      <c r="FPS25" s="197"/>
      <c r="FPT25" s="197"/>
      <c r="FPU25" s="197"/>
      <c r="FPV25" s="197"/>
      <c r="FPW25" s="197"/>
      <c r="FPX25" s="197"/>
      <c r="FPY25" s="197"/>
      <c r="FPZ25" s="197"/>
      <c r="FQA25" s="197"/>
      <c r="FQB25" s="197"/>
      <c r="FQC25" s="197"/>
      <c r="FQD25" s="197"/>
      <c r="FQE25" s="197"/>
      <c r="FQF25" s="197"/>
      <c r="FQG25" s="197"/>
      <c r="FQH25" s="197"/>
      <c r="FQI25" s="197"/>
      <c r="FQJ25" s="197"/>
      <c r="FQK25" s="197"/>
      <c r="FQL25" s="197"/>
      <c r="FQM25" s="197"/>
      <c r="FQN25" s="197"/>
      <c r="FQO25" s="197"/>
      <c r="FQP25" s="197"/>
      <c r="FQQ25" s="197"/>
      <c r="FQR25" s="197"/>
      <c r="FQS25" s="197"/>
      <c r="FQT25" s="197"/>
      <c r="FQU25" s="197"/>
      <c r="FQV25" s="197"/>
      <c r="FQW25" s="197"/>
      <c r="FQX25" s="197"/>
      <c r="FQY25" s="197"/>
      <c r="FQZ25" s="197"/>
      <c r="FRA25" s="197"/>
      <c r="FRB25" s="197"/>
      <c r="FRC25" s="197"/>
      <c r="FRD25" s="197"/>
      <c r="FRE25" s="197"/>
      <c r="FRF25" s="197"/>
      <c r="FRG25" s="197"/>
      <c r="FRH25" s="197"/>
      <c r="FRI25" s="197"/>
      <c r="FRJ25" s="197"/>
      <c r="FRK25" s="197"/>
      <c r="FRL25" s="197"/>
      <c r="FRM25" s="197"/>
      <c r="FRN25" s="197"/>
      <c r="FRO25" s="197"/>
      <c r="FRP25" s="197"/>
      <c r="FRQ25" s="197"/>
      <c r="FRR25" s="197"/>
      <c r="FRS25" s="197"/>
      <c r="FRT25" s="197"/>
      <c r="FRU25" s="197"/>
      <c r="FRV25" s="197"/>
      <c r="FRW25" s="197"/>
      <c r="FRX25" s="197"/>
      <c r="FRY25" s="197"/>
      <c r="FRZ25" s="197"/>
      <c r="FSA25" s="197"/>
      <c r="FSB25" s="197"/>
      <c r="FSC25" s="197"/>
      <c r="FSD25" s="197"/>
      <c r="FSE25" s="197"/>
      <c r="FSF25" s="197"/>
      <c r="FSG25" s="197"/>
      <c r="FSH25" s="197"/>
      <c r="FSI25" s="197"/>
      <c r="FSJ25" s="197"/>
      <c r="FSK25" s="197"/>
      <c r="FSL25" s="197"/>
      <c r="FSM25" s="197"/>
      <c r="FSN25" s="197"/>
      <c r="FSO25" s="197"/>
      <c r="FSP25" s="197"/>
      <c r="FSQ25" s="197"/>
      <c r="FSR25" s="197"/>
      <c r="FSS25" s="197"/>
      <c r="FST25" s="197"/>
      <c r="FSU25" s="197"/>
      <c r="FSV25" s="197"/>
      <c r="FSW25" s="197"/>
      <c r="FSX25" s="197"/>
      <c r="FSY25" s="197"/>
      <c r="FSZ25" s="197"/>
      <c r="FTA25" s="197"/>
      <c r="FTB25" s="197"/>
      <c r="FTC25" s="197"/>
      <c r="FTD25" s="197"/>
      <c r="FTE25" s="197"/>
      <c r="FTF25" s="197"/>
      <c r="FTG25" s="197"/>
      <c r="FTH25" s="197"/>
      <c r="FTI25" s="197"/>
      <c r="FTJ25" s="197"/>
      <c r="FTK25" s="197"/>
      <c r="FTL25" s="197"/>
      <c r="FTM25" s="197"/>
      <c r="FTN25" s="197"/>
      <c r="FTO25" s="197"/>
      <c r="FTP25" s="197"/>
      <c r="FTQ25" s="197"/>
      <c r="FTR25" s="197"/>
      <c r="FTS25" s="197"/>
      <c r="FTT25" s="197"/>
      <c r="FTU25" s="197"/>
      <c r="FTV25" s="197"/>
      <c r="FTW25" s="197"/>
      <c r="FTX25" s="197"/>
      <c r="FTY25" s="197"/>
      <c r="FTZ25" s="197"/>
      <c r="FUA25" s="197"/>
      <c r="FUB25" s="197"/>
      <c r="FUC25" s="197"/>
      <c r="FUD25" s="197"/>
      <c r="FUE25" s="197"/>
      <c r="FUF25" s="197"/>
      <c r="FUG25" s="197"/>
      <c r="FUH25" s="197"/>
      <c r="FUI25" s="197"/>
      <c r="FUJ25" s="197"/>
      <c r="FUK25" s="197"/>
      <c r="FUL25" s="197"/>
      <c r="FUM25" s="197"/>
      <c r="FUN25" s="197"/>
      <c r="FUO25" s="197"/>
      <c r="FUP25" s="197"/>
      <c r="FUQ25" s="197"/>
      <c r="FUR25" s="197"/>
      <c r="FUS25" s="197"/>
      <c r="FUT25" s="197"/>
      <c r="FUU25" s="197"/>
      <c r="FUV25" s="197"/>
      <c r="FUW25" s="197"/>
      <c r="FUX25" s="197"/>
      <c r="FUY25" s="197"/>
      <c r="FUZ25" s="197"/>
      <c r="FVA25" s="197"/>
      <c r="FVB25" s="197"/>
      <c r="FVC25" s="197"/>
      <c r="FVD25" s="197"/>
      <c r="FVE25" s="197"/>
      <c r="FVF25" s="197"/>
      <c r="FVG25" s="197"/>
      <c r="FVH25" s="197"/>
      <c r="FVI25" s="197"/>
      <c r="FVJ25" s="197"/>
      <c r="FVK25" s="197"/>
      <c r="FVL25" s="197"/>
      <c r="FVM25" s="197"/>
      <c r="FVN25" s="197"/>
      <c r="FVO25" s="197"/>
      <c r="FVP25" s="197"/>
      <c r="FVQ25" s="197"/>
      <c r="FVR25" s="197"/>
      <c r="FVS25" s="197"/>
      <c r="FVT25" s="197"/>
      <c r="FVU25" s="197"/>
      <c r="FVV25" s="197"/>
      <c r="FVW25" s="197"/>
      <c r="FVX25" s="197"/>
      <c r="FVY25" s="197"/>
      <c r="FVZ25" s="197"/>
      <c r="FWA25" s="197"/>
      <c r="FWB25" s="197"/>
      <c r="FWC25" s="197"/>
      <c r="FWD25" s="197"/>
      <c r="FWE25" s="197"/>
      <c r="FWF25" s="197"/>
      <c r="FWG25" s="197"/>
      <c r="FWH25" s="197"/>
      <c r="FWI25" s="197"/>
      <c r="FWJ25" s="197"/>
      <c r="FWK25" s="197"/>
      <c r="FWL25" s="197"/>
      <c r="FWM25" s="197"/>
      <c r="FWN25" s="197"/>
      <c r="FWO25" s="197"/>
      <c r="FWP25" s="197"/>
      <c r="FWQ25" s="197"/>
      <c r="FWR25" s="197"/>
      <c r="FWS25" s="197"/>
      <c r="FWT25" s="197"/>
      <c r="FWU25" s="197"/>
      <c r="FWV25" s="197"/>
      <c r="FWW25" s="197"/>
      <c r="FWX25" s="197"/>
      <c r="FWY25" s="197"/>
      <c r="FWZ25" s="197"/>
      <c r="FXA25" s="197"/>
      <c r="FXB25" s="197"/>
      <c r="FXC25" s="197"/>
      <c r="FXD25" s="197"/>
      <c r="FXE25" s="197"/>
      <c r="FXF25" s="197"/>
      <c r="FXG25" s="197"/>
      <c r="FXH25" s="197"/>
      <c r="FXI25" s="197"/>
      <c r="FXJ25" s="197"/>
      <c r="FXK25" s="197"/>
      <c r="FXL25" s="197"/>
      <c r="FXM25" s="197"/>
      <c r="FXN25" s="197"/>
      <c r="FXO25" s="197"/>
      <c r="FXP25" s="197"/>
      <c r="FXQ25" s="197"/>
      <c r="FXR25" s="197"/>
      <c r="FXS25" s="197"/>
      <c r="FXT25" s="197"/>
      <c r="FXU25" s="197"/>
      <c r="FXV25" s="197"/>
      <c r="FXW25" s="197"/>
      <c r="FXX25" s="197"/>
      <c r="FXY25" s="197"/>
      <c r="FXZ25" s="197"/>
      <c r="FYA25" s="197"/>
      <c r="FYB25" s="197"/>
      <c r="FYC25" s="197"/>
      <c r="FYD25" s="197"/>
      <c r="FYE25" s="197"/>
      <c r="FYF25" s="197"/>
      <c r="FYG25" s="197"/>
      <c r="FYH25" s="197"/>
      <c r="FYI25" s="197"/>
      <c r="FYJ25" s="197"/>
      <c r="FYK25" s="197"/>
      <c r="FYL25" s="197"/>
      <c r="FYM25" s="197"/>
      <c r="FYN25" s="197"/>
      <c r="FYO25" s="197"/>
      <c r="FYP25" s="197"/>
      <c r="FYQ25" s="197"/>
      <c r="FYR25" s="197"/>
      <c r="FYS25" s="197"/>
      <c r="FYT25" s="197"/>
      <c r="FYU25" s="197"/>
      <c r="FYV25" s="197"/>
      <c r="FYW25" s="197"/>
      <c r="FYX25" s="197"/>
      <c r="FYY25" s="197"/>
      <c r="FYZ25" s="197"/>
      <c r="FZA25" s="197"/>
      <c r="FZB25" s="197"/>
      <c r="FZC25" s="197"/>
      <c r="FZD25" s="197"/>
      <c r="FZE25" s="197"/>
      <c r="FZF25" s="197"/>
      <c r="FZG25" s="197"/>
      <c r="FZH25" s="197"/>
      <c r="FZI25" s="197"/>
      <c r="FZJ25" s="197"/>
      <c r="FZK25" s="197"/>
      <c r="FZL25" s="197"/>
      <c r="FZM25" s="197"/>
      <c r="FZN25" s="197"/>
      <c r="FZO25" s="197"/>
      <c r="FZP25" s="197"/>
      <c r="FZQ25" s="197"/>
      <c r="FZR25" s="197"/>
      <c r="FZS25" s="197"/>
      <c r="FZT25" s="197"/>
      <c r="FZU25" s="197"/>
      <c r="FZV25" s="197"/>
      <c r="FZW25" s="197"/>
      <c r="FZX25" s="197"/>
      <c r="FZY25" s="197"/>
      <c r="FZZ25" s="197"/>
      <c r="GAA25" s="197"/>
      <c r="GAB25" s="197"/>
      <c r="GAC25" s="197"/>
      <c r="GAD25" s="197"/>
      <c r="GAE25" s="197"/>
      <c r="GAF25" s="197"/>
      <c r="GAG25" s="197"/>
      <c r="GAH25" s="197"/>
      <c r="GAI25" s="197"/>
      <c r="GAJ25" s="197"/>
      <c r="GAK25" s="197"/>
      <c r="GAL25" s="197"/>
      <c r="GAM25" s="197"/>
      <c r="GAN25" s="197"/>
      <c r="GAO25" s="197"/>
      <c r="GAP25" s="197"/>
      <c r="GAQ25" s="197"/>
      <c r="GAR25" s="197"/>
      <c r="GAS25" s="197"/>
      <c r="GAT25" s="197"/>
      <c r="GAU25" s="197"/>
      <c r="GAV25" s="197"/>
      <c r="GAW25" s="197"/>
      <c r="GAX25" s="197"/>
      <c r="GAY25" s="197"/>
      <c r="GAZ25" s="197"/>
      <c r="GBA25" s="197"/>
      <c r="GBB25" s="197"/>
      <c r="GBC25" s="197"/>
      <c r="GBD25" s="197"/>
      <c r="GBE25" s="197"/>
      <c r="GBF25" s="197"/>
      <c r="GBG25" s="197"/>
      <c r="GBH25" s="197"/>
      <c r="GBI25" s="197"/>
      <c r="GBJ25" s="197"/>
      <c r="GBK25" s="197"/>
      <c r="GBL25" s="197"/>
      <c r="GBM25" s="197"/>
      <c r="GBN25" s="197"/>
      <c r="GBO25" s="197"/>
      <c r="GBP25" s="197"/>
      <c r="GBQ25" s="197"/>
      <c r="GBR25" s="197"/>
      <c r="GBS25" s="197"/>
      <c r="GBT25" s="197"/>
      <c r="GBU25" s="197"/>
      <c r="GBV25" s="197"/>
      <c r="GBW25" s="197"/>
      <c r="GBX25" s="197"/>
      <c r="GBY25" s="197"/>
      <c r="GBZ25" s="197"/>
      <c r="GCA25" s="197"/>
      <c r="GCB25" s="197"/>
      <c r="GCC25" s="197"/>
      <c r="GCD25" s="197"/>
      <c r="GCE25" s="197"/>
      <c r="GCF25" s="197"/>
      <c r="GCG25" s="197"/>
      <c r="GCH25" s="197"/>
      <c r="GCI25" s="197"/>
      <c r="GCJ25" s="197"/>
      <c r="GCK25" s="197"/>
      <c r="GCL25" s="197"/>
      <c r="GCM25" s="197"/>
      <c r="GCN25" s="197"/>
      <c r="GCO25" s="197"/>
      <c r="GCP25" s="197"/>
      <c r="GCQ25" s="197"/>
      <c r="GCR25" s="197"/>
      <c r="GCS25" s="197"/>
      <c r="GCT25" s="197"/>
      <c r="GCU25" s="197"/>
      <c r="GCV25" s="197"/>
      <c r="GCW25" s="197"/>
      <c r="GCX25" s="197"/>
      <c r="GCY25" s="197"/>
      <c r="GCZ25" s="197"/>
      <c r="GDA25" s="197"/>
      <c r="GDB25" s="197"/>
      <c r="GDC25" s="197"/>
      <c r="GDD25" s="197"/>
      <c r="GDE25" s="197"/>
      <c r="GDF25" s="197"/>
      <c r="GDG25" s="197"/>
      <c r="GDH25" s="197"/>
      <c r="GDI25" s="197"/>
      <c r="GDJ25" s="197"/>
      <c r="GDK25" s="197"/>
      <c r="GDL25" s="197"/>
      <c r="GDM25" s="197"/>
      <c r="GDN25" s="197"/>
      <c r="GDO25" s="197"/>
      <c r="GDP25" s="197"/>
      <c r="GDQ25" s="197"/>
      <c r="GDR25" s="197"/>
      <c r="GDS25" s="197"/>
      <c r="GDT25" s="197"/>
      <c r="GDU25" s="197"/>
      <c r="GDV25" s="197"/>
      <c r="GDW25" s="197"/>
      <c r="GDX25" s="197"/>
      <c r="GDY25" s="197"/>
      <c r="GDZ25" s="197"/>
      <c r="GEA25" s="197"/>
      <c r="GEB25" s="197"/>
      <c r="GEC25" s="197"/>
      <c r="GED25" s="197"/>
      <c r="GEE25" s="197"/>
      <c r="GEF25" s="197"/>
      <c r="GEG25" s="197"/>
      <c r="GEH25" s="197"/>
      <c r="GEI25" s="197"/>
      <c r="GEJ25" s="197"/>
      <c r="GEK25" s="197"/>
      <c r="GEL25" s="197"/>
      <c r="GEM25" s="197"/>
      <c r="GEN25" s="197"/>
      <c r="GEO25" s="197"/>
      <c r="GEP25" s="197"/>
      <c r="GEQ25" s="197"/>
      <c r="GER25" s="197"/>
      <c r="GES25" s="197"/>
      <c r="GET25" s="197"/>
      <c r="GEU25" s="197"/>
      <c r="GEV25" s="197"/>
      <c r="GEW25" s="197"/>
      <c r="GEX25" s="197"/>
      <c r="GEY25" s="197"/>
      <c r="GEZ25" s="197"/>
      <c r="GFA25" s="197"/>
      <c r="GFB25" s="197"/>
      <c r="GFC25" s="197"/>
      <c r="GFD25" s="197"/>
      <c r="GFE25" s="197"/>
      <c r="GFF25" s="197"/>
      <c r="GFG25" s="197"/>
      <c r="GFH25" s="197"/>
      <c r="GFI25" s="197"/>
      <c r="GFJ25" s="197"/>
      <c r="GFK25" s="197"/>
      <c r="GFL25" s="197"/>
      <c r="GFM25" s="197"/>
      <c r="GFN25" s="197"/>
      <c r="GFO25" s="197"/>
      <c r="GFP25" s="197"/>
      <c r="GFQ25" s="197"/>
      <c r="GFR25" s="197"/>
      <c r="GFS25" s="197"/>
      <c r="GFT25" s="197"/>
      <c r="GFU25" s="197"/>
      <c r="GFV25" s="197"/>
      <c r="GFW25" s="197"/>
      <c r="GFX25" s="197"/>
      <c r="GFY25" s="197"/>
      <c r="GFZ25" s="197"/>
      <c r="GGA25" s="197"/>
      <c r="GGB25" s="197"/>
      <c r="GGC25" s="197"/>
      <c r="GGD25" s="197"/>
      <c r="GGE25" s="197"/>
      <c r="GGF25" s="197"/>
      <c r="GGG25" s="197"/>
      <c r="GGH25" s="197"/>
      <c r="GGI25" s="197"/>
      <c r="GGJ25" s="197"/>
      <c r="GGK25" s="197"/>
      <c r="GGL25" s="197"/>
      <c r="GGM25" s="197"/>
      <c r="GGN25" s="197"/>
      <c r="GGO25" s="197"/>
      <c r="GGP25" s="197"/>
      <c r="GGQ25" s="197"/>
      <c r="GGR25" s="197"/>
      <c r="GGS25" s="197"/>
      <c r="GGT25" s="197"/>
      <c r="GGU25" s="197"/>
      <c r="GGV25" s="197"/>
      <c r="GGW25" s="197"/>
      <c r="GGX25" s="197"/>
      <c r="GGY25" s="197"/>
      <c r="GGZ25" s="197"/>
      <c r="GHA25" s="197"/>
      <c r="GHB25" s="197"/>
      <c r="GHC25" s="197"/>
      <c r="GHD25" s="197"/>
      <c r="GHE25" s="197"/>
      <c r="GHF25" s="197"/>
      <c r="GHG25" s="197"/>
      <c r="GHH25" s="197"/>
      <c r="GHI25" s="197"/>
      <c r="GHJ25" s="197"/>
      <c r="GHK25" s="197"/>
      <c r="GHL25" s="197"/>
      <c r="GHM25" s="197"/>
      <c r="GHN25" s="197"/>
      <c r="GHO25" s="197"/>
      <c r="GHP25" s="197"/>
      <c r="GHQ25" s="197"/>
      <c r="GHR25" s="197"/>
      <c r="GHS25" s="197"/>
      <c r="GHT25" s="197"/>
      <c r="GHU25" s="197"/>
      <c r="GHV25" s="197"/>
      <c r="GHW25" s="197"/>
      <c r="GHX25" s="197"/>
      <c r="GHY25" s="197"/>
      <c r="GHZ25" s="197"/>
      <c r="GIA25" s="197"/>
      <c r="GIB25" s="197"/>
      <c r="GIC25" s="197"/>
      <c r="GID25" s="197"/>
      <c r="GIE25" s="197"/>
      <c r="GIF25" s="197"/>
      <c r="GIG25" s="197"/>
      <c r="GIH25" s="197"/>
      <c r="GII25" s="197"/>
      <c r="GIJ25" s="197"/>
      <c r="GIK25" s="197"/>
      <c r="GIL25" s="197"/>
      <c r="GIM25" s="197"/>
      <c r="GIN25" s="197"/>
      <c r="GIO25" s="197"/>
      <c r="GIP25" s="197"/>
      <c r="GIQ25" s="197"/>
      <c r="GIR25" s="197"/>
      <c r="GIS25" s="197"/>
      <c r="GIT25" s="197"/>
      <c r="GIU25" s="197"/>
      <c r="GIV25" s="197"/>
      <c r="GIW25" s="197"/>
      <c r="GIX25" s="197"/>
      <c r="GIY25" s="197"/>
      <c r="GIZ25" s="197"/>
      <c r="GJA25" s="197"/>
      <c r="GJB25" s="197"/>
      <c r="GJC25" s="197"/>
      <c r="GJD25" s="197"/>
      <c r="GJE25" s="197"/>
      <c r="GJF25" s="197"/>
      <c r="GJG25" s="197"/>
      <c r="GJH25" s="197"/>
      <c r="GJI25" s="197"/>
      <c r="GJJ25" s="197"/>
      <c r="GJK25" s="197"/>
      <c r="GJL25" s="197"/>
      <c r="GJM25" s="197"/>
      <c r="GJN25" s="197"/>
      <c r="GJO25" s="197"/>
      <c r="GJP25" s="197"/>
      <c r="GJQ25" s="197"/>
      <c r="GJR25" s="197"/>
      <c r="GJS25" s="197"/>
      <c r="GJT25" s="197"/>
      <c r="GJU25" s="197"/>
      <c r="GJV25" s="197"/>
      <c r="GJW25" s="197"/>
      <c r="GJX25" s="197"/>
      <c r="GJY25" s="197"/>
      <c r="GJZ25" s="197"/>
      <c r="GKA25" s="197"/>
      <c r="GKB25" s="197"/>
      <c r="GKC25" s="197"/>
      <c r="GKD25" s="197"/>
      <c r="GKE25" s="197"/>
      <c r="GKF25" s="197"/>
      <c r="GKG25" s="197"/>
      <c r="GKH25" s="197"/>
      <c r="GKI25" s="197"/>
      <c r="GKJ25" s="197"/>
      <c r="GKK25" s="197"/>
      <c r="GKL25" s="197"/>
      <c r="GKM25" s="197"/>
      <c r="GKN25" s="197"/>
      <c r="GKO25" s="197"/>
      <c r="GKP25" s="197"/>
      <c r="GKQ25" s="197"/>
      <c r="GKR25" s="197"/>
      <c r="GKS25" s="197"/>
      <c r="GKT25" s="197"/>
      <c r="GKU25" s="197"/>
      <c r="GKV25" s="197"/>
      <c r="GKW25" s="197"/>
      <c r="GKX25" s="197"/>
      <c r="GKY25" s="197"/>
      <c r="GKZ25" s="197"/>
      <c r="GLA25" s="197"/>
      <c r="GLB25" s="197"/>
      <c r="GLC25" s="197"/>
      <c r="GLD25" s="197"/>
      <c r="GLE25" s="197"/>
      <c r="GLF25" s="197"/>
      <c r="GLG25" s="197"/>
      <c r="GLH25" s="197"/>
      <c r="GLI25" s="197"/>
      <c r="GLJ25" s="197"/>
      <c r="GLK25" s="197"/>
      <c r="GLL25" s="197"/>
      <c r="GLM25" s="197"/>
      <c r="GLN25" s="197"/>
      <c r="GLO25" s="197"/>
      <c r="GLP25" s="197"/>
      <c r="GLQ25" s="197"/>
      <c r="GLR25" s="197"/>
      <c r="GLS25" s="197"/>
      <c r="GLT25" s="197"/>
      <c r="GLU25" s="197"/>
      <c r="GLV25" s="197"/>
      <c r="GLW25" s="197"/>
      <c r="GLX25" s="197"/>
      <c r="GLY25" s="197"/>
      <c r="GLZ25" s="197"/>
      <c r="GMA25" s="197"/>
      <c r="GMB25" s="197"/>
      <c r="GMC25" s="197"/>
      <c r="GMD25" s="197"/>
      <c r="GME25" s="197"/>
      <c r="GMF25" s="197"/>
      <c r="GMG25" s="197"/>
      <c r="GMH25" s="197"/>
      <c r="GMI25" s="197"/>
      <c r="GMJ25" s="197"/>
      <c r="GMK25" s="197"/>
      <c r="GML25" s="197"/>
      <c r="GMM25" s="197"/>
      <c r="GMN25" s="197"/>
      <c r="GMO25" s="197"/>
      <c r="GMP25" s="197"/>
      <c r="GMQ25" s="197"/>
      <c r="GMR25" s="197"/>
      <c r="GMS25" s="197"/>
      <c r="GMT25" s="197"/>
      <c r="GMU25" s="197"/>
      <c r="GMV25" s="197"/>
      <c r="GMW25" s="197"/>
      <c r="GMX25" s="197"/>
      <c r="GMY25" s="197"/>
      <c r="GMZ25" s="197"/>
      <c r="GNA25" s="197"/>
      <c r="GNB25" s="197"/>
      <c r="GNC25" s="197"/>
      <c r="GND25" s="197"/>
      <c r="GNE25" s="197"/>
      <c r="GNF25" s="197"/>
      <c r="GNG25" s="197"/>
      <c r="GNH25" s="197"/>
      <c r="GNI25" s="197"/>
      <c r="GNJ25" s="197"/>
      <c r="GNK25" s="197"/>
      <c r="GNL25" s="197"/>
      <c r="GNM25" s="197"/>
      <c r="GNN25" s="197"/>
      <c r="GNO25" s="197"/>
      <c r="GNP25" s="197"/>
      <c r="GNQ25" s="197"/>
      <c r="GNR25" s="197"/>
      <c r="GNS25" s="197"/>
      <c r="GNT25" s="197"/>
      <c r="GNU25" s="197"/>
      <c r="GNV25" s="197"/>
      <c r="GNW25" s="197"/>
      <c r="GNX25" s="197"/>
      <c r="GNY25" s="197"/>
      <c r="GNZ25" s="197"/>
      <c r="GOA25" s="197"/>
      <c r="GOB25" s="197"/>
      <c r="GOC25" s="197"/>
      <c r="GOD25" s="197"/>
      <c r="GOE25" s="197"/>
      <c r="GOF25" s="197"/>
      <c r="GOG25" s="197"/>
      <c r="GOH25" s="197"/>
      <c r="GOI25" s="197"/>
      <c r="GOJ25" s="197"/>
      <c r="GOK25" s="197"/>
      <c r="GOL25" s="197"/>
      <c r="GOM25" s="197"/>
      <c r="GON25" s="197"/>
      <c r="GOO25" s="197"/>
      <c r="GOP25" s="197"/>
      <c r="GOQ25" s="197"/>
      <c r="GOR25" s="197"/>
      <c r="GOS25" s="197"/>
      <c r="GOT25" s="197"/>
      <c r="GOU25" s="197"/>
      <c r="GOV25" s="197"/>
      <c r="GOW25" s="197"/>
      <c r="GOX25" s="197"/>
      <c r="GOY25" s="197"/>
      <c r="GOZ25" s="197"/>
      <c r="GPA25" s="197"/>
      <c r="GPB25" s="197"/>
      <c r="GPC25" s="197"/>
      <c r="GPD25" s="197"/>
      <c r="GPE25" s="197"/>
      <c r="GPF25" s="197"/>
      <c r="GPG25" s="197"/>
      <c r="GPH25" s="197"/>
      <c r="GPI25" s="197"/>
      <c r="GPJ25" s="197"/>
      <c r="GPK25" s="197"/>
      <c r="GPL25" s="197"/>
      <c r="GPM25" s="197"/>
      <c r="GPN25" s="197"/>
      <c r="GPO25" s="197"/>
      <c r="GPP25" s="197"/>
      <c r="GPQ25" s="197"/>
      <c r="GPR25" s="197"/>
      <c r="GPS25" s="197"/>
      <c r="GPT25" s="197"/>
      <c r="GPU25" s="197"/>
      <c r="GPV25" s="197"/>
      <c r="GPW25" s="197"/>
      <c r="GPX25" s="197"/>
      <c r="GPY25" s="197"/>
      <c r="GPZ25" s="197"/>
      <c r="GQA25" s="197"/>
      <c r="GQB25" s="197"/>
      <c r="GQC25" s="197"/>
      <c r="GQD25" s="197"/>
      <c r="GQE25" s="197"/>
      <c r="GQF25" s="197"/>
      <c r="GQG25" s="197"/>
      <c r="GQH25" s="197"/>
      <c r="GQI25" s="197"/>
      <c r="GQJ25" s="197"/>
      <c r="GQK25" s="197"/>
      <c r="GQL25" s="197"/>
      <c r="GQM25" s="197"/>
      <c r="GQN25" s="197"/>
      <c r="GQO25" s="197"/>
      <c r="GQP25" s="197"/>
      <c r="GQQ25" s="197"/>
      <c r="GQR25" s="197"/>
      <c r="GQS25" s="197"/>
      <c r="GQT25" s="197"/>
      <c r="GQU25" s="197"/>
      <c r="GQV25" s="197"/>
      <c r="GQW25" s="197"/>
      <c r="GQX25" s="197"/>
      <c r="GQY25" s="197"/>
      <c r="GQZ25" s="197"/>
      <c r="GRA25" s="197"/>
      <c r="GRB25" s="197"/>
      <c r="GRC25" s="197"/>
      <c r="GRD25" s="197"/>
      <c r="GRE25" s="197"/>
      <c r="GRF25" s="197"/>
      <c r="GRG25" s="197"/>
      <c r="GRH25" s="197"/>
      <c r="GRI25" s="197"/>
      <c r="GRJ25" s="197"/>
      <c r="GRK25" s="197"/>
      <c r="GRL25" s="197"/>
      <c r="GRM25" s="197"/>
      <c r="GRN25" s="197"/>
      <c r="GRO25" s="197"/>
      <c r="GRP25" s="197"/>
      <c r="GRQ25" s="197"/>
      <c r="GRR25" s="197"/>
      <c r="GRS25" s="197"/>
      <c r="GRT25" s="197"/>
      <c r="GRU25" s="197"/>
      <c r="GRV25" s="197"/>
      <c r="GRW25" s="197"/>
      <c r="GRX25" s="197"/>
      <c r="GRY25" s="197"/>
      <c r="GRZ25" s="197"/>
      <c r="GSA25" s="197"/>
      <c r="GSB25" s="197"/>
      <c r="GSC25" s="197"/>
      <c r="GSD25" s="197"/>
      <c r="GSE25" s="197"/>
      <c r="GSF25" s="197"/>
      <c r="GSG25" s="197"/>
      <c r="GSH25" s="197"/>
      <c r="GSI25" s="197"/>
      <c r="GSJ25" s="197"/>
      <c r="GSK25" s="197"/>
      <c r="GSL25" s="197"/>
      <c r="GSM25" s="197"/>
      <c r="GSN25" s="197"/>
      <c r="GSO25" s="197"/>
      <c r="GSP25" s="197"/>
      <c r="GSQ25" s="197"/>
      <c r="GSR25" s="197"/>
      <c r="GSS25" s="197"/>
      <c r="GST25" s="197"/>
      <c r="GSU25" s="197"/>
      <c r="GSV25" s="197"/>
      <c r="GSW25" s="197"/>
      <c r="GSX25" s="197"/>
      <c r="GSY25" s="197"/>
      <c r="GSZ25" s="197"/>
      <c r="GTA25" s="197"/>
      <c r="GTB25" s="197"/>
      <c r="GTC25" s="197"/>
      <c r="GTD25" s="197"/>
      <c r="GTE25" s="197"/>
      <c r="GTF25" s="197"/>
      <c r="GTG25" s="197"/>
      <c r="GTH25" s="197"/>
      <c r="GTI25" s="197"/>
      <c r="GTJ25" s="197"/>
      <c r="GTK25" s="197"/>
      <c r="GTL25" s="197"/>
      <c r="GTM25" s="197"/>
      <c r="GTN25" s="197"/>
      <c r="GTO25" s="197"/>
      <c r="GTP25" s="197"/>
      <c r="GTQ25" s="197"/>
      <c r="GTR25" s="197"/>
      <c r="GTS25" s="197"/>
      <c r="GTT25" s="197"/>
      <c r="GTU25" s="197"/>
      <c r="GTV25" s="197"/>
      <c r="GTW25" s="197"/>
      <c r="GTX25" s="197"/>
      <c r="GTY25" s="197"/>
      <c r="GTZ25" s="197"/>
      <c r="GUA25" s="197"/>
      <c r="GUB25" s="197"/>
      <c r="GUC25" s="197"/>
      <c r="GUD25" s="197"/>
      <c r="GUE25" s="197"/>
      <c r="GUF25" s="197"/>
      <c r="GUG25" s="197"/>
      <c r="GUH25" s="197"/>
      <c r="GUI25" s="197"/>
      <c r="GUJ25" s="197"/>
      <c r="GUK25" s="197"/>
      <c r="GUL25" s="197"/>
      <c r="GUM25" s="197"/>
      <c r="GUN25" s="197"/>
      <c r="GUO25" s="197"/>
      <c r="GUP25" s="197"/>
      <c r="GUQ25" s="197"/>
      <c r="GUR25" s="197"/>
      <c r="GUS25" s="197"/>
      <c r="GUT25" s="197"/>
      <c r="GUU25" s="197"/>
      <c r="GUV25" s="197"/>
      <c r="GUW25" s="197"/>
      <c r="GUX25" s="197"/>
      <c r="GUY25" s="197"/>
      <c r="GUZ25" s="197"/>
      <c r="GVA25" s="197"/>
      <c r="GVB25" s="197"/>
      <c r="GVC25" s="197"/>
      <c r="GVD25" s="197"/>
      <c r="GVE25" s="197"/>
      <c r="GVF25" s="197"/>
      <c r="GVG25" s="197"/>
      <c r="GVH25" s="197"/>
      <c r="GVI25" s="197"/>
      <c r="GVJ25" s="197"/>
      <c r="GVK25" s="197"/>
      <c r="GVL25" s="197"/>
      <c r="GVM25" s="197"/>
      <c r="GVN25" s="197"/>
      <c r="GVO25" s="197"/>
      <c r="GVP25" s="197"/>
      <c r="GVQ25" s="197"/>
      <c r="GVR25" s="197"/>
      <c r="GVS25" s="197"/>
      <c r="GVT25" s="197"/>
      <c r="GVU25" s="197"/>
      <c r="GVV25" s="197"/>
      <c r="GVW25" s="197"/>
      <c r="GVX25" s="197"/>
      <c r="GVY25" s="197"/>
      <c r="GVZ25" s="197"/>
      <c r="GWA25" s="197"/>
      <c r="GWB25" s="197"/>
      <c r="GWC25" s="197"/>
      <c r="GWD25" s="197"/>
      <c r="GWE25" s="197"/>
      <c r="GWF25" s="197"/>
      <c r="GWG25" s="197"/>
      <c r="GWH25" s="197"/>
      <c r="GWI25" s="197"/>
      <c r="GWJ25" s="197"/>
      <c r="GWK25" s="197"/>
      <c r="GWL25" s="197"/>
      <c r="GWM25" s="197"/>
      <c r="GWN25" s="197"/>
      <c r="GWO25" s="197"/>
      <c r="GWP25" s="197"/>
      <c r="GWQ25" s="197"/>
      <c r="GWR25" s="197"/>
      <c r="GWS25" s="197"/>
      <c r="GWT25" s="197"/>
      <c r="GWU25" s="197"/>
      <c r="GWV25" s="197"/>
      <c r="GWW25" s="197"/>
      <c r="GWX25" s="197"/>
      <c r="GWY25" s="197"/>
      <c r="GWZ25" s="197"/>
      <c r="GXA25" s="197"/>
      <c r="GXB25" s="197"/>
      <c r="GXC25" s="197"/>
      <c r="GXD25" s="197"/>
      <c r="GXE25" s="197"/>
      <c r="GXF25" s="197"/>
      <c r="GXG25" s="197"/>
      <c r="GXH25" s="197"/>
      <c r="GXI25" s="197"/>
      <c r="GXJ25" s="197"/>
      <c r="GXK25" s="197"/>
      <c r="GXL25" s="197"/>
      <c r="GXM25" s="197"/>
      <c r="GXN25" s="197"/>
      <c r="GXO25" s="197"/>
      <c r="GXP25" s="197"/>
      <c r="GXQ25" s="197"/>
      <c r="GXR25" s="197"/>
      <c r="GXS25" s="197"/>
      <c r="GXT25" s="197"/>
      <c r="GXU25" s="197"/>
      <c r="GXV25" s="197"/>
      <c r="GXW25" s="197"/>
      <c r="GXX25" s="197"/>
      <c r="GXY25" s="197"/>
      <c r="GXZ25" s="197"/>
      <c r="GYA25" s="197"/>
      <c r="GYB25" s="197"/>
      <c r="GYC25" s="197"/>
      <c r="GYD25" s="197"/>
      <c r="GYE25" s="197"/>
      <c r="GYF25" s="197"/>
      <c r="GYG25" s="197"/>
      <c r="GYH25" s="197"/>
      <c r="GYI25" s="197"/>
      <c r="GYJ25" s="197"/>
      <c r="GYK25" s="197"/>
      <c r="GYL25" s="197"/>
      <c r="GYM25" s="197"/>
      <c r="GYN25" s="197"/>
      <c r="GYO25" s="197"/>
      <c r="GYP25" s="197"/>
      <c r="GYQ25" s="197"/>
      <c r="GYR25" s="197"/>
      <c r="GYS25" s="197"/>
      <c r="GYT25" s="197"/>
      <c r="GYU25" s="197"/>
      <c r="GYV25" s="197"/>
      <c r="GYW25" s="197"/>
      <c r="GYX25" s="197"/>
      <c r="GYY25" s="197"/>
      <c r="GYZ25" s="197"/>
      <c r="GZA25" s="197"/>
      <c r="GZB25" s="197"/>
      <c r="GZC25" s="197"/>
      <c r="GZD25" s="197"/>
      <c r="GZE25" s="197"/>
      <c r="GZF25" s="197"/>
      <c r="GZG25" s="197"/>
      <c r="GZH25" s="197"/>
      <c r="GZI25" s="197"/>
      <c r="GZJ25" s="197"/>
      <c r="GZK25" s="197"/>
      <c r="GZL25" s="197"/>
      <c r="GZM25" s="197"/>
      <c r="GZN25" s="197"/>
      <c r="GZO25" s="197"/>
      <c r="GZP25" s="197"/>
      <c r="GZQ25" s="197"/>
      <c r="GZR25" s="197"/>
      <c r="GZS25" s="197"/>
      <c r="GZT25" s="197"/>
      <c r="GZU25" s="197"/>
      <c r="GZV25" s="197"/>
      <c r="GZW25" s="197"/>
      <c r="GZX25" s="197"/>
      <c r="GZY25" s="197"/>
      <c r="GZZ25" s="197"/>
      <c r="HAA25" s="197"/>
      <c r="HAB25" s="197"/>
      <c r="HAC25" s="197"/>
      <c r="HAD25" s="197"/>
      <c r="HAE25" s="197"/>
      <c r="HAF25" s="197"/>
      <c r="HAG25" s="197"/>
      <c r="HAH25" s="197"/>
      <c r="HAI25" s="197"/>
      <c r="HAJ25" s="197"/>
      <c r="HAK25" s="197"/>
      <c r="HAL25" s="197"/>
      <c r="HAM25" s="197"/>
      <c r="HAN25" s="197"/>
      <c r="HAO25" s="197"/>
      <c r="HAP25" s="197"/>
      <c r="HAQ25" s="197"/>
      <c r="HAR25" s="197"/>
      <c r="HAS25" s="197"/>
      <c r="HAT25" s="197"/>
      <c r="HAU25" s="197"/>
      <c r="HAV25" s="197"/>
      <c r="HAW25" s="197"/>
      <c r="HAX25" s="197"/>
      <c r="HAY25" s="197"/>
      <c r="HAZ25" s="197"/>
      <c r="HBA25" s="197"/>
      <c r="HBB25" s="197"/>
      <c r="HBC25" s="197"/>
      <c r="HBD25" s="197"/>
      <c r="HBE25" s="197"/>
      <c r="HBF25" s="197"/>
      <c r="HBG25" s="197"/>
      <c r="HBH25" s="197"/>
      <c r="HBI25" s="197"/>
      <c r="HBJ25" s="197"/>
      <c r="HBK25" s="197"/>
      <c r="HBL25" s="197"/>
      <c r="HBM25" s="197"/>
      <c r="HBN25" s="197"/>
      <c r="HBO25" s="197"/>
      <c r="HBP25" s="197"/>
      <c r="HBQ25" s="197"/>
      <c r="HBR25" s="197"/>
      <c r="HBS25" s="197"/>
      <c r="HBT25" s="197"/>
      <c r="HBU25" s="197"/>
      <c r="HBV25" s="197"/>
      <c r="HBW25" s="197"/>
      <c r="HBX25" s="197"/>
      <c r="HBY25" s="197"/>
      <c r="HBZ25" s="197"/>
      <c r="HCA25" s="197"/>
      <c r="HCB25" s="197"/>
      <c r="HCC25" s="197"/>
      <c r="HCD25" s="197"/>
      <c r="HCE25" s="197"/>
      <c r="HCF25" s="197"/>
      <c r="HCG25" s="197"/>
      <c r="HCH25" s="197"/>
      <c r="HCI25" s="197"/>
      <c r="HCJ25" s="197"/>
      <c r="HCK25" s="197"/>
      <c r="HCL25" s="197"/>
      <c r="HCM25" s="197"/>
      <c r="HCN25" s="197"/>
      <c r="HCO25" s="197"/>
      <c r="HCP25" s="197"/>
      <c r="HCQ25" s="197"/>
      <c r="HCR25" s="197"/>
      <c r="HCS25" s="197"/>
      <c r="HCT25" s="197"/>
      <c r="HCU25" s="197"/>
      <c r="HCV25" s="197"/>
      <c r="HCW25" s="197"/>
      <c r="HCX25" s="197"/>
      <c r="HCY25" s="197"/>
      <c r="HCZ25" s="197"/>
      <c r="HDA25" s="197"/>
      <c r="HDB25" s="197"/>
      <c r="HDC25" s="197"/>
      <c r="HDD25" s="197"/>
      <c r="HDE25" s="197"/>
      <c r="HDF25" s="197"/>
      <c r="HDG25" s="197"/>
      <c r="HDH25" s="197"/>
      <c r="HDI25" s="197"/>
      <c r="HDJ25" s="197"/>
      <c r="HDK25" s="197"/>
      <c r="HDL25" s="197"/>
      <c r="HDM25" s="197"/>
      <c r="HDN25" s="197"/>
      <c r="HDO25" s="197"/>
      <c r="HDP25" s="197"/>
      <c r="HDQ25" s="197"/>
      <c r="HDR25" s="197"/>
      <c r="HDS25" s="197"/>
      <c r="HDT25" s="197"/>
      <c r="HDU25" s="197"/>
      <c r="HDV25" s="197"/>
      <c r="HDW25" s="197"/>
      <c r="HDX25" s="197"/>
      <c r="HDY25" s="197"/>
      <c r="HDZ25" s="197"/>
      <c r="HEA25" s="197"/>
      <c r="HEB25" s="197"/>
      <c r="HEC25" s="197"/>
      <c r="HED25" s="197"/>
      <c r="HEE25" s="197"/>
      <c r="HEF25" s="197"/>
      <c r="HEG25" s="197"/>
      <c r="HEH25" s="197"/>
      <c r="HEI25" s="197"/>
      <c r="HEJ25" s="197"/>
      <c r="HEK25" s="197"/>
      <c r="HEL25" s="197"/>
      <c r="HEM25" s="197"/>
      <c r="HEN25" s="197"/>
      <c r="HEO25" s="197"/>
      <c r="HEP25" s="197"/>
      <c r="HEQ25" s="197"/>
      <c r="HER25" s="197"/>
      <c r="HES25" s="197"/>
      <c r="HET25" s="197"/>
      <c r="HEU25" s="197"/>
      <c r="HEV25" s="197"/>
      <c r="HEW25" s="197"/>
      <c r="HEX25" s="197"/>
      <c r="HEY25" s="197"/>
      <c r="HEZ25" s="197"/>
      <c r="HFA25" s="197"/>
      <c r="HFB25" s="197"/>
      <c r="HFC25" s="197"/>
      <c r="HFD25" s="197"/>
      <c r="HFE25" s="197"/>
      <c r="HFF25" s="197"/>
      <c r="HFG25" s="197"/>
      <c r="HFH25" s="197"/>
      <c r="HFI25" s="197"/>
      <c r="HFJ25" s="197"/>
      <c r="HFK25" s="197"/>
      <c r="HFL25" s="197"/>
      <c r="HFM25" s="197"/>
      <c r="HFN25" s="197"/>
      <c r="HFO25" s="197"/>
      <c r="HFP25" s="197"/>
      <c r="HFQ25" s="197"/>
      <c r="HFR25" s="197"/>
      <c r="HFS25" s="197"/>
      <c r="HFT25" s="197"/>
      <c r="HFU25" s="197"/>
      <c r="HFV25" s="197"/>
      <c r="HFW25" s="197"/>
      <c r="HFX25" s="197"/>
      <c r="HFY25" s="197"/>
      <c r="HFZ25" s="197"/>
      <c r="HGA25" s="197"/>
      <c r="HGB25" s="197"/>
      <c r="HGC25" s="197"/>
      <c r="HGD25" s="197"/>
      <c r="HGE25" s="197"/>
      <c r="HGF25" s="197"/>
      <c r="HGG25" s="197"/>
      <c r="HGH25" s="197"/>
      <c r="HGI25" s="197"/>
      <c r="HGJ25" s="197"/>
      <c r="HGK25" s="197"/>
      <c r="HGL25" s="197"/>
      <c r="HGM25" s="197"/>
      <c r="HGN25" s="197"/>
      <c r="HGO25" s="197"/>
      <c r="HGP25" s="197"/>
      <c r="HGQ25" s="197"/>
      <c r="HGR25" s="197"/>
      <c r="HGS25" s="197"/>
      <c r="HGT25" s="197"/>
      <c r="HGU25" s="197"/>
      <c r="HGV25" s="197"/>
      <c r="HGW25" s="197"/>
      <c r="HGX25" s="197"/>
      <c r="HGY25" s="197"/>
      <c r="HGZ25" s="197"/>
      <c r="HHA25" s="197"/>
      <c r="HHB25" s="197"/>
      <c r="HHC25" s="197"/>
      <c r="HHD25" s="197"/>
      <c r="HHE25" s="197"/>
      <c r="HHF25" s="197"/>
      <c r="HHG25" s="197"/>
      <c r="HHH25" s="197"/>
      <c r="HHI25" s="197"/>
      <c r="HHJ25" s="197"/>
      <c r="HHK25" s="197"/>
      <c r="HHL25" s="197"/>
      <c r="HHM25" s="197"/>
      <c r="HHN25" s="197"/>
      <c r="HHO25" s="197"/>
      <c r="HHP25" s="197"/>
      <c r="HHQ25" s="197"/>
      <c r="HHR25" s="197"/>
      <c r="HHS25" s="197"/>
      <c r="HHT25" s="197"/>
      <c r="HHU25" s="197"/>
      <c r="HHV25" s="197"/>
      <c r="HHW25" s="197"/>
      <c r="HHX25" s="197"/>
      <c r="HHY25" s="197"/>
      <c r="HHZ25" s="197"/>
      <c r="HIA25" s="197"/>
      <c r="HIB25" s="197"/>
      <c r="HIC25" s="197"/>
      <c r="HID25" s="197"/>
      <c r="HIE25" s="197"/>
      <c r="HIF25" s="197"/>
      <c r="HIG25" s="197"/>
      <c r="HIH25" s="197"/>
      <c r="HII25" s="197"/>
      <c r="HIJ25" s="197"/>
      <c r="HIK25" s="197"/>
      <c r="HIL25" s="197"/>
      <c r="HIM25" s="197"/>
      <c r="HIN25" s="197"/>
      <c r="HIO25" s="197"/>
      <c r="HIP25" s="197"/>
      <c r="HIQ25" s="197"/>
      <c r="HIR25" s="197"/>
      <c r="HIS25" s="197"/>
      <c r="HIT25" s="197"/>
      <c r="HIU25" s="197"/>
      <c r="HIV25" s="197"/>
      <c r="HIW25" s="197"/>
      <c r="HIX25" s="197"/>
      <c r="HIY25" s="197"/>
      <c r="HIZ25" s="197"/>
      <c r="HJA25" s="197"/>
      <c r="HJB25" s="197"/>
      <c r="HJC25" s="197"/>
      <c r="HJD25" s="197"/>
      <c r="HJE25" s="197"/>
      <c r="HJF25" s="197"/>
      <c r="HJG25" s="197"/>
      <c r="HJH25" s="197"/>
      <c r="HJI25" s="197"/>
      <c r="HJJ25" s="197"/>
      <c r="HJK25" s="197"/>
      <c r="HJL25" s="197"/>
      <c r="HJM25" s="197"/>
      <c r="HJN25" s="197"/>
      <c r="HJO25" s="197"/>
      <c r="HJP25" s="197"/>
      <c r="HJQ25" s="197"/>
      <c r="HJR25" s="197"/>
      <c r="HJS25" s="197"/>
      <c r="HJT25" s="197"/>
      <c r="HJU25" s="197"/>
      <c r="HJV25" s="197"/>
      <c r="HJW25" s="197"/>
      <c r="HJX25" s="197"/>
      <c r="HJY25" s="197"/>
      <c r="HJZ25" s="197"/>
      <c r="HKA25" s="197"/>
      <c r="HKB25" s="197"/>
      <c r="HKC25" s="197"/>
      <c r="HKD25" s="197"/>
      <c r="HKE25" s="197"/>
      <c r="HKF25" s="197"/>
      <c r="HKG25" s="197"/>
      <c r="HKH25" s="197"/>
      <c r="HKI25" s="197"/>
      <c r="HKJ25" s="197"/>
      <c r="HKK25" s="197"/>
      <c r="HKL25" s="197"/>
      <c r="HKM25" s="197"/>
      <c r="HKN25" s="197"/>
      <c r="HKO25" s="197"/>
      <c r="HKP25" s="197"/>
      <c r="HKQ25" s="197"/>
      <c r="HKR25" s="197"/>
      <c r="HKS25" s="197"/>
      <c r="HKT25" s="197"/>
      <c r="HKU25" s="197"/>
      <c r="HKV25" s="197"/>
      <c r="HKW25" s="197"/>
      <c r="HKX25" s="197"/>
      <c r="HKY25" s="197"/>
      <c r="HKZ25" s="197"/>
      <c r="HLA25" s="197"/>
      <c r="HLB25" s="197"/>
      <c r="HLC25" s="197"/>
      <c r="HLD25" s="197"/>
      <c r="HLE25" s="197"/>
      <c r="HLF25" s="197"/>
      <c r="HLG25" s="197"/>
      <c r="HLH25" s="197"/>
      <c r="HLI25" s="197"/>
      <c r="HLJ25" s="197"/>
      <c r="HLK25" s="197"/>
      <c r="HLL25" s="197"/>
      <c r="HLM25" s="197"/>
      <c r="HLN25" s="197"/>
      <c r="HLO25" s="197"/>
      <c r="HLP25" s="197"/>
      <c r="HLQ25" s="197"/>
      <c r="HLR25" s="197"/>
      <c r="HLS25" s="197"/>
      <c r="HLT25" s="197"/>
      <c r="HLU25" s="197"/>
      <c r="HLV25" s="197"/>
      <c r="HLW25" s="197"/>
      <c r="HLX25" s="197"/>
      <c r="HLY25" s="197"/>
      <c r="HLZ25" s="197"/>
      <c r="HMA25" s="197"/>
      <c r="HMB25" s="197"/>
      <c r="HMC25" s="197"/>
      <c r="HMD25" s="197"/>
      <c r="HME25" s="197"/>
      <c r="HMF25" s="197"/>
      <c r="HMG25" s="197"/>
      <c r="HMH25" s="197"/>
      <c r="HMI25" s="197"/>
      <c r="HMJ25" s="197"/>
      <c r="HMK25" s="197"/>
      <c r="HML25" s="197"/>
      <c r="HMM25" s="197"/>
      <c r="HMN25" s="197"/>
      <c r="HMO25" s="197"/>
      <c r="HMP25" s="197"/>
      <c r="HMQ25" s="197"/>
      <c r="HMR25" s="197"/>
      <c r="HMS25" s="197"/>
      <c r="HMT25" s="197"/>
      <c r="HMU25" s="197"/>
      <c r="HMV25" s="197"/>
      <c r="HMW25" s="197"/>
      <c r="HMX25" s="197"/>
      <c r="HMY25" s="197"/>
      <c r="HMZ25" s="197"/>
      <c r="HNA25" s="197"/>
      <c r="HNB25" s="197"/>
      <c r="HNC25" s="197"/>
      <c r="HND25" s="197"/>
      <c r="HNE25" s="197"/>
      <c r="HNF25" s="197"/>
      <c r="HNG25" s="197"/>
      <c r="HNH25" s="197"/>
      <c r="HNI25" s="197"/>
      <c r="HNJ25" s="197"/>
      <c r="HNK25" s="197"/>
      <c r="HNL25" s="197"/>
      <c r="HNM25" s="197"/>
      <c r="HNN25" s="197"/>
      <c r="HNO25" s="197"/>
      <c r="HNP25" s="197"/>
      <c r="HNQ25" s="197"/>
      <c r="HNR25" s="197"/>
      <c r="HNS25" s="197"/>
      <c r="HNT25" s="197"/>
      <c r="HNU25" s="197"/>
      <c r="HNV25" s="197"/>
      <c r="HNW25" s="197"/>
      <c r="HNX25" s="197"/>
      <c r="HNY25" s="197"/>
      <c r="HNZ25" s="197"/>
      <c r="HOA25" s="197"/>
      <c r="HOB25" s="197"/>
      <c r="HOC25" s="197"/>
      <c r="HOD25" s="197"/>
      <c r="HOE25" s="197"/>
      <c r="HOF25" s="197"/>
      <c r="HOG25" s="197"/>
      <c r="HOH25" s="197"/>
      <c r="HOI25" s="197"/>
      <c r="HOJ25" s="197"/>
      <c r="HOK25" s="197"/>
      <c r="HOL25" s="197"/>
      <c r="HOM25" s="197"/>
      <c r="HON25" s="197"/>
      <c r="HOO25" s="197"/>
      <c r="HOP25" s="197"/>
      <c r="HOQ25" s="197"/>
      <c r="HOR25" s="197"/>
      <c r="HOS25" s="197"/>
      <c r="HOT25" s="197"/>
      <c r="HOU25" s="197"/>
      <c r="HOV25" s="197"/>
      <c r="HOW25" s="197"/>
      <c r="HOX25" s="197"/>
      <c r="HOY25" s="197"/>
      <c r="HOZ25" s="197"/>
      <c r="HPA25" s="197"/>
      <c r="HPB25" s="197"/>
      <c r="HPC25" s="197"/>
      <c r="HPD25" s="197"/>
      <c r="HPE25" s="197"/>
      <c r="HPF25" s="197"/>
      <c r="HPG25" s="197"/>
      <c r="HPH25" s="197"/>
      <c r="HPI25" s="197"/>
      <c r="HPJ25" s="197"/>
      <c r="HPK25" s="197"/>
      <c r="HPL25" s="197"/>
      <c r="HPM25" s="197"/>
      <c r="HPN25" s="197"/>
      <c r="HPO25" s="197"/>
      <c r="HPP25" s="197"/>
      <c r="HPQ25" s="197"/>
      <c r="HPR25" s="197"/>
      <c r="HPS25" s="197"/>
      <c r="HPT25" s="197"/>
      <c r="HPU25" s="197"/>
      <c r="HPV25" s="197"/>
      <c r="HPW25" s="197"/>
      <c r="HPX25" s="197"/>
      <c r="HPY25" s="197"/>
      <c r="HPZ25" s="197"/>
      <c r="HQA25" s="197"/>
      <c r="HQB25" s="197"/>
      <c r="HQC25" s="197"/>
      <c r="HQD25" s="197"/>
      <c r="HQE25" s="197"/>
      <c r="HQF25" s="197"/>
      <c r="HQG25" s="197"/>
      <c r="HQH25" s="197"/>
      <c r="HQI25" s="197"/>
      <c r="HQJ25" s="197"/>
      <c r="HQK25" s="197"/>
      <c r="HQL25" s="197"/>
      <c r="HQM25" s="197"/>
      <c r="HQN25" s="197"/>
      <c r="HQO25" s="197"/>
      <c r="HQP25" s="197"/>
      <c r="HQQ25" s="197"/>
      <c r="HQR25" s="197"/>
      <c r="HQS25" s="197"/>
      <c r="HQT25" s="197"/>
      <c r="HQU25" s="197"/>
      <c r="HQV25" s="197"/>
      <c r="HQW25" s="197"/>
      <c r="HQX25" s="197"/>
      <c r="HQY25" s="197"/>
      <c r="HQZ25" s="197"/>
      <c r="HRA25" s="197"/>
      <c r="HRB25" s="197"/>
      <c r="HRC25" s="197"/>
      <c r="HRD25" s="197"/>
      <c r="HRE25" s="197"/>
      <c r="HRF25" s="197"/>
      <c r="HRG25" s="197"/>
      <c r="HRH25" s="197"/>
      <c r="HRI25" s="197"/>
      <c r="HRJ25" s="197"/>
      <c r="HRK25" s="197"/>
      <c r="HRL25" s="197"/>
      <c r="HRM25" s="197"/>
      <c r="HRN25" s="197"/>
      <c r="HRO25" s="197"/>
      <c r="HRP25" s="197"/>
      <c r="HRQ25" s="197"/>
      <c r="HRR25" s="197"/>
      <c r="HRS25" s="197"/>
      <c r="HRT25" s="197"/>
      <c r="HRU25" s="197"/>
      <c r="HRV25" s="197"/>
      <c r="HRW25" s="197"/>
      <c r="HRX25" s="197"/>
      <c r="HRY25" s="197"/>
      <c r="HRZ25" s="197"/>
      <c r="HSA25" s="197"/>
      <c r="HSB25" s="197"/>
      <c r="HSC25" s="197"/>
      <c r="HSD25" s="197"/>
      <c r="HSE25" s="197"/>
      <c r="HSF25" s="197"/>
      <c r="HSG25" s="197"/>
      <c r="HSH25" s="197"/>
      <c r="HSI25" s="197"/>
      <c r="HSJ25" s="197"/>
      <c r="HSK25" s="197"/>
      <c r="HSL25" s="197"/>
      <c r="HSM25" s="197"/>
      <c r="HSN25" s="197"/>
      <c r="HSO25" s="197"/>
      <c r="HSP25" s="197"/>
      <c r="HSQ25" s="197"/>
      <c r="HSR25" s="197"/>
      <c r="HSS25" s="197"/>
      <c r="HST25" s="197"/>
      <c r="HSU25" s="197"/>
      <c r="HSV25" s="197"/>
      <c r="HSW25" s="197"/>
      <c r="HSX25" s="197"/>
      <c r="HSY25" s="197"/>
      <c r="HSZ25" s="197"/>
      <c r="HTA25" s="197"/>
      <c r="HTB25" s="197"/>
      <c r="HTC25" s="197"/>
      <c r="HTD25" s="197"/>
      <c r="HTE25" s="197"/>
      <c r="HTF25" s="197"/>
      <c r="HTG25" s="197"/>
      <c r="HTH25" s="197"/>
      <c r="HTI25" s="197"/>
      <c r="HTJ25" s="197"/>
      <c r="HTK25" s="197"/>
      <c r="HTL25" s="197"/>
      <c r="HTM25" s="197"/>
      <c r="HTN25" s="197"/>
      <c r="HTO25" s="197"/>
      <c r="HTP25" s="197"/>
      <c r="HTQ25" s="197"/>
      <c r="HTR25" s="197"/>
      <c r="HTS25" s="197"/>
      <c r="HTT25" s="197"/>
      <c r="HTU25" s="197"/>
      <c r="HTV25" s="197"/>
      <c r="HTW25" s="197"/>
      <c r="HTX25" s="197"/>
      <c r="HTY25" s="197"/>
      <c r="HTZ25" s="197"/>
      <c r="HUA25" s="197"/>
      <c r="HUB25" s="197"/>
      <c r="HUC25" s="197"/>
      <c r="HUD25" s="197"/>
      <c r="HUE25" s="197"/>
      <c r="HUF25" s="197"/>
      <c r="HUG25" s="197"/>
      <c r="HUH25" s="197"/>
      <c r="HUI25" s="197"/>
      <c r="HUJ25" s="197"/>
      <c r="HUK25" s="197"/>
      <c r="HUL25" s="197"/>
      <c r="HUM25" s="197"/>
      <c r="HUN25" s="197"/>
      <c r="HUO25" s="197"/>
      <c r="HUP25" s="197"/>
      <c r="HUQ25" s="197"/>
      <c r="HUR25" s="197"/>
      <c r="HUS25" s="197"/>
      <c r="HUT25" s="197"/>
      <c r="HUU25" s="197"/>
      <c r="HUV25" s="197"/>
      <c r="HUW25" s="197"/>
      <c r="HUX25" s="197"/>
      <c r="HUY25" s="197"/>
      <c r="HUZ25" s="197"/>
      <c r="HVA25" s="197"/>
      <c r="HVB25" s="197"/>
      <c r="HVC25" s="197"/>
      <c r="HVD25" s="197"/>
      <c r="HVE25" s="197"/>
      <c r="HVF25" s="197"/>
      <c r="HVG25" s="197"/>
      <c r="HVH25" s="197"/>
      <c r="HVI25" s="197"/>
      <c r="HVJ25" s="197"/>
      <c r="HVK25" s="197"/>
      <c r="HVL25" s="197"/>
      <c r="HVM25" s="197"/>
      <c r="HVN25" s="197"/>
      <c r="HVO25" s="197"/>
      <c r="HVP25" s="197"/>
      <c r="HVQ25" s="197"/>
      <c r="HVR25" s="197"/>
      <c r="HVS25" s="197"/>
      <c r="HVT25" s="197"/>
      <c r="HVU25" s="197"/>
      <c r="HVV25" s="197"/>
      <c r="HVW25" s="197"/>
      <c r="HVX25" s="197"/>
      <c r="HVY25" s="197"/>
      <c r="HVZ25" s="197"/>
      <c r="HWA25" s="197"/>
      <c r="HWB25" s="197"/>
      <c r="HWC25" s="197"/>
      <c r="HWD25" s="197"/>
      <c r="HWE25" s="197"/>
      <c r="HWF25" s="197"/>
      <c r="HWG25" s="197"/>
      <c r="HWH25" s="197"/>
      <c r="HWI25" s="197"/>
      <c r="HWJ25" s="197"/>
      <c r="HWK25" s="197"/>
      <c r="HWL25" s="197"/>
      <c r="HWM25" s="197"/>
      <c r="HWN25" s="197"/>
      <c r="HWO25" s="197"/>
      <c r="HWP25" s="197"/>
      <c r="HWQ25" s="197"/>
      <c r="HWR25" s="197"/>
      <c r="HWS25" s="197"/>
      <c r="HWT25" s="197"/>
      <c r="HWU25" s="197"/>
      <c r="HWV25" s="197"/>
      <c r="HWW25" s="197"/>
      <c r="HWX25" s="197"/>
      <c r="HWY25" s="197"/>
      <c r="HWZ25" s="197"/>
      <c r="HXA25" s="197"/>
      <c r="HXB25" s="197"/>
      <c r="HXC25" s="197"/>
      <c r="HXD25" s="197"/>
      <c r="HXE25" s="197"/>
      <c r="HXF25" s="197"/>
      <c r="HXG25" s="197"/>
      <c r="HXH25" s="197"/>
      <c r="HXI25" s="197"/>
      <c r="HXJ25" s="197"/>
      <c r="HXK25" s="197"/>
      <c r="HXL25" s="197"/>
      <c r="HXM25" s="197"/>
      <c r="HXN25" s="197"/>
      <c r="HXO25" s="197"/>
      <c r="HXP25" s="197"/>
      <c r="HXQ25" s="197"/>
      <c r="HXR25" s="197"/>
      <c r="HXS25" s="197"/>
      <c r="HXT25" s="197"/>
      <c r="HXU25" s="197"/>
      <c r="HXV25" s="197"/>
      <c r="HXW25" s="197"/>
      <c r="HXX25" s="197"/>
      <c r="HXY25" s="197"/>
      <c r="HXZ25" s="197"/>
      <c r="HYA25" s="197"/>
      <c r="HYB25" s="197"/>
      <c r="HYC25" s="197"/>
      <c r="HYD25" s="197"/>
      <c r="HYE25" s="197"/>
      <c r="HYF25" s="197"/>
      <c r="HYG25" s="197"/>
      <c r="HYH25" s="197"/>
      <c r="HYI25" s="197"/>
      <c r="HYJ25" s="197"/>
      <c r="HYK25" s="197"/>
      <c r="HYL25" s="197"/>
      <c r="HYM25" s="197"/>
      <c r="HYN25" s="197"/>
      <c r="HYO25" s="197"/>
      <c r="HYP25" s="197"/>
      <c r="HYQ25" s="197"/>
      <c r="HYR25" s="197"/>
      <c r="HYS25" s="197"/>
      <c r="HYT25" s="197"/>
      <c r="HYU25" s="197"/>
      <c r="HYV25" s="197"/>
      <c r="HYW25" s="197"/>
      <c r="HYX25" s="197"/>
      <c r="HYY25" s="197"/>
      <c r="HYZ25" s="197"/>
      <c r="HZA25" s="197"/>
      <c r="HZB25" s="197"/>
      <c r="HZC25" s="197"/>
      <c r="HZD25" s="197"/>
      <c r="HZE25" s="197"/>
      <c r="HZF25" s="197"/>
      <c r="HZG25" s="197"/>
      <c r="HZH25" s="197"/>
      <c r="HZI25" s="197"/>
      <c r="HZJ25" s="197"/>
      <c r="HZK25" s="197"/>
      <c r="HZL25" s="197"/>
      <c r="HZM25" s="197"/>
      <c r="HZN25" s="197"/>
      <c r="HZO25" s="197"/>
      <c r="HZP25" s="197"/>
      <c r="HZQ25" s="197"/>
      <c r="HZR25" s="197"/>
      <c r="HZS25" s="197"/>
      <c r="HZT25" s="197"/>
      <c r="HZU25" s="197"/>
      <c r="HZV25" s="197"/>
      <c r="HZW25" s="197"/>
      <c r="HZX25" s="197"/>
      <c r="HZY25" s="197"/>
      <c r="HZZ25" s="197"/>
      <c r="IAA25" s="197"/>
      <c r="IAB25" s="197"/>
      <c r="IAC25" s="197"/>
      <c r="IAD25" s="197"/>
      <c r="IAE25" s="197"/>
      <c r="IAF25" s="197"/>
      <c r="IAG25" s="197"/>
      <c r="IAH25" s="197"/>
      <c r="IAI25" s="197"/>
      <c r="IAJ25" s="197"/>
      <c r="IAK25" s="197"/>
      <c r="IAL25" s="197"/>
      <c r="IAM25" s="197"/>
      <c r="IAN25" s="197"/>
      <c r="IAO25" s="197"/>
      <c r="IAP25" s="197"/>
      <c r="IAQ25" s="197"/>
      <c r="IAR25" s="197"/>
      <c r="IAS25" s="197"/>
      <c r="IAT25" s="197"/>
      <c r="IAU25" s="197"/>
      <c r="IAV25" s="197"/>
      <c r="IAW25" s="197"/>
      <c r="IAX25" s="197"/>
      <c r="IAY25" s="197"/>
      <c r="IAZ25" s="197"/>
      <c r="IBA25" s="197"/>
      <c r="IBB25" s="197"/>
      <c r="IBC25" s="197"/>
      <c r="IBD25" s="197"/>
      <c r="IBE25" s="197"/>
      <c r="IBF25" s="197"/>
      <c r="IBG25" s="197"/>
      <c r="IBH25" s="197"/>
      <c r="IBI25" s="197"/>
      <c r="IBJ25" s="197"/>
      <c r="IBK25" s="197"/>
      <c r="IBL25" s="197"/>
      <c r="IBM25" s="197"/>
      <c r="IBN25" s="197"/>
      <c r="IBO25" s="197"/>
      <c r="IBP25" s="197"/>
      <c r="IBQ25" s="197"/>
      <c r="IBR25" s="197"/>
      <c r="IBS25" s="197"/>
      <c r="IBT25" s="197"/>
      <c r="IBU25" s="197"/>
      <c r="IBV25" s="197"/>
      <c r="IBW25" s="197"/>
      <c r="IBX25" s="197"/>
      <c r="IBY25" s="197"/>
      <c r="IBZ25" s="197"/>
      <c r="ICA25" s="197"/>
      <c r="ICB25" s="197"/>
      <c r="ICC25" s="197"/>
      <c r="ICD25" s="197"/>
      <c r="ICE25" s="197"/>
      <c r="ICF25" s="197"/>
      <c r="ICG25" s="197"/>
      <c r="ICH25" s="197"/>
      <c r="ICI25" s="197"/>
      <c r="ICJ25" s="197"/>
      <c r="ICK25" s="197"/>
      <c r="ICL25" s="197"/>
      <c r="ICM25" s="197"/>
      <c r="ICN25" s="197"/>
      <c r="ICO25" s="197"/>
      <c r="ICP25" s="197"/>
      <c r="ICQ25" s="197"/>
      <c r="ICR25" s="197"/>
      <c r="ICS25" s="197"/>
      <c r="ICT25" s="197"/>
      <c r="ICU25" s="197"/>
      <c r="ICV25" s="197"/>
      <c r="ICW25" s="197"/>
      <c r="ICX25" s="197"/>
      <c r="ICY25" s="197"/>
      <c r="ICZ25" s="197"/>
      <c r="IDA25" s="197"/>
      <c r="IDB25" s="197"/>
      <c r="IDC25" s="197"/>
      <c r="IDD25" s="197"/>
      <c r="IDE25" s="197"/>
      <c r="IDF25" s="197"/>
      <c r="IDG25" s="197"/>
      <c r="IDH25" s="197"/>
      <c r="IDI25" s="197"/>
      <c r="IDJ25" s="197"/>
      <c r="IDK25" s="197"/>
      <c r="IDL25" s="197"/>
      <c r="IDM25" s="197"/>
      <c r="IDN25" s="197"/>
      <c r="IDO25" s="197"/>
      <c r="IDP25" s="197"/>
      <c r="IDQ25" s="197"/>
      <c r="IDR25" s="197"/>
      <c r="IDS25" s="197"/>
      <c r="IDT25" s="197"/>
      <c r="IDU25" s="197"/>
      <c r="IDV25" s="197"/>
      <c r="IDW25" s="197"/>
      <c r="IDX25" s="197"/>
      <c r="IDY25" s="197"/>
      <c r="IDZ25" s="197"/>
      <c r="IEA25" s="197"/>
      <c r="IEB25" s="197"/>
      <c r="IEC25" s="197"/>
      <c r="IED25" s="197"/>
      <c r="IEE25" s="197"/>
      <c r="IEF25" s="197"/>
      <c r="IEG25" s="197"/>
      <c r="IEH25" s="197"/>
      <c r="IEI25" s="197"/>
      <c r="IEJ25" s="197"/>
      <c r="IEK25" s="197"/>
      <c r="IEL25" s="197"/>
      <c r="IEM25" s="197"/>
      <c r="IEN25" s="197"/>
      <c r="IEO25" s="197"/>
      <c r="IEP25" s="197"/>
      <c r="IEQ25" s="197"/>
      <c r="IER25" s="197"/>
      <c r="IES25" s="197"/>
      <c r="IET25" s="197"/>
      <c r="IEU25" s="197"/>
      <c r="IEV25" s="197"/>
      <c r="IEW25" s="197"/>
      <c r="IEX25" s="197"/>
      <c r="IEY25" s="197"/>
      <c r="IEZ25" s="197"/>
      <c r="IFA25" s="197"/>
      <c r="IFB25" s="197"/>
      <c r="IFC25" s="197"/>
      <c r="IFD25" s="197"/>
      <c r="IFE25" s="197"/>
      <c r="IFF25" s="197"/>
      <c r="IFG25" s="197"/>
      <c r="IFH25" s="197"/>
      <c r="IFI25" s="197"/>
      <c r="IFJ25" s="197"/>
      <c r="IFK25" s="197"/>
      <c r="IFL25" s="197"/>
      <c r="IFM25" s="197"/>
      <c r="IFN25" s="197"/>
      <c r="IFO25" s="197"/>
      <c r="IFP25" s="197"/>
      <c r="IFQ25" s="197"/>
      <c r="IFR25" s="197"/>
      <c r="IFS25" s="197"/>
      <c r="IFT25" s="197"/>
      <c r="IFU25" s="197"/>
      <c r="IFV25" s="197"/>
      <c r="IFW25" s="197"/>
      <c r="IFX25" s="197"/>
      <c r="IFY25" s="197"/>
      <c r="IFZ25" s="197"/>
      <c r="IGA25" s="197"/>
      <c r="IGB25" s="197"/>
      <c r="IGC25" s="197"/>
      <c r="IGD25" s="197"/>
      <c r="IGE25" s="197"/>
      <c r="IGF25" s="197"/>
      <c r="IGG25" s="197"/>
      <c r="IGH25" s="197"/>
      <c r="IGI25" s="197"/>
      <c r="IGJ25" s="197"/>
      <c r="IGK25" s="197"/>
      <c r="IGL25" s="197"/>
      <c r="IGM25" s="197"/>
      <c r="IGN25" s="197"/>
      <c r="IGO25" s="197"/>
      <c r="IGP25" s="197"/>
      <c r="IGQ25" s="197"/>
      <c r="IGR25" s="197"/>
      <c r="IGS25" s="197"/>
      <c r="IGT25" s="197"/>
      <c r="IGU25" s="197"/>
      <c r="IGV25" s="197"/>
      <c r="IGW25" s="197"/>
      <c r="IGX25" s="197"/>
      <c r="IGY25" s="197"/>
      <c r="IGZ25" s="197"/>
      <c r="IHA25" s="197"/>
      <c r="IHB25" s="197"/>
      <c r="IHC25" s="197"/>
      <c r="IHD25" s="197"/>
      <c r="IHE25" s="197"/>
      <c r="IHF25" s="197"/>
      <c r="IHG25" s="197"/>
      <c r="IHH25" s="197"/>
      <c r="IHI25" s="197"/>
      <c r="IHJ25" s="197"/>
      <c r="IHK25" s="197"/>
      <c r="IHL25" s="197"/>
      <c r="IHM25" s="197"/>
      <c r="IHN25" s="197"/>
      <c r="IHO25" s="197"/>
      <c r="IHP25" s="197"/>
      <c r="IHQ25" s="197"/>
      <c r="IHR25" s="197"/>
      <c r="IHS25" s="197"/>
      <c r="IHT25" s="197"/>
      <c r="IHU25" s="197"/>
      <c r="IHV25" s="197"/>
      <c r="IHW25" s="197"/>
      <c r="IHX25" s="197"/>
      <c r="IHY25" s="197"/>
      <c r="IHZ25" s="197"/>
      <c r="IIA25" s="197"/>
      <c r="IIB25" s="197"/>
      <c r="IIC25" s="197"/>
      <c r="IID25" s="197"/>
      <c r="IIE25" s="197"/>
      <c r="IIF25" s="197"/>
      <c r="IIG25" s="197"/>
      <c r="IIH25" s="197"/>
      <c r="III25" s="197"/>
      <c r="IIJ25" s="197"/>
      <c r="IIK25" s="197"/>
      <c r="IIL25" s="197"/>
      <c r="IIM25" s="197"/>
      <c r="IIN25" s="197"/>
      <c r="IIO25" s="197"/>
      <c r="IIP25" s="197"/>
      <c r="IIQ25" s="197"/>
      <c r="IIR25" s="197"/>
      <c r="IIS25" s="197"/>
      <c r="IIT25" s="197"/>
      <c r="IIU25" s="197"/>
      <c r="IIV25" s="197"/>
      <c r="IIW25" s="197"/>
      <c r="IIX25" s="197"/>
      <c r="IIY25" s="197"/>
      <c r="IIZ25" s="197"/>
      <c r="IJA25" s="197"/>
      <c r="IJB25" s="197"/>
      <c r="IJC25" s="197"/>
      <c r="IJD25" s="197"/>
      <c r="IJE25" s="197"/>
      <c r="IJF25" s="197"/>
      <c r="IJG25" s="197"/>
      <c r="IJH25" s="197"/>
      <c r="IJI25" s="197"/>
      <c r="IJJ25" s="197"/>
      <c r="IJK25" s="197"/>
      <c r="IJL25" s="197"/>
      <c r="IJM25" s="197"/>
      <c r="IJN25" s="197"/>
      <c r="IJO25" s="197"/>
      <c r="IJP25" s="197"/>
      <c r="IJQ25" s="197"/>
      <c r="IJR25" s="197"/>
      <c r="IJS25" s="197"/>
      <c r="IJT25" s="197"/>
      <c r="IJU25" s="197"/>
      <c r="IJV25" s="197"/>
      <c r="IJW25" s="197"/>
      <c r="IJX25" s="197"/>
      <c r="IJY25" s="197"/>
      <c r="IJZ25" s="197"/>
      <c r="IKA25" s="197"/>
      <c r="IKB25" s="197"/>
      <c r="IKC25" s="197"/>
      <c r="IKD25" s="197"/>
      <c r="IKE25" s="197"/>
      <c r="IKF25" s="197"/>
      <c r="IKG25" s="197"/>
      <c r="IKH25" s="197"/>
      <c r="IKI25" s="197"/>
      <c r="IKJ25" s="197"/>
      <c r="IKK25" s="197"/>
      <c r="IKL25" s="197"/>
      <c r="IKM25" s="197"/>
      <c r="IKN25" s="197"/>
      <c r="IKO25" s="197"/>
      <c r="IKP25" s="197"/>
      <c r="IKQ25" s="197"/>
      <c r="IKR25" s="197"/>
      <c r="IKS25" s="197"/>
      <c r="IKT25" s="197"/>
      <c r="IKU25" s="197"/>
      <c r="IKV25" s="197"/>
      <c r="IKW25" s="197"/>
      <c r="IKX25" s="197"/>
      <c r="IKY25" s="197"/>
      <c r="IKZ25" s="197"/>
      <c r="ILA25" s="197"/>
      <c r="ILB25" s="197"/>
      <c r="ILC25" s="197"/>
      <c r="ILD25" s="197"/>
      <c r="ILE25" s="197"/>
      <c r="ILF25" s="197"/>
      <c r="ILG25" s="197"/>
      <c r="ILH25" s="197"/>
      <c r="ILI25" s="197"/>
      <c r="ILJ25" s="197"/>
      <c r="ILK25" s="197"/>
      <c r="ILL25" s="197"/>
      <c r="ILM25" s="197"/>
      <c r="ILN25" s="197"/>
      <c r="ILO25" s="197"/>
      <c r="ILP25" s="197"/>
      <c r="ILQ25" s="197"/>
      <c r="ILR25" s="197"/>
      <c r="ILS25" s="197"/>
      <c r="ILT25" s="197"/>
      <c r="ILU25" s="197"/>
      <c r="ILV25" s="197"/>
      <c r="ILW25" s="197"/>
      <c r="ILX25" s="197"/>
      <c r="ILY25" s="197"/>
      <c r="ILZ25" s="197"/>
      <c r="IMA25" s="197"/>
      <c r="IMB25" s="197"/>
      <c r="IMC25" s="197"/>
      <c r="IMD25" s="197"/>
      <c r="IME25" s="197"/>
      <c r="IMF25" s="197"/>
      <c r="IMG25" s="197"/>
      <c r="IMH25" s="197"/>
      <c r="IMI25" s="197"/>
      <c r="IMJ25" s="197"/>
      <c r="IMK25" s="197"/>
      <c r="IML25" s="197"/>
      <c r="IMM25" s="197"/>
      <c r="IMN25" s="197"/>
      <c r="IMO25" s="197"/>
      <c r="IMP25" s="197"/>
      <c r="IMQ25" s="197"/>
      <c r="IMR25" s="197"/>
      <c r="IMS25" s="197"/>
      <c r="IMT25" s="197"/>
      <c r="IMU25" s="197"/>
      <c r="IMV25" s="197"/>
      <c r="IMW25" s="197"/>
      <c r="IMX25" s="197"/>
      <c r="IMY25" s="197"/>
      <c r="IMZ25" s="197"/>
      <c r="INA25" s="197"/>
      <c r="INB25" s="197"/>
      <c r="INC25" s="197"/>
      <c r="IND25" s="197"/>
      <c r="INE25" s="197"/>
      <c r="INF25" s="197"/>
      <c r="ING25" s="197"/>
      <c r="INH25" s="197"/>
      <c r="INI25" s="197"/>
      <c r="INJ25" s="197"/>
      <c r="INK25" s="197"/>
      <c r="INL25" s="197"/>
      <c r="INM25" s="197"/>
      <c r="INN25" s="197"/>
      <c r="INO25" s="197"/>
      <c r="INP25" s="197"/>
      <c r="INQ25" s="197"/>
      <c r="INR25" s="197"/>
      <c r="INS25" s="197"/>
      <c r="INT25" s="197"/>
      <c r="INU25" s="197"/>
      <c r="INV25" s="197"/>
      <c r="INW25" s="197"/>
      <c r="INX25" s="197"/>
      <c r="INY25" s="197"/>
      <c r="INZ25" s="197"/>
      <c r="IOA25" s="197"/>
      <c r="IOB25" s="197"/>
      <c r="IOC25" s="197"/>
      <c r="IOD25" s="197"/>
      <c r="IOE25" s="197"/>
      <c r="IOF25" s="197"/>
      <c r="IOG25" s="197"/>
      <c r="IOH25" s="197"/>
      <c r="IOI25" s="197"/>
      <c r="IOJ25" s="197"/>
      <c r="IOK25" s="197"/>
      <c r="IOL25" s="197"/>
      <c r="IOM25" s="197"/>
      <c r="ION25" s="197"/>
      <c r="IOO25" s="197"/>
      <c r="IOP25" s="197"/>
      <c r="IOQ25" s="197"/>
      <c r="IOR25" s="197"/>
      <c r="IOS25" s="197"/>
      <c r="IOT25" s="197"/>
      <c r="IOU25" s="197"/>
      <c r="IOV25" s="197"/>
      <c r="IOW25" s="197"/>
      <c r="IOX25" s="197"/>
      <c r="IOY25" s="197"/>
      <c r="IOZ25" s="197"/>
      <c r="IPA25" s="197"/>
      <c r="IPB25" s="197"/>
      <c r="IPC25" s="197"/>
      <c r="IPD25" s="197"/>
      <c r="IPE25" s="197"/>
      <c r="IPF25" s="197"/>
      <c r="IPG25" s="197"/>
      <c r="IPH25" s="197"/>
      <c r="IPI25" s="197"/>
      <c r="IPJ25" s="197"/>
      <c r="IPK25" s="197"/>
      <c r="IPL25" s="197"/>
      <c r="IPM25" s="197"/>
      <c r="IPN25" s="197"/>
      <c r="IPO25" s="197"/>
      <c r="IPP25" s="197"/>
      <c r="IPQ25" s="197"/>
      <c r="IPR25" s="197"/>
      <c r="IPS25" s="197"/>
      <c r="IPT25" s="197"/>
      <c r="IPU25" s="197"/>
      <c r="IPV25" s="197"/>
      <c r="IPW25" s="197"/>
      <c r="IPX25" s="197"/>
      <c r="IPY25" s="197"/>
      <c r="IPZ25" s="197"/>
      <c r="IQA25" s="197"/>
      <c r="IQB25" s="197"/>
      <c r="IQC25" s="197"/>
      <c r="IQD25" s="197"/>
      <c r="IQE25" s="197"/>
      <c r="IQF25" s="197"/>
      <c r="IQG25" s="197"/>
      <c r="IQH25" s="197"/>
      <c r="IQI25" s="197"/>
      <c r="IQJ25" s="197"/>
      <c r="IQK25" s="197"/>
      <c r="IQL25" s="197"/>
      <c r="IQM25" s="197"/>
      <c r="IQN25" s="197"/>
      <c r="IQO25" s="197"/>
      <c r="IQP25" s="197"/>
      <c r="IQQ25" s="197"/>
      <c r="IQR25" s="197"/>
      <c r="IQS25" s="197"/>
      <c r="IQT25" s="197"/>
      <c r="IQU25" s="197"/>
      <c r="IQV25" s="197"/>
      <c r="IQW25" s="197"/>
      <c r="IQX25" s="197"/>
      <c r="IQY25" s="197"/>
      <c r="IQZ25" s="197"/>
      <c r="IRA25" s="197"/>
      <c r="IRB25" s="197"/>
      <c r="IRC25" s="197"/>
      <c r="IRD25" s="197"/>
      <c r="IRE25" s="197"/>
      <c r="IRF25" s="197"/>
      <c r="IRG25" s="197"/>
      <c r="IRH25" s="197"/>
      <c r="IRI25" s="197"/>
      <c r="IRJ25" s="197"/>
      <c r="IRK25" s="197"/>
      <c r="IRL25" s="197"/>
      <c r="IRM25" s="197"/>
      <c r="IRN25" s="197"/>
      <c r="IRO25" s="197"/>
      <c r="IRP25" s="197"/>
      <c r="IRQ25" s="197"/>
      <c r="IRR25" s="197"/>
      <c r="IRS25" s="197"/>
      <c r="IRT25" s="197"/>
      <c r="IRU25" s="197"/>
      <c r="IRV25" s="197"/>
      <c r="IRW25" s="197"/>
      <c r="IRX25" s="197"/>
      <c r="IRY25" s="197"/>
      <c r="IRZ25" s="197"/>
      <c r="ISA25" s="197"/>
      <c r="ISB25" s="197"/>
      <c r="ISC25" s="197"/>
      <c r="ISD25" s="197"/>
      <c r="ISE25" s="197"/>
      <c r="ISF25" s="197"/>
      <c r="ISG25" s="197"/>
      <c r="ISH25" s="197"/>
      <c r="ISI25" s="197"/>
      <c r="ISJ25" s="197"/>
      <c r="ISK25" s="197"/>
      <c r="ISL25" s="197"/>
      <c r="ISM25" s="197"/>
      <c r="ISN25" s="197"/>
      <c r="ISO25" s="197"/>
      <c r="ISP25" s="197"/>
      <c r="ISQ25" s="197"/>
      <c r="ISR25" s="197"/>
      <c r="ISS25" s="197"/>
      <c r="IST25" s="197"/>
      <c r="ISU25" s="197"/>
      <c r="ISV25" s="197"/>
      <c r="ISW25" s="197"/>
      <c r="ISX25" s="197"/>
      <c r="ISY25" s="197"/>
      <c r="ISZ25" s="197"/>
      <c r="ITA25" s="197"/>
      <c r="ITB25" s="197"/>
      <c r="ITC25" s="197"/>
      <c r="ITD25" s="197"/>
      <c r="ITE25" s="197"/>
      <c r="ITF25" s="197"/>
      <c r="ITG25" s="197"/>
      <c r="ITH25" s="197"/>
      <c r="ITI25" s="197"/>
      <c r="ITJ25" s="197"/>
      <c r="ITK25" s="197"/>
      <c r="ITL25" s="197"/>
      <c r="ITM25" s="197"/>
      <c r="ITN25" s="197"/>
      <c r="ITO25" s="197"/>
      <c r="ITP25" s="197"/>
      <c r="ITQ25" s="197"/>
      <c r="ITR25" s="197"/>
      <c r="ITS25" s="197"/>
      <c r="ITT25" s="197"/>
      <c r="ITU25" s="197"/>
      <c r="ITV25" s="197"/>
      <c r="ITW25" s="197"/>
      <c r="ITX25" s="197"/>
      <c r="ITY25" s="197"/>
      <c r="ITZ25" s="197"/>
      <c r="IUA25" s="197"/>
      <c r="IUB25" s="197"/>
      <c r="IUC25" s="197"/>
      <c r="IUD25" s="197"/>
      <c r="IUE25" s="197"/>
      <c r="IUF25" s="197"/>
      <c r="IUG25" s="197"/>
      <c r="IUH25" s="197"/>
      <c r="IUI25" s="197"/>
      <c r="IUJ25" s="197"/>
      <c r="IUK25" s="197"/>
      <c r="IUL25" s="197"/>
      <c r="IUM25" s="197"/>
      <c r="IUN25" s="197"/>
      <c r="IUO25" s="197"/>
      <c r="IUP25" s="197"/>
      <c r="IUQ25" s="197"/>
      <c r="IUR25" s="197"/>
      <c r="IUS25" s="197"/>
      <c r="IUT25" s="197"/>
      <c r="IUU25" s="197"/>
      <c r="IUV25" s="197"/>
      <c r="IUW25" s="197"/>
      <c r="IUX25" s="197"/>
      <c r="IUY25" s="197"/>
      <c r="IUZ25" s="197"/>
      <c r="IVA25" s="197"/>
      <c r="IVB25" s="197"/>
      <c r="IVC25" s="197"/>
      <c r="IVD25" s="197"/>
      <c r="IVE25" s="197"/>
      <c r="IVF25" s="197"/>
      <c r="IVG25" s="197"/>
      <c r="IVH25" s="197"/>
      <c r="IVI25" s="197"/>
      <c r="IVJ25" s="197"/>
      <c r="IVK25" s="197"/>
      <c r="IVL25" s="197"/>
      <c r="IVM25" s="197"/>
      <c r="IVN25" s="197"/>
      <c r="IVO25" s="197"/>
      <c r="IVP25" s="197"/>
      <c r="IVQ25" s="197"/>
      <c r="IVR25" s="197"/>
      <c r="IVS25" s="197"/>
      <c r="IVT25" s="197"/>
      <c r="IVU25" s="197"/>
      <c r="IVV25" s="197"/>
      <c r="IVW25" s="197"/>
      <c r="IVX25" s="197"/>
      <c r="IVY25" s="197"/>
      <c r="IVZ25" s="197"/>
      <c r="IWA25" s="197"/>
      <c r="IWB25" s="197"/>
      <c r="IWC25" s="197"/>
      <c r="IWD25" s="197"/>
      <c r="IWE25" s="197"/>
      <c r="IWF25" s="197"/>
      <c r="IWG25" s="197"/>
      <c r="IWH25" s="197"/>
      <c r="IWI25" s="197"/>
      <c r="IWJ25" s="197"/>
      <c r="IWK25" s="197"/>
      <c r="IWL25" s="197"/>
      <c r="IWM25" s="197"/>
      <c r="IWN25" s="197"/>
      <c r="IWO25" s="197"/>
      <c r="IWP25" s="197"/>
      <c r="IWQ25" s="197"/>
      <c r="IWR25" s="197"/>
      <c r="IWS25" s="197"/>
      <c r="IWT25" s="197"/>
      <c r="IWU25" s="197"/>
      <c r="IWV25" s="197"/>
      <c r="IWW25" s="197"/>
      <c r="IWX25" s="197"/>
      <c r="IWY25" s="197"/>
      <c r="IWZ25" s="197"/>
      <c r="IXA25" s="197"/>
      <c r="IXB25" s="197"/>
      <c r="IXC25" s="197"/>
      <c r="IXD25" s="197"/>
      <c r="IXE25" s="197"/>
      <c r="IXF25" s="197"/>
      <c r="IXG25" s="197"/>
      <c r="IXH25" s="197"/>
      <c r="IXI25" s="197"/>
      <c r="IXJ25" s="197"/>
      <c r="IXK25" s="197"/>
      <c r="IXL25" s="197"/>
      <c r="IXM25" s="197"/>
      <c r="IXN25" s="197"/>
      <c r="IXO25" s="197"/>
      <c r="IXP25" s="197"/>
      <c r="IXQ25" s="197"/>
      <c r="IXR25" s="197"/>
      <c r="IXS25" s="197"/>
      <c r="IXT25" s="197"/>
      <c r="IXU25" s="197"/>
      <c r="IXV25" s="197"/>
      <c r="IXW25" s="197"/>
      <c r="IXX25" s="197"/>
      <c r="IXY25" s="197"/>
      <c r="IXZ25" s="197"/>
      <c r="IYA25" s="197"/>
      <c r="IYB25" s="197"/>
      <c r="IYC25" s="197"/>
      <c r="IYD25" s="197"/>
      <c r="IYE25" s="197"/>
      <c r="IYF25" s="197"/>
      <c r="IYG25" s="197"/>
      <c r="IYH25" s="197"/>
      <c r="IYI25" s="197"/>
      <c r="IYJ25" s="197"/>
      <c r="IYK25" s="197"/>
      <c r="IYL25" s="197"/>
      <c r="IYM25" s="197"/>
      <c r="IYN25" s="197"/>
      <c r="IYO25" s="197"/>
      <c r="IYP25" s="197"/>
      <c r="IYQ25" s="197"/>
      <c r="IYR25" s="197"/>
      <c r="IYS25" s="197"/>
      <c r="IYT25" s="197"/>
      <c r="IYU25" s="197"/>
      <c r="IYV25" s="197"/>
      <c r="IYW25" s="197"/>
      <c r="IYX25" s="197"/>
      <c r="IYY25" s="197"/>
      <c r="IYZ25" s="197"/>
      <c r="IZA25" s="197"/>
      <c r="IZB25" s="197"/>
      <c r="IZC25" s="197"/>
      <c r="IZD25" s="197"/>
      <c r="IZE25" s="197"/>
      <c r="IZF25" s="197"/>
      <c r="IZG25" s="197"/>
      <c r="IZH25" s="197"/>
      <c r="IZI25" s="197"/>
      <c r="IZJ25" s="197"/>
      <c r="IZK25" s="197"/>
      <c r="IZL25" s="197"/>
      <c r="IZM25" s="197"/>
      <c r="IZN25" s="197"/>
      <c r="IZO25" s="197"/>
      <c r="IZP25" s="197"/>
      <c r="IZQ25" s="197"/>
      <c r="IZR25" s="197"/>
      <c r="IZS25" s="197"/>
      <c r="IZT25" s="197"/>
      <c r="IZU25" s="197"/>
      <c r="IZV25" s="197"/>
      <c r="IZW25" s="197"/>
      <c r="IZX25" s="197"/>
      <c r="IZY25" s="197"/>
      <c r="IZZ25" s="197"/>
      <c r="JAA25" s="197"/>
      <c r="JAB25" s="197"/>
      <c r="JAC25" s="197"/>
      <c r="JAD25" s="197"/>
      <c r="JAE25" s="197"/>
      <c r="JAF25" s="197"/>
      <c r="JAG25" s="197"/>
      <c r="JAH25" s="197"/>
      <c r="JAI25" s="197"/>
      <c r="JAJ25" s="197"/>
      <c r="JAK25" s="197"/>
      <c r="JAL25" s="197"/>
      <c r="JAM25" s="197"/>
      <c r="JAN25" s="197"/>
      <c r="JAO25" s="197"/>
      <c r="JAP25" s="197"/>
      <c r="JAQ25" s="197"/>
      <c r="JAR25" s="197"/>
      <c r="JAS25" s="197"/>
      <c r="JAT25" s="197"/>
      <c r="JAU25" s="197"/>
      <c r="JAV25" s="197"/>
      <c r="JAW25" s="197"/>
      <c r="JAX25" s="197"/>
      <c r="JAY25" s="197"/>
      <c r="JAZ25" s="197"/>
      <c r="JBA25" s="197"/>
      <c r="JBB25" s="197"/>
      <c r="JBC25" s="197"/>
      <c r="JBD25" s="197"/>
      <c r="JBE25" s="197"/>
      <c r="JBF25" s="197"/>
      <c r="JBG25" s="197"/>
      <c r="JBH25" s="197"/>
      <c r="JBI25" s="197"/>
      <c r="JBJ25" s="197"/>
      <c r="JBK25" s="197"/>
      <c r="JBL25" s="197"/>
      <c r="JBM25" s="197"/>
      <c r="JBN25" s="197"/>
      <c r="JBO25" s="197"/>
      <c r="JBP25" s="197"/>
      <c r="JBQ25" s="197"/>
      <c r="JBR25" s="197"/>
      <c r="JBS25" s="197"/>
      <c r="JBT25" s="197"/>
      <c r="JBU25" s="197"/>
      <c r="JBV25" s="197"/>
      <c r="JBW25" s="197"/>
      <c r="JBX25" s="197"/>
      <c r="JBY25" s="197"/>
      <c r="JBZ25" s="197"/>
      <c r="JCA25" s="197"/>
      <c r="JCB25" s="197"/>
      <c r="JCC25" s="197"/>
      <c r="JCD25" s="197"/>
      <c r="JCE25" s="197"/>
      <c r="JCF25" s="197"/>
      <c r="JCG25" s="197"/>
      <c r="JCH25" s="197"/>
      <c r="JCI25" s="197"/>
      <c r="JCJ25" s="197"/>
      <c r="JCK25" s="197"/>
      <c r="JCL25" s="197"/>
      <c r="JCM25" s="197"/>
      <c r="JCN25" s="197"/>
      <c r="JCO25" s="197"/>
      <c r="JCP25" s="197"/>
      <c r="JCQ25" s="197"/>
      <c r="JCR25" s="197"/>
      <c r="JCS25" s="197"/>
      <c r="JCT25" s="197"/>
      <c r="JCU25" s="197"/>
      <c r="JCV25" s="197"/>
      <c r="JCW25" s="197"/>
      <c r="JCX25" s="197"/>
      <c r="JCY25" s="197"/>
      <c r="JCZ25" s="197"/>
      <c r="JDA25" s="197"/>
      <c r="JDB25" s="197"/>
      <c r="JDC25" s="197"/>
      <c r="JDD25" s="197"/>
      <c r="JDE25" s="197"/>
      <c r="JDF25" s="197"/>
      <c r="JDG25" s="197"/>
      <c r="JDH25" s="197"/>
      <c r="JDI25" s="197"/>
      <c r="JDJ25" s="197"/>
      <c r="JDK25" s="197"/>
      <c r="JDL25" s="197"/>
      <c r="JDM25" s="197"/>
      <c r="JDN25" s="197"/>
      <c r="JDO25" s="197"/>
      <c r="JDP25" s="197"/>
      <c r="JDQ25" s="197"/>
      <c r="JDR25" s="197"/>
      <c r="JDS25" s="197"/>
      <c r="JDT25" s="197"/>
      <c r="JDU25" s="197"/>
      <c r="JDV25" s="197"/>
      <c r="JDW25" s="197"/>
      <c r="JDX25" s="197"/>
      <c r="JDY25" s="197"/>
      <c r="JDZ25" s="197"/>
      <c r="JEA25" s="197"/>
      <c r="JEB25" s="197"/>
      <c r="JEC25" s="197"/>
      <c r="JED25" s="197"/>
      <c r="JEE25" s="197"/>
      <c r="JEF25" s="197"/>
      <c r="JEG25" s="197"/>
      <c r="JEH25" s="197"/>
      <c r="JEI25" s="197"/>
      <c r="JEJ25" s="197"/>
      <c r="JEK25" s="197"/>
      <c r="JEL25" s="197"/>
      <c r="JEM25" s="197"/>
      <c r="JEN25" s="197"/>
      <c r="JEO25" s="197"/>
      <c r="JEP25" s="197"/>
      <c r="JEQ25" s="197"/>
      <c r="JER25" s="197"/>
      <c r="JES25" s="197"/>
      <c r="JET25" s="197"/>
      <c r="JEU25" s="197"/>
      <c r="JEV25" s="197"/>
      <c r="JEW25" s="197"/>
      <c r="JEX25" s="197"/>
      <c r="JEY25" s="197"/>
      <c r="JEZ25" s="197"/>
      <c r="JFA25" s="197"/>
      <c r="JFB25" s="197"/>
      <c r="JFC25" s="197"/>
      <c r="JFD25" s="197"/>
      <c r="JFE25" s="197"/>
      <c r="JFF25" s="197"/>
      <c r="JFG25" s="197"/>
      <c r="JFH25" s="197"/>
      <c r="JFI25" s="197"/>
      <c r="JFJ25" s="197"/>
      <c r="JFK25" s="197"/>
      <c r="JFL25" s="197"/>
      <c r="JFM25" s="197"/>
      <c r="JFN25" s="197"/>
      <c r="JFO25" s="197"/>
      <c r="JFP25" s="197"/>
      <c r="JFQ25" s="197"/>
      <c r="JFR25" s="197"/>
      <c r="JFS25" s="197"/>
      <c r="JFT25" s="197"/>
      <c r="JFU25" s="197"/>
      <c r="JFV25" s="197"/>
      <c r="JFW25" s="197"/>
      <c r="JFX25" s="197"/>
      <c r="JFY25" s="197"/>
      <c r="JFZ25" s="197"/>
      <c r="JGA25" s="197"/>
      <c r="JGB25" s="197"/>
      <c r="JGC25" s="197"/>
      <c r="JGD25" s="197"/>
      <c r="JGE25" s="197"/>
      <c r="JGF25" s="197"/>
      <c r="JGG25" s="197"/>
      <c r="JGH25" s="197"/>
      <c r="JGI25" s="197"/>
      <c r="JGJ25" s="197"/>
      <c r="JGK25" s="197"/>
      <c r="JGL25" s="197"/>
      <c r="JGM25" s="197"/>
      <c r="JGN25" s="197"/>
      <c r="JGO25" s="197"/>
      <c r="JGP25" s="197"/>
      <c r="JGQ25" s="197"/>
      <c r="JGR25" s="197"/>
      <c r="JGS25" s="197"/>
      <c r="JGT25" s="197"/>
      <c r="JGU25" s="197"/>
      <c r="JGV25" s="197"/>
      <c r="JGW25" s="197"/>
      <c r="JGX25" s="197"/>
      <c r="JGY25" s="197"/>
      <c r="JGZ25" s="197"/>
      <c r="JHA25" s="197"/>
      <c r="JHB25" s="197"/>
      <c r="JHC25" s="197"/>
      <c r="JHD25" s="197"/>
      <c r="JHE25" s="197"/>
      <c r="JHF25" s="197"/>
      <c r="JHG25" s="197"/>
      <c r="JHH25" s="197"/>
      <c r="JHI25" s="197"/>
      <c r="JHJ25" s="197"/>
      <c r="JHK25" s="197"/>
      <c r="JHL25" s="197"/>
      <c r="JHM25" s="197"/>
      <c r="JHN25" s="197"/>
      <c r="JHO25" s="197"/>
      <c r="JHP25" s="197"/>
      <c r="JHQ25" s="197"/>
      <c r="JHR25" s="197"/>
      <c r="JHS25" s="197"/>
      <c r="JHT25" s="197"/>
      <c r="JHU25" s="197"/>
      <c r="JHV25" s="197"/>
      <c r="JHW25" s="197"/>
      <c r="JHX25" s="197"/>
      <c r="JHY25" s="197"/>
      <c r="JHZ25" s="197"/>
      <c r="JIA25" s="197"/>
      <c r="JIB25" s="197"/>
      <c r="JIC25" s="197"/>
      <c r="JID25" s="197"/>
      <c r="JIE25" s="197"/>
      <c r="JIF25" s="197"/>
      <c r="JIG25" s="197"/>
      <c r="JIH25" s="197"/>
      <c r="JII25" s="197"/>
      <c r="JIJ25" s="197"/>
      <c r="JIK25" s="197"/>
      <c r="JIL25" s="197"/>
      <c r="JIM25" s="197"/>
      <c r="JIN25" s="197"/>
      <c r="JIO25" s="197"/>
      <c r="JIP25" s="197"/>
      <c r="JIQ25" s="197"/>
      <c r="JIR25" s="197"/>
      <c r="JIS25" s="197"/>
      <c r="JIT25" s="197"/>
      <c r="JIU25" s="197"/>
      <c r="JIV25" s="197"/>
      <c r="JIW25" s="197"/>
      <c r="JIX25" s="197"/>
      <c r="JIY25" s="197"/>
      <c r="JIZ25" s="197"/>
      <c r="JJA25" s="197"/>
      <c r="JJB25" s="197"/>
      <c r="JJC25" s="197"/>
      <c r="JJD25" s="197"/>
      <c r="JJE25" s="197"/>
      <c r="JJF25" s="197"/>
      <c r="JJG25" s="197"/>
      <c r="JJH25" s="197"/>
      <c r="JJI25" s="197"/>
      <c r="JJJ25" s="197"/>
      <c r="JJK25" s="197"/>
      <c r="JJL25" s="197"/>
      <c r="JJM25" s="197"/>
      <c r="JJN25" s="197"/>
      <c r="JJO25" s="197"/>
      <c r="JJP25" s="197"/>
      <c r="JJQ25" s="197"/>
      <c r="JJR25" s="197"/>
      <c r="JJS25" s="197"/>
      <c r="JJT25" s="197"/>
      <c r="JJU25" s="197"/>
      <c r="JJV25" s="197"/>
      <c r="JJW25" s="197"/>
      <c r="JJX25" s="197"/>
      <c r="JJY25" s="197"/>
      <c r="JJZ25" s="197"/>
      <c r="JKA25" s="197"/>
      <c r="JKB25" s="197"/>
      <c r="JKC25" s="197"/>
      <c r="JKD25" s="197"/>
      <c r="JKE25" s="197"/>
      <c r="JKF25" s="197"/>
      <c r="JKG25" s="197"/>
      <c r="JKH25" s="197"/>
      <c r="JKI25" s="197"/>
      <c r="JKJ25" s="197"/>
      <c r="JKK25" s="197"/>
      <c r="JKL25" s="197"/>
      <c r="JKM25" s="197"/>
      <c r="JKN25" s="197"/>
      <c r="JKO25" s="197"/>
      <c r="JKP25" s="197"/>
      <c r="JKQ25" s="197"/>
      <c r="JKR25" s="197"/>
      <c r="JKS25" s="197"/>
      <c r="JKT25" s="197"/>
      <c r="JKU25" s="197"/>
      <c r="JKV25" s="197"/>
      <c r="JKW25" s="197"/>
      <c r="JKX25" s="197"/>
      <c r="JKY25" s="197"/>
      <c r="JKZ25" s="197"/>
      <c r="JLA25" s="197"/>
      <c r="JLB25" s="197"/>
      <c r="JLC25" s="197"/>
      <c r="JLD25" s="197"/>
      <c r="JLE25" s="197"/>
      <c r="JLF25" s="197"/>
      <c r="JLG25" s="197"/>
      <c r="JLH25" s="197"/>
      <c r="JLI25" s="197"/>
      <c r="JLJ25" s="197"/>
      <c r="JLK25" s="197"/>
      <c r="JLL25" s="197"/>
      <c r="JLM25" s="197"/>
      <c r="JLN25" s="197"/>
      <c r="JLO25" s="197"/>
      <c r="JLP25" s="197"/>
      <c r="JLQ25" s="197"/>
      <c r="JLR25" s="197"/>
      <c r="JLS25" s="197"/>
      <c r="JLT25" s="197"/>
      <c r="JLU25" s="197"/>
      <c r="JLV25" s="197"/>
      <c r="JLW25" s="197"/>
      <c r="JLX25" s="197"/>
      <c r="JLY25" s="197"/>
      <c r="JLZ25" s="197"/>
      <c r="JMA25" s="197"/>
      <c r="JMB25" s="197"/>
      <c r="JMC25" s="197"/>
      <c r="JMD25" s="197"/>
      <c r="JME25" s="197"/>
      <c r="JMF25" s="197"/>
      <c r="JMG25" s="197"/>
      <c r="JMH25" s="197"/>
      <c r="JMI25" s="197"/>
      <c r="JMJ25" s="197"/>
      <c r="JMK25" s="197"/>
      <c r="JML25" s="197"/>
      <c r="JMM25" s="197"/>
      <c r="JMN25" s="197"/>
      <c r="JMO25" s="197"/>
      <c r="JMP25" s="197"/>
      <c r="JMQ25" s="197"/>
      <c r="JMR25" s="197"/>
      <c r="JMS25" s="197"/>
      <c r="JMT25" s="197"/>
      <c r="JMU25" s="197"/>
      <c r="JMV25" s="197"/>
      <c r="JMW25" s="197"/>
      <c r="JMX25" s="197"/>
      <c r="JMY25" s="197"/>
      <c r="JMZ25" s="197"/>
      <c r="JNA25" s="197"/>
      <c r="JNB25" s="197"/>
      <c r="JNC25" s="197"/>
      <c r="JND25" s="197"/>
      <c r="JNE25" s="197"/>
      <c r="JNF25" s="197"/>
      <c r="JNG25" s="197"/>
      <c r="JNH25" s="197"/>
      <c r="JNI25" s="197"/>
      <c r="JNJ25" s="197"/>
      <c r="JNK25" s="197"/>
      <c r="JNL25" s="197"/>
      <c r="JNM25" s="197"/>
      <c r="JNN25" s="197"/>
      <c r="JNO25" s="197"/>
      <c r="JNP25" s="197"/>
      <c r="JNQ25" s="197"/>
      <c r="JNR25" s="197"/>
      <c r="JNS25" s="197"/>
      <c r="JNT25" s="197"/>
      <c r="JNU25" s="197"/>
      <c r="JNV25" s="197"/>
      <c r="JNW25" s="197"/>
      <c r="JNX25" s="197"/>
      <c r="JNY25" s="197"/>
      <c r="JNZ25" s="197"/>
      <c r="JOA25" s="197"/>
      <c r="JOB25" s="197"/>
      <c r="JOC25" s="197"/>
      <c r="JOD25" s="197"/>
      <c r="JOE25" s="197"/>
      <c r="JOF25" s="197"/>
      <c r="JOG25" s="197"/>
      <c r="JOH25" s="197"/>
      <c r="JOI25" s="197"/>
      <c r="JOJ25" s="197"/>
      <c r="JOK25" s="197"/>
      <c r="JOL25" s="197"/>
      <c r="JOM25" s="197"/>
      <c r="JON25" s="197"/>
      <c r="JOO25" s="197"/>
      <c r="JOP25" s="197"/>
      <c r="JOQ25" s="197"/>
      <c r="JOR25" s="197"/>
      <c r="JOS25" s="197"/>
      <c r="JOT25" s="197"/>
      <c r="JOU25" s="197"/>
      <c r="JOV25" s="197"/>
      <c r="JOW25" s="197"/>
      <c r="JOX25" s="197"/>
      <c r="JOY25" s="197"/>
      <c r="JOZ25" s="197"/>
      <c r="JPA25" s="197"/>
      <c r="JPB25" s="197"/>
      <c r="JPC25" s="197"/>
      <c r="JPD25" s="197"/>
      <c r="JPE25" s="197"/>
      <c r="JPF25" s="197"/>
      <c r="JPG25" s="197"/>
      <c r="JPH25" s="197"/>
      <c r="JPI25" s="197"/>
      <c r="JPJ25" s="197"/>
      <c r="JPK25" s="197"/>
      <c r="JPL25" s="197"/>
      <c r="JPM25" s="197"/>
      <c r="JPN25" s="197"/>
      <c r="JPO25" s="197"/>
      <c r="JPP25" s="197"/>
      <c r="JPQ25" s="197"/>
      <c r="JPR25" s="197"/>
      <c r="JPS25" s="197"/>
      <c r="JPT25" s="197"/>
      <c r="JPU25" s="197"/>
      <c r="JPV25" s="197"/>
      <c r="JPW25" s="197"/>
      <c r="JPX25" s="197"/>
      <c r="JPY25" s="197"/>
      <c r="JPZ25" s="197"/>
      <c r="JQA25" s="197"/>
      <c r="JQB25" s="197"/>
      <c r="JQC25" s="197"/>
      <c r="JQD25" s="197"/>
      <c r="JQE25" s="197"/>
      <c r="JQF25" s="197"/>
      <c r="JQG25" s="197"/>
      <c r="JQH25" s="197"/>
      <c r="JQI25" s="197"/>
      <c r="JQJ25" s="197"/>
      <c r="JQK25" s="197"/>
      <c r="JQL25" s="197"/>
      <c r="JQM25" s="197"/>
      <c r="JQN25" s="197"/>
      <c r="JQO25" s="197"/>
      <c r="JQP25" s="197"/>
      <c r="JQQ25" s="197"/>
      <c r="JQR25" s="197"/>
      <c r="JQS25" s="197"/>
      <c r="JQT25" s="197"/>
      <c r="JQU25" s="197"/>
      <c r="JQV25" s="197"/>
      <c r="JQW25" s="197"/>
      <c r="JQX25" s="197"/>
      <c r="JQY25" s="197"/>
      <c r="JQZ25" s="197"/>
      <c r="JRA25" s="197"/>
      <c r="JRB25" s="197"/>
      <c r="JRC25" s="197"/>
      <c r="JRD25" s="197"/>
      <c r="JRE25" s="197"/>
      <c r="JRF25" s="197"/>
      <c r="JRG25" s="197"/>
      <c r="JRH25" s="197"/>
      <c r="JRI25" s="197"/>
      <c r="JRJ25" s="197"/>
      <c r="JRK25" s="197"/>
      <c r="JRL25" s="197"/>
      <c r="JRM25" s="197"/>
      <c r="JRN25" s="197"/>
      <c r="JRO25" s="197"/>
      <c r="JRP25" s="197"/>
      <c r="JRQ25" s="197"/>
      <c r="JRR25" s="197"/>
      <c r="JRS25" s="197"/>
      <c r="JRT25" s="197"/>
      <c r="JRU25" s="197"/>
      <c r="JRV25" s="197"/>
      <c r="JRW25" s="197"/>
      <c r="JRX25" s="197"/>
      <c r="JRY25" s="197"/>
      <c r="JRZ25" s="197"/>
      <c r="JSA25" s="197"/>
      <c r="JSB25" s="197"/>
      <c r="JSC25" s="197"/>
      <c r="JSD25" s="197"/>
      <c r="JSE25" s="197"/>
      <c r="JSF25" s="197"/>
      <c r="JSG25" s="197"/>
      <c r="JSH25" s="197"/>
      <c r="JSI25" s="197"/>
      <c r="JSJ25" s="197"/>
      <c r="JSK25" s="197"/>
      <c r="JSL25" s="197"/>
      <c r="JSM25" s="197"/>
      <c r="JSN25" s="197"/>
      <c r="JSO25" s="197"/>
      <c r="JSP25" s="197"/>
      <c r="JSQ25" s="197"/>
      <c r="JSR25" s="197"/>
      <c r="JSS25" s="197"/>
      <c r="JST25" s="197"/>
      <c r="JSU25" s="197"/>
      <c r="JSV25" s="197"/>
      <c r="JSW25" s="197"/>
      <c r="JSX25" s="197"/>
      <c r="JSY25" s="197"/>
      <c r="JSZ25" s="197"/>
      <c r="JTA25" s="197"/>
      <c r="JTB25" s="197"/>
      <c r="JTC25" s="197"/>
      <c r="JTD25" s="197"/>
      <c r="JTE25" s="197"/>
      <c r="JTF25" s="197"/>
      <c r="JTG25" s="197"/>
      <c r="JTH25" s="197"/>
      <c r="JTI25" s="197"/>
      <c r="JTJ25" s="197"/>
      <c r="JTK25" s="197"/>
      <c r="JTL25" s="197"/>
      <c r="JTM25" s="197"/>
      <c r="JTN25" s="197"/>
      <c r="JTO25" s="197"/>
      <c r="JTP25" s="197"/>
      <c r="JTQ25" s="197"/>
      <c r="JTR25" s="197"/>
      <c r="JTS25" s="197"/>
      <c r="JTT25" s="197"/>
      <c r="JTU25" s="197"/>
      <c r="JTV25" s="197"/>
      <c r="JTW25" s="197"/>
      <c r="JTX25" s="197"/>
      <c r="JTY25" s="197"/>
      <c r="JTZ25" s="197"/>
      <c r="JUA25" s="197"/>
      <c r="JUB25" s="197"/>
      <c r="JUC25" s="197"/>
      <c r="JUD25" s="197"/>
      <c r="JUE25" s="197"/>
      <c r="JUF25" s="197"/>
      <c r="JUG25" s="197"/>
      <c r="JUH25" s="197"/>
      <c r="JUI25" s="197"/>
      <c r="JUJ25" s="197"/>
      <c r="JUK25" s="197"/>
      <c r="JUL25" s="197"/>
      <c r="JUM25" s="197"/>
      <c r="JUN25" s="197"/>
      <c r="JUO25" s="197"/>
      <c r="JUP25" s="197"/>
      <c r="JUQ25" s="197"/>
      <c r="JUR25" s="197"/>
      <c r="JUS25" s="197"/>
      <c r="JUT25" s="197"/>
      <c r="JUU25" s="197"/>
      <c r="JUV25" s="197"/>
      <c r="JUW25" s="197"/>
      <c r="JUX25" s="197"/>
      <c r="JUY25" s="197"/>
      <c r="JUZ25" s="197"/>
      <c r="JVA25" s="197"/>
      <c r="JVB25" s="197"/>
      <c r="JVC25" s="197"/>
      <c r="JVD25" s="197"/>
      <c r="JVE25" s="197"/>
      <c r="JVF25" s="197"/>
      <c r="JVG25" s="197"/>
      <c r="JVH25" s="197"/>
      <c r="JVI25" s="197"/>
      <c r="JVJ25" s="197"/>
      <c r="JVK25" s="197"/>
      <c r="JVL25" s="197"/>
      <c r="JVM25" s="197"/>
      <c r="JVN25" s="197"/>
      <c r="JVO25" s="197"/>
      <c r="JVP25" s="197"/>
      <c r="JVQ25" s="197"/>
      <c r="JVR25" s="197"/>
      <c r="JVS25" s="197"/>
      <c r="JVT25" s="197"/>
      <c r="JVU25" s="197"/>
      <c r="JVV25" s="197"/>
      <c r="JVW25" s="197"/>
      <c r="JVX25" s="197"/>
      <c r="JVY25" s="197"/>
      <c r="JVZ25" s="197"/>
      <c r="JWA25" s="197"/>
      <c r="JWB25" s="197"/>
      <c r="JWC25" s="197"/>
      <c r="JWD25" s="197"/>
      <c r="JWE25" s="197"/>
      <c r="JWF25" s="197"/>
      <c r="JWG25" s="197"/>
      <c r="JWH25" s="197"/>
      <c r="JWI25" s="197"/>
      <c r="JWJ25" s="197"/>
      <c r="JWK25" s="197"/>
      <c r="JWL25" s="197"/>
      <c r="JWM25" s="197"/>
      <c r="JWN25" s="197"/>
      <c r="JWO25" s="197"/>
      <c r="JWP25" s="197"/>
      <c r="JWQ25" s="197"/>
      <c r="JWR25" s="197"/>
      <c r="JWS25" s="197"/>
      <c r="JWT25" s="197"/>
      <c r="JWU25" s="197"/>
      <c r="JWV25" s="197"/>
      <c r="JWW25" s="197"/>
      <c r="JWX25" s="197"/>
      <c r="JWY25" s="197"/>
      <c r="JWZ25" s="197"/>
      <c r="JXA25" s="197"/>
      <c r="JXB25" s="197"/>
      <c r="JXC25" s="197"/>
      <c r="JXD25" s="197"/>
      <c r="JXE25" s="197"/>
      <c r="JXF25" s="197"/>
      <c r="JXG25" s="197"/>
      <c r="JXH25" s="197"/>
      <c r="JXI25" s="197"/>
      <c r="JXJ25" s="197"/>
      <c r="JXK25" s="197"/>
      <c r="JXL25" s="197"/>
      <c r="JXM25" s="197"/>
      <c r="JXN25" s="197"/>
      <c r="JXO25" s="197"/>
      <c r="JXP25" s="197"/>
      <c r="JXQ25" s="197"/>
      <c r="JXR25" s="197"/>
      <c r="JXS25" s="197"/>
      <c r="JXT25" s="197"/>
      <c r="JXU25" s="197"/>
      <c r="JXV25" s="197"/>
      <c r="JXW25" s="197"/>
      <c r="JXX25" s="197"/>
      <c r="JXY25" s="197"/>
      <c r="JXZ25" s="197"/>
      <c r="JYA25" s="197"/>
      <c r="JYB25" s="197"/>
      <c r="JYC25" s="197"/>
      <c r="JYD25" s="197"/>
      <c r="JYE25" s="197"/>
      <c r="JYF25" s="197"/>
      <c r="JYG25" s="197"/>
      <c r="JYH25" s="197"/>
      <c r="JYI25" s="197"/>
      <c r="JYJ25" s="197"/>
      <c r="JYK25" s="197"/>
      <c r="JYL25" s="197"/>
      <c r="JYM25" s="197"/>
      <c r="JYN25" s="197"/>
      <c r="JYO25" s="197"/>
      <c r="JYP25" s="197"/>
      <c r="JYQ25" s="197"/>
      <c r="JYR25" s="197"/>
      <c r="JYS25" s="197"/>
      <c r="JYT25" s="197"/>
      <c r="JYU25" s="197"/>
      <c r="JYV25" s="197"/>
      <c r="JYW25" s="197"/>
      <c r="JYX25" s="197"/>
      <c r="JYY25" s="197"/>
      <c r="JYZ25" s="197"/>
      <c r="JZA25" s="197"/>
      <c r="JZB25" s="197"/>
      <c r="JZC25" s="197"/>
      <c r="JZD25" s="197"/>
      <c r="JZE25" s="197"/>
      <c r="JZF25" s="197"/>
      <c r="JZG25" s="197"/>
      <c r="JZH25" s="197"/>
      <c r="JZI25" s="197"/>
      <c r="JZJ25" s="197"/>
      <c r="JZK25" s="197"/>
      <c r="JZL25" s="197"/>
      <c r="JZM25" s="197"/>
      <c r="JZN25" s="197"/>
      <c r="JZO25" s="197"/>
      <c r="JZP25" s="197"/>
      <c r="JZQ25" s="197"/>
      <c r="JZR25" s="197"/>
      <c r="JZS25" s="197"/>
      <c r="JZT25" s="197"/>
      <c r="JZU25" s="197"/>
      <c r="JZV25" s="197"/>
      <c r="JZW25" s="197"/>
      <c r="JZX25" s="197"/>
      <c r="JZY25" s="197"/>
      <c r="JZZ25" s="197"/>
      <c r="KAA25" s="197"/>
      <c r="KAB25" s="197"/>
      <c r="KAC25" s="197"/>
      <c r="KAD25" s="197"/>
      <c r="KAE25" s="197"/>
      <c r="KAF25" s="197"/>
      <c r="KAG25" s="197"/>
      <c r="KAH25" s="197"/>
      <c r="KAI25" s="197"/>
      <c r="KAJ25" s="197"/>
      <c r="KAK25" s="197"/>
      <c r="KAL25" s="197"/>
      <c r="KAM25" s="197"/>
      <c r="KAN25" s="197"/>
      <c r="KAO25" s="197"/>
      <c r="KAP25" s="197"/>
      <c r="KAQ25" s="197"/>
      <c r="KAR25" s="197"/>
      <c r="KAS25" s="197"/>
      <c r="KAT25" s="197"/>
      <c r="KAU25" s="197"/>
      <c r="KAV25" s="197"/>
      <c r="KAW25" s="197"/>
      <c r="KAX25" s="197"/>
      <c r="KAY25" s="197"/>
      <c r="KAZ25" s="197"/>
      <c r="KBA25" s="197"/>
      <c r="KBB25" s="197"/>
      <c r="KBC25" s="197"/>
      <c r="KBD25" s="197"/>
      <c r="KBE25" s="197"/>
      <c r="KBF25" s="197"/>
      <c r="KBG25" s="197"/>
      <c r="KBH25" s="197"/>
      <c r="KBI25" s="197"/>
      <c r="KBJ25" s="197"/>
      <c r="KBK25" s="197"/>
      <c r="KBL25" s="197"/>
      <c r="KBM25" s="197"/>
      <c r="KBN25" s="197"/>
      <c r="KBO25" s="197"/>
      <c r="KBP25" s="197"/>
      <c r="KBQ25" s="197"/>
      <c r="KBR25" s="197"/>
      <c r="KBS25" s="197"/>
      <c r="KBT25" s="197"/>
      <c r="KBU25" s="197"/>
      <c r="KBV25" s="197"/>
      <c r="KBW25" s="197"/>
      <c r="KBX25" s="197"/>
      <c r="KBY25" s="197"/>
      <c r="KBZ25" s="197"/>
      <c r="KCA25" s="197"/>
      <c r="KCB25" s="197"/>
      <c r="KCC25" s="197"/>
      <c r="KCD25" s="197"/>
      <c r="KCE25" s="197"/>
      <c r="KCF25" s="197"/>
      <c r="KCG25" s="197"/>
      <c r="KCH25" s="197"/>
      <c r="KCI25" s="197"/>
      <c r="KCJ25" s="197"/>
      <c r="KCK25" s="197"/>
      <c r="KCL25" s="197"/>
      <c r="KCM25" s="197"/>
      <c r="KCN25" s="197"/>
      <c r="KCO25" s="197"/>
      <c r="KCP25" s="197"/>
      <c r="KCQ25" s="197"/>
      <c r="KCR25" s="197"/>
      <c r="KCS25" s="197"/>
      <c r="KCT25" s="197"/>
      <c r="KCU25" s="197"/>
      <c r="KCV25" s="197"/>
      <c r="KCW25" s="197"/>
      <c r="KCX25" s="197"/>
      <c r="KCY25" s="197"/>
      <c r="KCZ25" s="197"/>
      <c r="KDA25" s="197"/>
      <c r="KDB25" s="197"/>
      <c r="KDC25" s="197"/>
      <c r="KDD25" s="197"/>
      <c r="KDE25" s="197"/>
      <c r="KDF25" s="197"/>
      <c r="KDG25" s="197"/>
      <c r="KDH25" s="197"/>
      <c r="KDI25" s="197"/>
      <c r="KDJ25" s="197"/>
      <c r="KDK25" s="197"/>
      <c r="KDL25" s="197"/>
      <c r="KDM25" s="197"/>
      <c r="KDN25" s="197"/>
      <c r="KDO25" s="197"/>
      <c r="KDP25" s="197"/>
      <c r="KDQ25" s="197"/>
      <c r="KDR25" s="197"/>
      <c r="KDS25" s="197"/>
      <c r="KDT25" s="197"/>
      <c r="KDU25" s="197"/>
      <c r="KDV25" s="197"/>
      <c r="KDW25" s="197"/>
      <c r="KDX25" s="197"/>
      <c r="KDY25" s="197"/>
      <c r="KDZ25" s="197"/>
      <c r="KEA25" s="197"/>
      <c r="KEB25" s="197"/>
      <c r="KEC25" s="197"/>
      <c r="KED25" s="197"/>
      <c r="KEE25" s="197"/>
      <c r="KEF25" s="197"/>
      <c r="KEG25" s="197"/>
      <c r="KEH25" s="197"/>
      <c r="KEI25" s="197"/>
      <c r="KEJ25" s="197"/>
      <c r="KEK25" s="197"/>
      <c r="KEL25" s="197"/>
      <c r="KEM25" s="197"/>
      <c r="KEN25" s="197"/>
      <c r="KEO25" s="197"/>
      <c r="KEP25" s="197"/>
      <c r="KEQ25" s="197"/>
      <c r="KER25" s="197"/>
      <c r="KES25" s="197"/>
      <c r="KET25" s="197"/>
      <c r="KEU25" s="197"/>
      <c r="KEV25" s="197"/>
      <c r="KEW25" s="197"/>
      <c r="KEX25" s="197"/>
      <c r="KEY25" s="197"/>
      <c r="KEZ25" s="197"/>
      <c r="KFA25" s="197"/>
      <c r="KFB25" s="197"/>
      <c r="KFC25" s="197"/>
      <c r="KFD25" s="197"/>
      <c r="KFE25" s="197"/>
      <c r="KFF25" s="197"/>
      <c r="KFG25" s="197"/>
      <c r="KFH25" s="197"/>
      <c r="KFI25" s="197"/>
      <c r="KFJ25" s="197"/>
      <c r="KFK25" s="197"/>
      <c r="KFL25" s="197"/>
      <c r="KFM25" s="197"/>
      <c r="KFN25" s="197"/>
      <c r="KFO25" s="197"/>
      <c r="KFP25" s="197"/>
      <c r="KFQ25" s="197"/>
      <c r="KFR25" s="197"/>
      <c r="KFS25" s="197"/>
      <c r="KFT25" s="197"/>
      <c r="KFU25" s="197"/>
      <c r="KFV25" s="197"/>
      <c r="KFW25" s="197"/>
      <c r="KFX25" s="197"/>
      <c r="KFY25" s="197"/>
      <c r="KFZ25" s="197"/>
      <c r="KGA25" s="197"/>
      <c r="KGB25" s="197"/>
      <c r="KGC25" s="197"/>
      <c r="KGD25" s="197"/>
      <c r="KGE25" s="197"/>
      <c r="KGF25" s="197"/>
      <c r="KGG25" s="197"/>
      <c r="KGH25" s="197"/>
      <c r="KGI25" s="197"/>
      <c r="KGJ25" s="197"/>
      <c r="KGK25" s="197"/>
      <c r="KGL25" s="197"/>
      <c r="KGM25" s="197"/>
      <c r="KGN25" s="197"/>
      <c r="KGO25" s="197"/>
      <c r="KGP25" s="197"/>
      <c r="KGQ25" s="197"/>
      <c r="KGR25" s="197"/>
      <c r="KGS25" s="197"/>
      <c r="KGT25" s="197"/>
      <c r="KGU25" s="197"/>
      <c r="KGV25" s="197"/>
      <c r="KGW25" s="197"/>
      <c r="KGX25" s="197"/>
      <c r="KGY25" s="197"/>
      <c r="KGZ25" s="197"/>
      <c r="KHA25" s="197"/>
      <c r="KHB25" s="197"/>
      <c r="KHC25" s="197"/>
      <c r="KHD25" s="197"/>
      <c r="KHE25" s="197"/>
      <c r="KHF25" s="197"/>
      <c r="KHG25" s="197"/>
      <c r="KHH25" s="197"/>
      <c r="KHI25" s="197"/>
      <c r="KHJ25" s="197"/>
      <c r="KHK25" s="197"/>
      <c r="KHL25" s="197"/>
      <c r="KHM25" s="197"/>
      <c r="KHN25" s="197"/>
      <c r="KHO25" s="197"/>
      <c r="KHP25" s="197"/>
      <c r="KHQ25" s="197"/>
      <c r="KHR25" s="197"/>
      <c r="KHS25" s="197"/>
      <c r="KHT25" s="197"/>
      <c r="KHU25" s="197"/>
      <c r="KHV25" s="197"/>
      <c r="KHW25" s="197"/>
      <c r="KHX25" s="197"/>
      <c r="KHY25" s="197"/>
      <c r="KHZ25" s="197"/>
      <c r="KIA25" s="197"/>
      <c r="KIB25" s="197"/>
      <c r="KIC25" s="197"/>
      <c r="KID25" s="197"/>
      <c r="KIE25" s="197"/>
      <c r="KIF25" s="197"/>
      <c r="KIG25" s="197"/>
      <c r="KIH25" s="197"/>
      <c r="KII25" s="197"/>
      <c r="KIJ25" s="197"/>
      <c r="KIK25" s="197"/>
      <c r="KIL25" s="197"/>
      <c r="KIM25" s="197"/>
      <c r="KIN25" s="197"/>
      <c r="KIO25" s="197"/>
      <c r="KIP25" s="197"/>
      <c r="KIQ25" s="197"/>
      <c r="KIR25" s="197"/>
      <c r="KIS25" s="197"/>
      <c r="KIT25" s="197"/>
      <c r="KIU25" s="197"/>
      <c r="KIV25" s="197"/>
      <c r="KIW25" s="197"/>
      <c r="KIX25" s="197"/>
      <c r="KIY25" s="197"/>
      <c r="KIZ25" s="197"/>
      <c r="KJA25" s="197"/>
      <c r="KJB25" s="197"/>
      <c r="KJC25" s="197"/>
      <c r="KJD25" s="197"/>
      <c r="KJE25" s="197"/>
      <c r="KJF25" s="197"/>
      <c r="KJG25" s="197"/>
      <c r="KJH25" s="197"/>
      <c r="KJI25" s="197"/>
      <c r="KJJ25" s="197"/>
      <c r="KJK25" s="197"/>
      <c r="KJL25" s="197"/>
      <c r="KJM25" s="197"/>
      <c r="KJN25" s="197"/>
      <c r="KJO25" s="197"/>
      <c r="KJP25" s="197"/>
      <c r="KJQ25" s="197"/>
      <c r="KJR25" s="197"/>
      <c r="KJS25" s="197"/>
      <c r="KJT25" s="197"/>
      <c r="KJU25" s="197"/>
      <c r="KJV25" s="197"/>
      <c r="KJW25" s="197"/>
      <c r="KJX25" s="197"/>
      <c r="KJY25" s="197"/>
      <c r="KJZ25" s="197"/>
      <c r="KKA25" s="197"/>
      <c r="KKB25" s="197"/>
      <c r="KKC25" s="197"/>
      <c r="KKD25" s="197"/>
      <c r="KKE25" s="197"/>
      <c r="KKF25" s="197"/>
      <c r="KKG25" s="197"/>
      <c r="KKH25" s="197"/>
      <c r="KKI25" s="197"/>
      <c r="KKJ25" s="197"/>
      <c r="KKK25" s="197"/>
      <c r="KKL25" s="197"/>
      <c r="KKM25" s="197"/>
      <c r="KKN25" s="197"/>
      <c r="KKO25" s="197"/>
      <c r="KKP25" s="197"/>
      <c r="KKQ25" s="197"/>
      <c r="KKR25" s="197"/>
      <c r="KKS25" s="197"/>
      <c r="KKT25" s="197"/>
      <c r="KKU25" s="197"/>
      <c r="KKV25" s="197"/>
      <c r="KKW25" s="197"/>
      <c r="KKX25" s="197"/>
      <c r="KKY25" s="197"/>
      <c r="KKZ25" s="197"/>
      <c r="KLA25" s="197"/>
      <c r="KLB25" s="197"/>
      <c r="KLC25" s="197"/>
      <c r="KLD25" s="197"/>
      <c r="KLE25" s="197"/>
      <c r="KLF25" s="197"/>
      <c r="KLG25" s="197"/>
      <c r="KLH25" s="197"/>
      <c r="KLI25" s="197"/>
      <c r="KLJ25" s="197"/>
      <c r="KLK25" s="197"/>
      <c r="KLL25" s="197"/>
      <c r="KLM25" s="197"/>
      <c r="KLN25" s="197"/>
      <c r="KLO25" s="197"/>
      <c r="KLP25" s="197"/>
      <c r="KLQ25" s="197"/>
      <c r="KLR25" s="197"/>
      <c r="KLS25" s="197"/>
      <c r="KLT25" s="197"/>
      <c r="KLU25" s="197"/>
      <c r="KLV25" s="197"/>
      <c r="KLW25" s="197"/>
      <c r="KLX25" s="197"/>
      <c r="KLY25" s="197"/>
      <c r="KLZ25" s="197"/>
      <c r="KMA25" s="197"/>
      <c r="KMB25" s="197"/>
      <c r="KMC25" s="197"/>
      <c r="KMD25" s="197"/>
      <c r="KME25" s="197"/>
      <c r="KMF25" s="197"/>
      <c r="KMG25" s="197"/>
      <c r="KMH25" s="197"/>
      <c r="KMI25" s="197"/>
      <c r="KMJ25" s="197"/>
      <c r="KMK25" s="197"/>
      <c r="KML25" s="197"/>
      <c r="KMM25" s="197"/>
      <c r="KMN25" s="197"/>
      <c r="KMO25" s="197"/>
      <c r="KMP25" s="197"/>
      <c r="KMQ25" s="197"/>
      <c r="KMR25" s="197"/>
      <c r="KMS25" s="197"/>
      <c r="KMT25" s="197"/>
      <c r="KMU25" s="197"/>
      <c r="KMV25" s="197"/>
      <c r="KMW25" s="197"/>
      <c r="KMX25" s="197"/>
      <c r="KMY25" s="197"/>
      <c r="KMZ25" s="197"/>
      <c r="KNA25" s="197"/>
      <c r="KNB25" s="197"/>
      <c r="KNC25" s="197"/>
      <c r="KND25" s="197"/>
      <c r="KNE25" s="197"/>
      <c r="KNF25" s="197"/>
      <c r="KNG25" s="197"/>
      <c r="KNH25" s="197"/>
      <c r="KNI25" s="197"/>
      <c r="KNJ25" s="197"/>
      <c r="KNK25" s="197"/>
      <c r="KNL25" s="197"/>
      <c r="KNM25" s="197"/>
      <c r="KNN25" s="197"/>
      <c r="KNO25" s="197"/>
      <c r="KNP25" s="197"/>
      <c r="KNQ25" s="197"/>
      <c r="KNR25" s="197"/>
      <c r="KNS25" s="197"/>
      <c r="KNT25" s="197"/>
      <c r="KNU25" s="197"/>
      <c r="KNV25" s="197"/>
      <c r="KNW25" s="197"/>
      <c r="KNX25" s="197"/>
      <c r="KNY25" s="197"/>
      <c r="KNZ25" s="197"/>
      <c r="KOA25" s="197"/>
      <c r="KOB25" s="197"/>
      <c r="KOC25" s="197"/>
      <c r="KOD25" s="197"/>
      <c r="KOE25" s="197"/>
      <c r="KOF25" s="197"/>
      <c r="KOG25" s="197"/>
      <c r="KOH25" s="197"/>
      <c r="KOI25" s="197"/>
      <c r="KOJ25" s="197"/>
      <c r="KOK25" s="197"/>
      <c r="KOL25" s="197"/>
      <c r="KOM25" s="197"/>
      <c r="KON25" s="197"/>
      <c r="KOO25" s="197"/>
      <c r="KOP25" s="197"/>
      <c r="KOQ25" s="197"/>
      <c r="KOR25" s="197"/>
      <c r="KOS25" s="197"/>
      <c r="KOT25" s="197"/>
      <c r="KOU25" s="197"/>
      <c r="KOV25" s="197"/>
      <c r="KOW25" s="197"/>
      <c r="KOX25" s="197"/>
      <c r="KOY25" s="197"/>
      <c r="KOZ25" s="197"/>
      <c r="KPA25" s="197"/>
      <c r="KPB25" s="197"/>
      <c r="KPC25" s="197"/>
      <c r="KPD25" s="197"/>
      <c r="KPE25" s="197"/>
      <c r="KPF25" s="197"/>
      <c r="KPG25" s="197"/>
      <c r="KPH25" s="197"/>
      <c r="KPI25" s="197"/>
      <c r="KPJ25" s="197"/>
      <c r="KPK25" s="197"/>
      <c r="KPL25" s="197"/>
      <c r="KPM25" s="197"/>
      <c r="KPN25" s="197"/>
      <c r="KPO25" s="197"/>
      <c r="KPP25" s="197"/>
      <c r="KPQ25" s="197"/>
      <c r="KPR25" s="197"/>
      <c r="KPS25" s="197"/>
      <c r="KPT25" s="197"/>
      <c r="KPU25" s="197"/>
      <c r="KPV25" s="197"/>
      <c r="KPW25" s="197"/>
      <c r="KPX25" s="197"/>
      <c r="KPY25" s="197"/>
      <c r="KPZ25" s="197"/>
      <c r="KQA25" s="197"/>
      <c r="KQB25" s="197"/>
      <c r="KQC25" s="197"/>
      <c r="KQD25" s="197"/>
      <c r="KQE25" s="197"/>
      <c r="KQF25" s="197"/>
      <c r="KQG25" s="197"/>
      <c r="KQH25" s="197"/>
      <c r="KQI25" s="197"/>
      <c r="KQJ25" s="197"/>
      <c r="KQK25" s="197"/>
      <c r="KQL25" s="197"/>
      <c r="KQM25" s="197"/>
      <c r="KQN25" s="197"/>
      <c r="KQO25" s="197"/>
      <c r="KQP25" s="197"/>
      <c r="KQQ25" s="197"/>
      <c r="KQR25" s="197"/>
      <c r="KQS25" s="197"/>
      <c r="KQT25" s="197"/>
      <c r="KQU25" s="197"/>
      <c r="KQV25" s="197"/>
      <c r="KQW25" s="197"/>
      <c r="KQX25" s="197"/>
      <c r="KQY25" s="197"/>
      <c r="KQZ25" s="197"/>
      <c r="KRA25" s="197"/>
      <c r="KRB25" s="197"/>
      <c r="KRC25" s="197"/>
      <c r="KRD25" s="197"/>
      <c r="KRE25" s="197"/>
      <c r="KRF25" s="197"/>
      <c r="KRG25" s="197"/>
      <c r="KRH25" s="197"/>
      <c r="KRI25" s="197"/>
      <c r="KRJ25" s="197"/>
      <c r="KRK25" s="197"/>
      <c r="KRL25" s="197"/>
      <c r="KRM25" s="197"/>
      <c r="KRN25" s="197"/>
      <c r="KRO25" s="197"/>
      <c r="KRP25" s="197"/>
      <c r="KRQ25" s="197"/>
      <c r="KRR25" s="197"/>
      <c r="KRS25" s="197"/>
      <c r="KRT25" s="197"/>
      <c r="KRU25" s="197"/>
      <c r="KRV25" s="197"/>
      <c r="KRW25" s="197"/>
      <c r="KRX25" s="197"/>
      <c r="KRY25" s="197"/>
      <c r="KRZ25" s="197"/>
      <c r="KSA25" s="197"/>
      <c r="KSB25" s="197"/>
      <c r="KSC25" s="197"/>
      <c r="KSD25" s="197"/>
      <c r="KSE25" s="197"/>
      <c r="KSF25" s="197"/>
      <c r="KSG25" s="197"/>
      <c r="KSH25" s="197"/>
      <c r="KSI25" s="197"/>
      <c r="KSJ25" s="197"/>
      <c r="KSK25" s="197"/>
      <c r="KSL25" s="197"/>
      <c r="KSM25" s="197"/>
      <c r="KSN25" s="197"/>
      <c r="KSO25" s="197"/>
      <c r="KSP25" s="197"/>
      <c r="KSQ25" s="197"/>
      <c r="KSR25" s="197"/>
      <c r="KSS25" s="197"/>
      <c r="KST25" s="197"/>
      <c r="KSU25" s="197"/>
      <c r="KSV25" s="197"/>
      <c r="KSW25" s="197"/>
      <c r="KSX25" s="197"/>
      <c r="KSY25" s="197"/>
      <c r="KSZ25" s="197"/>
      <c r="KTA25" s="197"/>
      <c r="KTB25" s="197"/>
      <c r="KTC25" s="197"/>
      <c r="KTD25" s="197"/>
      <c r="KTE25" s="197"/>
      <c r="KTF25" s="197"/>
      <c r="KTG25" s="197"/>
      <c r="KTH25" s="197"/>
      <c r="KTI25" s="197"/>
      <c r="KTJ25" s="197"/>
      <c r="KTK25" s="197"/>
      <c r="KTL25" s="197"/>
      <c r="KTM25" s="197"/>
      <c r="KTN25" s="197"/>
      <c r="KTO25" s="197"/>
      <c r="KTP25" s="197"/>
      <c r="KTQ25" s="197"/>
      <c r="KTR25" s="197"/>
      <c r="KTS25" s="197"/>
      <c r="KTT25" s="197"/>
      <c r="KTU25" s="197"/>
      <c r="KTV25" s="197"/>
      <c r="KTW25" s="197"/>
      <c r="KTX25" s="197"/>
      <c r="KTY25" s="197"/>
      <c r="KTZ25" s="197"/>
      <c r="KUA25" s="197"/>
      <c r="KUB25" s="197"/>
      <c r="KUC25" s="197"/>
      <c r="KUD25" s="197"/>
      <c r="KUE25" s="197"/>
      <c r="KUF25" s="197"/>
      <c r="KUG25" s="197"/>
      <c r="KUH25" s="197"/>
      <c r="KUI25" s="197"/>
      <c r="KUJ25" s="197"/>
      <c r="KUK25" s="197"/>
      <c r="KUL25" s="197"/>
      <c r="KUM25" s="197"/>
      <c r="KUN25" s="197"/>
      <c r="KUO25" s="197"/>
      <c r="KUP25" s="197"/>
      <c r="KUQ25" s="197"/>
      <c r="KUR25" s="197"/>
      <c r="KUS25" s="197"/>
      <c r="KUT25" s="197"/>
      <c r="KUU25" s="197"/>
      <c r="KUV25" s="197"/>
      <c r="KUW25" s="197"/>
      <c r="KUX25" s="197"/>
      <c r="KUY25" s="197"/>
      <c r="KUZ25" s="197"/>
      <c r="KVA25" s="197"/>
      <c r="KVB25" s="197"/>
      <c r="KVC25" s="197"/>
      <c r="KVD25" s="197"/>
      <c r="KVE25" s="197"/>
      <c r="KVF25" s="197"/>
      <c r="KVG25" s="197"/>
      <c r="KVH25" s="197"/>
      <c r="KVI25" s="197"/>
      <c r="KVJ25" s="197"/>
      <c r="KVK25" s="197"/>
      <c r="KVL25" s="197"/>
      <c r="KVM25" s="197"/>
      <c r="KVN25" s="197"/>
      <c r="KVO25" s="197"/>
      <c r="KVP25" s="197"/>
      <c r="KVQ25" s="197"/>
      <c r="KVR25" s="197"/>
      <c r="KVS25" s="197"/>
      <c r="KVT25" s="197"/>
      <c r="KVU25" s="197"/>
      <c r="KVV25" s="197"/>
      <c r="KVW25" s="197"/>
      <c r="KVX25" s="197"/>
      <c r="KVY25" s="197"/>
      <c r="KVZ25" s="197"/>
      <c r="KWA25" s="197"/>
      <c r="KWB25" s="197"/>
      <c r="KWC25" s="197"/>
      <c r="KWD25" s="197"/>
      <c r="KWE25" s="197"/>
      <c r="KWF25" s="197"/>
      <c r="KWG25" s="197"/>
      <c r="KWH25" s="197"/>
      <c r="KWI25" s="197"/>
      <c r="KWJ25" s="197"/>
      <c r="KWK25" s="197"/>
      <c r="KWL25" s="197"/>
      <c r="KWM25" s="197"/>
      <c r="KWN25" s="197"/>
      <c r="KWO25" s="197"/>
      <c r="KWP25" s="197"/>
      <c r="KWQ25" s="197"/>
      <c r="KWR25" s="197"/>
      <c r="KWS25" s="197"/>
      <c r="KWT25" s="197"/>
      <c r="KWU25" s="197"/>
      <c r="KWV25" s="197"/>
      <c r="KWW25" s="197"/>
      <c r="KWX25" s="197"/>
      <c r="KWY25" s="197"/>
      <c r="KWZ25" s="197"/>
      <c r="KXA25" s="197"/>
      <c r="KXB25" s="197"/>
      <c r="KXC25" s="197"/>
      <c r="KXD25" s="197"/>
      <c r="KXE25" s="197"/>
      <c r="KXF25" s="197"/>
      <c r="KXG25" s="197"/>
      <c r="KXH25" s="197"/>
      <c r="KXI25" s="197"/>
      <c r="KXJ25" s="197"/>
      <c r="KXK25" s="197"/>
      <c r="KXL25" s="197"/>
      <c r="KXM25" s="197"/>
      <c r="KXN25" s="197"/>
      <c r="KXO25" s="197"/>
      <c r="KXP25" s="197"/>
      <c r="KXQ25" s="197"/>
      <c r="KXR25" s="197"/>
      <c r="KXS25" s="197"/>
      <c r="KXT25" s="197"/>
      <c r="KXU25" s="197"/>
      <c r="KXV25" s="197"/>
      <c r="KXW25" s="197"/>
      <c r="KXX25" s="197"/>
      <c r="KXY25" s="197"/>
      <c r="KXZ25" s="197"/>
      <c r="KYA25" s="197"/>
      <c r="KYB25" s="197"/>
      <c r="KYC25" s="197"/>
      <c r="KYD25" s="197"/>
      <c r="KYE25" s="197"/>
      <c r="KYF25" s="197"/>
      <c r="KYG25" s="197"/>
      <c r="KYH25" s="197"/>
      <c r="KYI25" s="197"/>
      <c r="KYJ25" s="197"/>
      <c r="KYK25" s="197"/>
      <c r="KYL25" s="197"/>
      <c r="KYM25" s="197"/>
      <c r="KYN25" s="197"/>
      <c r="KYO25" s="197"/>
      <c r="KYP25" s="197"/>
      <c r="KYQ25" s="197"/>
      <c r="KYR25" s="197"/>
      <c r="KYS25" s="197"/>
      <c r="KYT25" s="197"/>
      <c r="KYU25" s="197"/>
      <c r="KYV25" s="197"/>
      <c r="KYW25" s="197"/>
      <c r="KYX25" s="197"/>
      <c r="KYY25" s="197"/>
      <c r="KYZ25" s="197"/>
      <c r="KZA25" s="197"/>
      <c r="KZB25" s="197"/>
      <c r="KZC25" s="197"/>
      <c r="KZD25" s="197"/>
      <c r="KZE25" s="197"/>
      <c r="KZF25" s="197"/>
      <c r="KZG25" s="197"/>
      <c r="KZH25" s="197"/>
      <c r="KZI25" s="197"/>
      <c r="KZJ25" s="197"/>
      <c r="KZK25" s="197"/>
      <c r="KZL25" s="197"/>
      <c r="KZM25" s="197"/>
      <c r="KZN25" s="197"/>
      <c r="KZO25" s="197"/>
      <c r="KZP25" s="197"/>
      <c r="KZQ25" s="197"/>
      <c r="KZR25" s="197"/>
      <c r="KZS25" s="197"/>
      <c r="KZT25" s="197"/>
      <c r="KZU25" s="197"/>
      <c r="KZV25" s="197"/>
      <c r="KZW25" s="197"/>
      <c r="KZX25" s="197"/>
      <c r="KZY25" s="197"/>
      <c r="KZZ25" s="197"/>
      <c r="LAA25" s="197"/>
      <c r="LAB25" s="197"/>
      <c r="LAC25" s="197"/>
      <c r="LAD25" s="197"/>
      <c r="LAE25" s="197"/>
      <c r="LAF25" s="197"/>
      <c r="LAG25" s="197"/>
      <c r="LAH25" s="197"/>
      <c r="LAI25" s="197"/>
      <c r="LAJ25" s="197"/>
      <c r="LAK25" s="197"/>
      <c r="LAL25" s="197"/>
      <c r="LAM25" s="197"/>
      <c r="LAN25" s="197"/>
      <c r="LAO25" s="197"/>
      <c r="LAP25" s="197"/>
      <c r="LAQ25" s="197"/>
      <c r="LAR25" s="197"/>
      <c r="LAS25" s="197"/>
      <c r="LAT25" s="197"/>
      <c r="LAU25" s="197"/>
      <c r="LAV25" s="197"/>
      <c r="LAW25" s="197"/>
      <c r="LAX25" s="197"/>
      <c r="LAY25" s="197"/>
      <c r="LAZ25" s="197"/>
      <c r="LBA25" s="197"/>
      <c r="LBB25" s="197"/>
      <c r="LBC25" s="197"/>
      <c r="LBD25" s="197"/>
      <c r="LBE25" s="197"/>
      <c r="LBF25" s="197"/>
      <c r="LBG25" s="197"/>
      <c r="LBH25" s="197"/>
      <c r="LBI25" s="197"/>
      <c r="LBJ25" s="197"/>
      <c r="LBK25" s="197"/>
      <c r="LBL25" s="197"/>
      <c r="LBM25" s="197"/>
      <c r="LBN25" s="197"/>
      <c r="LBO25" s="197"/>
      <c r="LBP25" s="197"/>
      <c r="LBQ25" s="197"/>
      <c r="LBR25" s="197"/>
      <c r="LBS25" s="197"/>
      <c r="LBT25" s="197"/>
      <c r="LBU25" s="197"/>
      <c r="LBV25" s="197"/>
      <c r="LBW25" s="197"/>
      <c r="LBX25" s="197"/>
      <c r="LBY25" s="197"/>
      <c r="LBZ25" s="197"/>
      <c r="LCA25" s="197"/>
      <c r="LCB25" s="197"/>
      <c r="LCC25" s="197"/>
      <c r="LCD25" s="197"/>
      <c r="LCE25" s="197"/>
      <c r="LCF25" s="197"/>
      <c r="LCG25" s="197"/>
      <c r="LCH25" s="197"/>
      <c r="LCI25" s="197"/>
      <c r="LCJ25" s="197"/>
      <c r="LCK25" s="197"/>
      <c r="LCL25" s="197"/>
      <c r="LCM25" s="197"/>
      <c r="LCN25" s="197"/>
      <c r="LCO25" s="197"/>
      <c r="LCP25" s="197"/>
      <c r="LCQ25" s="197"/>
      <c r="LCR25" s="197"/>
      <c r="LCS25" s="197"/>
      <c r="LCT25" s="197"/>
      <c r="LCU25" s="197"/>
      <c r="LCV25" s="197"/>
      <c r="LCW25" s="197"/>
      <c r="LCX25" s="197"/>
      <c r="LCY25" s="197"/>
      <c r="LCZ25" s="197"/>
      <c r="LDA25" s="197"/>
      <c r="LDB25" s="197"/>
      <c r="LDC25" s="197"/>
      <c r="LDD25" s="197"/>
      <c r="LDE25" s="197"/>
      <c r="LDF25" s="197"/>
      <c r="LDG25" s="197"/>
      <c r="LDH25" s="197"/>
      <c r="LDI25" s="197"/>
      <c r="LDJ25" s="197"/>
      <c r="LDK25" s="197"/>
      <c r="LDL25" s="197"/>
      <c r="LDM25" s="197"/>
      <c r="LDN25" s="197"/>
      <c r="LDO25" s="197"/>
      <c r="LDP25" s="197"/>
      <c r="LDQ25" s="197"/>
      <c r="LDR25" s="197"/>
      <c r="LDS25" s="197"/>
      <c r="LDT25" s="197"/>
      <c r="LDU25" s="197"/>
      <c r="LDV25" s="197"/>
      <c r="LDW25" s="197"/>
      <c r="LDX25" s="197"/>
      <c r="LDY25" s="197"/>
      <c r="LDZ25" s="197"/>
      <c r="LEA25" s="197"/>
      <c r="LEB25" s="197"/>
      <c r="LEC25" s="197"/>
      <c r="LED25" s="197"/>
      <c r="LEE25" s="197"/>
      <c r="LEF25" s="197"/>
      <c r="LEG25" s="197"/>
      <c r="LEH25" s="197"/>
      <c r="LEI25" s="197"/>
      <c r="LEJ25" s="197"/>
      <c r="LEK25" s="197"/>
      <c r="LEL25" s="197"/>
      <c r="LEM25" s="197"/>
      <c r="LEN25" s="197"/>
      <c r="LEO25" s="197"/>
      <c r="LEP25" s="197"/>
      <c r="LEQ25" s="197"/>
      <c r="LER25" s="197"/>
      <c r="LES25" s="197"/>
      <c r="LET25" s="197"/>
      <c r="LEU25" s="197"/>
      <c r="LEV25" s="197"/>
      <c r="LEW25" s="197"/>
      <c r="LEX25" s="197"/>
      <c r="LEY25" s="197"/>
      <c r="LEZ25" s="197"/>
      <c r="LFA25" s="197"/>
      <c r="LFB25" s="197"/>
      <c r="LFC25" s="197"/>
      <c r="LFD25" s="197"/>
      <c r="LFE25" s="197"/>
      <c r="LFF25" s="197"/>
      <c r="LFG25" s="197"/>
      <c r="LFH25" s="197"/>
      <c r="LFI25" s="197"/>
      <c r="LFJ25" s="197"/>
      <c r="LFK25" s="197"/>
      <c r="LFL25" s="197"/>
      <c r="LFM25" s="197"/>
      <c r="LFN25" s="197"/>
      <c r="LFO25" s="197"/>
      <c r="LFP25" s="197"/>
      <c r="LFQ25" s="197"/>
      <c r="LFR25" s="197"/>
      <c r="LFS25" s="197"/>
      <c r="LFT25" s="197"/>
      <c r="LFU25" s="197"/>
      <c r="LFV25" s="197"/>
      <c r="LFW25" s="197"/>
      <c r="LFX25" s="197"/>
      <c r="LFY25" s="197"/>
      <c r="LFZ25" s="197"/>
      <c r="LGA25" s="197"/>
      <c r="LGB25" s="197"/>
      <c r="LGC25" s="197"/>
      <c r="LGD25" s="197"/>
      <c r="LGE25" s="197"/>
      <c r="LGF25" s="197"/>
      <c r="LGG25" s="197"/>
      <c r="LGH25" s="197"/>
      <c r="LGI25" s="197"/>
      <c r="LGJ25" s="197"/>
      <c r="LGK25" s="197"/>
      <c r="LGL25" s="197"/>
      <c r="LGM25" s="197"/>
      <c r="LGN25" s="197"/>
      <c r="LGO25" s="197"/>
      <c r="LGP25" s="197"/>
      <c r="LGQ25" s="197"/>
      <c r="LGR25" s="197"/>
      <c r="LGS25" s="197"/>
      <c r="LGT25" s="197"/>
      <c r="LGU25" s="197"/>
      <c r="LGV25" s="197"/>
      <c r="LGW25" s="197"/>
      <c r="LGX25" s="197"/>
      <c r="LGY25" s="197"/>
      <c r="LGZ25" s="197"/>
      <c r="LHA25" s="197"/>
      <c r="LHB25" s="197"/>
      <c r="LHC25" s="197"/>
      <c r="LHD25" s="197"/>
      <c r="LHE25" s="197"/>
      <c r="LHF25" s="197"/>
      <c r="LHG25" s="197"/>
      <c r="LHH25" s="197"/>
      <c r="LHI25" s="197"/>
      <c r="LHJ25" s="197"/>
      <c r="LHK25" s="197"/>
      <c r="LHL25" s="197"/>
      <c r="LHM25" s="197"/>
      <c r="LHN25" s="197"/>
      <c r="LHO25" s="197"/>
      <c r="LHP25" s="197"/>
      <c r="LHQ25" s="197"/>
      <c r="LHR25" s="197"/>
      <c r="LHS25" s="197"/>
      <c r="LHT25" s="197"/>
      <c r="LHU25" s="197"/>
      <c r="LHV25" s="197"/>
      <c r="LHW25" s="197"/>
      <c r="LHX25" s="197"/>
      <c r="LHY25" s="197"/>
      <c r="LHZ25" s="197"/>
      <c r="LIA25" s="197"/>
      <c r="LIB25" s="197"/>
      <c r="LIC25" s="197"/>
      <c r="LID25" s="197"/>
      <c r="LIE25" s="197"/>
      <c r="LIF25" s="197"/>
      <c r="LIG25" s="197"/>
      <c r="LIH25" s="197"/>
      <c r="LII25" s="197"/>
      <c r="LIJ25" s="197"/>
      <c r="LIK25" s="197"/>
      <c r="LIL25" s="197"/>
      <c r="LIM25" s="197"/>
      <c r="LIN25" s="197"/>
      <c r="LIO25" s="197"/>
      <c r="LIP25" s="197"/>
      <c r="LIQ25" s="197"/>
      <c r="LIR25" s="197"/>
      <c r="LIS25" s="197"/>
      <c r="LIT25" s="197"/>
      <c r="LIU25" s="197"/>
      <c r="LIV25" s="197"/>
      <c r="LIW25" s="197"/>
      <c r="LIX25" s="197"/>
      <c r="LIY25" s="197"/>
      <c r="LIZ25" s="197"/>
      <c r="LJA25" s="197"/>
      <c r="LJB25" s="197"/>
      <c r="LJC25" s="197"/>
      <c r="LJD25" s="197"/>
      <c r="LJE25" s="197"/>
      <c r="LJF25" s="197"/>
      <c r="LJG25" s="197"/>
      <c r="LJH25" s="197"/>
      <c r="LJI25" s="197"/>
      <c r="LJJ25" s="197"/>
      <c r="LJK25" s="197"/>
      <c r="LJL25" s="197"/>
      <c r="LJM25" s="197"/>
      <c r="LJN25" s="197"/>
      <c r="LJO25" s="197"/>
      <c r="LJP25" s="197"/>
      <c r="LJQ25" s="197"/>
      <c r="LJR25" s="197"/>
      <c r="LJS25" s="197"/>
      <c r="LJT25" s="197"/>
      <c r="LJU25" s="197"/>
      <c r="LJV25" s="197"/>
      <c r="LJW25" s="197"/>
      <c r="LJX25" s="197"/>
      <c r="LJY25" s="197"/>
      <c r="LJZ25" s="197"/>
      <c r="LKA25" s="197"/>
      <c r="LKB25" s="197"/>
      <c r="LKC25" s="197"/>
      <c r="LKD25" s="197"/>
      <c r="LKE25" s="197"/>
      <c r="LKF25" s="197"/>
      <c r="LKG25" s="197"/>
      <c r="LKH25" s="197"/>
      <c r="LKI25" s="197"/>
      <c r="LKJ25" s="197"/>
      <c r="LKK25" s="197"/>
      <c r="LKL25" s="197"/>
      <c r="LKM25" s="197"/>
      <c r="LKN25" s="197"/>
      <c r="LKO25" s="197"/>
      <c r="LKP25" s="197"/>
      <c r="LKQ25" s="197"/>
      <c r="LKR25" s="197"/>
      <c r="LKS25" s="197"/>
      <c r="LKT25" s="197"/>
      <c r="LKU25" s="197"/>
      <c r="LKV25" s="197"/>
      <c r="LKW25" s="197"/>
      <c r="LKX25" s="197"/>
      <c r="LKY25" s="197"/>
      <c r="LKZ25" s="197"/>
      <c r="LLA25" s="197"/>
      <c r="LLB25" s="197"/>
      <c r="LLC25" s="197"/>
      <c r="LLD25" s="197"/>
      <c r="LLE25" s="197"/>
      <c r="LLF25" s="197"/>
      <c r="LLG25" s="197"/>
      <c r="LLH25" s="197"/>
      <c r="LLI25" s="197"/>
      <c r="LLJ25" s="197"/>
      <c r="LLK25" s="197"/>
      <c r="LLL25" s="197"/>
      <c r="LLM25" s="197"/>
      <c r="LLN25" s="197"/>
      <c r="LLO25" s="197"/>
      <c r="LLP25" s="197"/>
      <c r="LLQ25" s="197"/>
      <c r="LLR25" s="197"/>
      <c r="LLS25" s="197"/>
      <c r="LLT25" s="197"/>
      <c r="LLU25" s="197"/>
      <c r="LLV25" s="197"/>
      <c r="LLW25" s="197"/>
      <c r="LLX25" s="197"/>
      <c r="LLY25" s="197"/>
      <c r="LLZ25" s="197"/>
      <c r="LMA25" s="197"/>
      <c r="LMB25" s="197"/>
      <c r="LMC25" s="197"/>
      <c r="LMD25" s="197"/>
      <c r="LME25" s="197"/>
      <c r="LMF25" s="197"/>
      <c r="LMG25" s="197"/>
      <c r="LMH25" s="197"/>
      <c r="LMI25" s="197"/>
      <c r="LMJ25" s="197"/>
      <c r="LMK25" s="197"/>
      <c r="LML25" s="197"/>
      <c r="LMM25" s="197"/>
      <c r="LMN25" s="197"/>
      <c r="LMO25" s="197"/>
      <c r="LMP25" s="197"/>
      <c r="LMQ25" s="197"/>
      <c r="LMR25" s="197"/>
      <c r="LMS25" s="197"/>
      <c r="LMT25" s="197"/>
      <c r="LMU25" s="197"/>
      <c r="LMV25" s="197"/>
      <c r="LMW25" s="197"/>
      <c r="LMX25" s="197"/>
      <c r="LMY25" s="197"/>
      <c r="LMZ25" s="197"/>
      <c r="LNA25" s="197"/>
      <c r="LNB25" s="197"/>
      <c r="LNC25" s="197"/>
      <c r="LND25" s="197"/>
      <c r="LNE25" s="197"/>
      <c r="LNF25" s="197"/>
      <c r="LNG25" s="197"/>
      <c r="LNH25" s="197"/>
      <c r="LNI25" s="197"/>
      <c r="LNJ25" s="197"/>
      <c r="LNK25" s="197"/>
      <c r="LNL25" s="197"/>
      <c r="LNM25" s="197"/>
      <c r="LNN25" s="197"/>
      <c r="LNO25" s="197"/>
      <c r="LNP25" s="197"/>
      <c r="LNQ25" s="197"/>
      <c r="LNR25" s="197"/>
      <c r="LNS25" s="197"/>
      <c r="LNT25" s="197"/>
      <c r="LNU25" s="197"/>
      <c r="LNV25" s="197"/>
      <c r="LNW25" s="197"/>
      <c r="LNX25" s="197"/>
      <c r="LNY25" s="197"/>
      <c r="LNZ25" s="197"/>
      <c r="LOA25" s="197"/>
      <c r="LOB25" s="197"/>
      <c r="LOC25" s="197"/>
      <c r="LOD25" s="197"/>
      <c r="LOE25" s="197"/>
      <c r="LOF25" s="197"/>
      <c r="LOG25" s="197"/>
      <c r="LOH25" s="197"/>
      <c r="LOI25" s="197"/>
      <c r="LOJ25" s="197"/>
      <c r="LOK25" s="197"/>
      <c r="LOL25" s="197"/>
      <c r="LOM25" s="197"/>
      <c r="LON25" s="197"/>
      <c r="LOO25" s="197"/>
      <c r="LOP25" s="197"/>
      <c r="LOQ25" s="197"/>
      <c r="LOR25" s="197"/>
      <c r="LOS25" s="197"/>
      <c r="LOT25" s="197"/>
      <c r="LOU25" s="197"/>
      <c r="LOV25" s="197"/>
      <c r="LOW25" s="197"/>
      <c r="LOX25" s="197"/>
      <c r="LOY25" s="197"/>
      <c r="LOZ25" s="197"/>
      <c r="LPA25" s="197"/>
      <c r="LPB25" s="197"/>
      <c r="LPC25" s="197"/>
      <c r="LPD25" s="197"/>
      <c r="LPE25" s="197"/>
      <c r="LPF25" s="197"/>
      <c r="LPG25" s="197"/>
      <c r="LPH25" s="197"/>
      <c r="LPI25" s="197"/>
      <c r="LPJ25" s="197"/>
      <c r="LPK25" s="197"/>
      <c r="LPL25" s="197"/>
      <c r="LPM25" s="197"/>
      <c r="LPN25" s="197"/>
      <c r="LPO25" s="197"/>
      <c r="LPP25" s="197"/>
      <c r="LPQ25" s="197"/>
      <c r="LPR25" s="197"/>
      <c r="LPS25" s="197"/>
      <c r="LPT25" s="197"/>
      <c r="LPU25" s="197"/>
      <c r="LPV25" s="197"/>
      <c r="LPW25" s="197"/>
      <c r="LPX25" s="197"/>
      <c r="LPY25" s="197"/>
      <c r="LPZ25" s="197"/>
      <c r="LQA25" s="197"/>
      <c r="LQB25" s="197"/>
      <c r="LQC25" s="197"/>
      <c r="LQD25" s="197"/>
      <c r="LQE25" s="197"/>
      <c r="LQF25" s="197"/>
      <c r="LQG25" s="197"/>
      <c r="LQH25" s="197"/>
      <c r="LQI25" s="197"/>
      <c r="LQJ25" s="197"/>
      <c r="LQK25" s="197"/>
      <c r="LQL25" s="197"/>
      <c r="LQM25" s="197"/>
      <c r="LQN25" s="197"/>
      <c r="LQO25" s="197"/>
      <c r="LQP25" s="197"/>
      <c r="LQQ25" s="197"/>
      <c r="LQR25" s="197"/>
      <c r="LQS25" s="197"/>
      <c r="LQT25" s="197"/>
      <c r="LQU25" s="197"/>
      <c r="LQV25" s="197"/>
      <c r="LQW25" s="197"/>
      <c r="LQX25" s="197"/>
      <c r="LQY25" s="197"/>
      <c r="LQZ25" s="197"/>
      <c r="LRA25" s="197"/>
      <c r="LRB25" s="197"/>
      <c r="LRC25" s="197"/>
      <c r="LRD25" s="197"/>
      <c r="LRE25" s="197"/>
      <c r="LRF25" s="197"/>
      <c r="LRG25" s="197"/>
      <c r="LRH25" s="197"/>
      <c r="LRI25" s="197"/>
      <c r="LRJ25" s="197"/>
      <c r="LRK25" s="197"/>
      <c r="LRL25" s="197"/>
      <c r="LRM25" s="197"/>
      <c r="LRN25" s="197"/>
      <c r="LRO25" s="197"/>
      <c r="LRP25" s="197"/>
      <c r="LRQ25" s="197"/>
      <c r="LRR25" s="197"/>
      <c r="LRS25" s="197"/>
      <c r="LRT25" s="197"/>
      <c r="LRU25" s="197"/>
      <c r="LRV25" s="197"/>
      <c r="LRW25" s="197"/>
      <c r="LRX25" s="197"/>
      <c r="LRY25" s="197"/>
      <c r="LRZ25" s="197"/>
      <c r="LSA25" s="197"/>
      <c r="LSB25" s="197"/>
      <c r="LSC25" s="197"/>
      <c r="LSD25" s="197"/>
      <c r="LSE25" s="197"/>
      <c r="LSF25" s="197"/>
      <c r="LSG25" s="197"/>
      <c r="LSH25" s="197"/>
      <c r="LSI25" s="197"/>
      <c r="LSJ25" s="197"/>
      <c r="LSK25" s="197"/>
      <c r="LSL25" s="197"/>
      <c r="LSM25" s="197"/>
      <c r="LSN25" s="197"/>
      <c r="LSO25" s="197"/>
      <c r="LSP25" s="197"/>
      <c r="LSQ25" s="197"/>
      <c r="LSR25" s="197"/>
      <c r="LSS25" s="197"/>
      <c r="LST25" s="197"/>
      <c r="LSU25" s="197"/>
      <c r="LSV25" s="197"/>
      <c r="LSW25" s="197"/>
      <c r="LSX25" s="197"/>
      <c r="LSY25" s="197"/>
      <c r="LSZ25" s="197"/>
      <c r="LTA25" s="197"/>
      <c r="LTB25" s="197"/>
      <c r="LTC25" s="197"/>
      <c r="LTD25" s="197"/>
      <c r="LTE25" s="197"/>
      <c r="LTF25" s="197"/>
      <c r="LTG25" s="197"/>
      <c r="LTH25" s="197"/>
      <c r="LTI25" s="197"/>
      <c r="LTJ25" s="197"/>
      <c r="LTK25" s="197"/>
      <c r="LTL25" s="197"/>
      <c r="LTM25" s="197"/>
      <c r="LTN25" s="197"/>
      <c r="LTO25" s="197"/>
      <c r="LTP25" s="197"/>
      <c r="LTQ25" s="197"/>
      <c r="LTR25" s="197"/>
      <c r="LTS25" s="197"/>
      <c r="LTT25" s="197"/>
      <c r="LTU25" s="197"/>
      <c r="LTV25" s="197"/>
      <c r="LTW25" s="197"/>
      <c r="LTX25" s="197"/>
      <c r="LTY25" s="197"/>
      <c r="LTZ25" s="197"/>
      <c r="LUA25" s="197"/>
      <c r="LUB25" s="197"/>
      <c r="LUC25" s="197"/>
      <c r="LUD25" s="197"/>
      <c r="LUE25" s="197"/>
      <c r="LUF25" s="197"/>
      <c r="LUG25" s="197"/>
      <c r="LUH25" s="197"/>
      <c r="LUI25" s="197"/>
      <c r="LUJ25" s="197"/>
      <c r="LUK25" s="197"/>
      <c r="LUL25" s="197"/>
      <c r="LUM25" s="197"/>
      <c r="LUN25" s="197"/>
      <c r="LUO25" s="197"/>
      <c r="LUP25" s="197"/>
      <c r="LUQ25" s="197"/>
      <c r="LUR25" s="197"/>
      <c r="LUS25" s="197"/>
      <c r="LUT25" s="197"/>
      <c r="LUU25" s="197"/>
      <c r="LUV25" s="197"/>
      <c r="LUW25" s="197"/>
      <c r="LUX25" s="197"/>
      <c r="LUY25" s="197"/>
      <c r="LUZ25" s="197"/>
      <c r="LVA25" s="197"/>
      <c r="LVB25" s="197"/>
      <c r="LVC25" s="197"/>
      <c r="LVD25" s="197"/>
      <c r="LVE25" s="197"/>
      <c r="LVF25" s="197"/>
      <c r="LVG25" s="197"/>
      <c r="LVH25" s="197"/>
      <c r="LVI25" s="197"/>
      <c r="LVJ25" s="197"/>
      <c r="LVK25" s="197"/>
      <c r="LVL25" s="197"/>
      <c r="LVM25" s="197"/>
      <c r="LVN25" s="197"/>
      <c r="LVO25" s="197"/>
      <c r="LVP25" s="197"/>
      <c r="LVQ25" s="197"/>
      <c r="LVR25" s="197"/>
      <c r="LVS25" s="197"/>
      <c r="LVT25" s="197"/>
      <c r="LVU25" s="197"/>
      <c r="LVV25" s="197"/>
      <c r="LVW25" s="197"/>
      <c r="LVX25" s="197"/>
      <c r="LVY25" s="197"/>
      <c r="LVZ25" s="197"/>
      <c r="LWA25" s="197"/>
      <c r="LWB25" s="197"/>
      <c r="LWC25" s="197"/>
      <c r="LWD25" s="197"/>
      <c r="LWE25" s="197"/>
      <c r="LWF25" s="197"/>
      <c r="LWG25" s="197"/>
      <c r="LWH25" s="197"/>
      <c r="LWI25" s="197"/>
      <c r="LWJ25" s="197"/>
      <c r="LWK25" s="197"/>
      <c r="LWL25" s="197"/>
      <c r="LWM25" s="197"/>
      <c r="LWN25" s="197"/>
      <c r="LWO25" s="197"/>
      <c r="LWP25" s="197"/>
      <c r="LWQ25" s="197"/>
      <c r="LWR25" s="197"/>
      <c r="LWS25" s="197"/>
      <c r="LWT25" s="197"/>
      <c r="LWU25" s="197"/>
      <c r="LWV25" s="197"/>
      <c r="LWW25" s="197"/>
      <c r="LWX25" s="197"/>
      <c r="LWY25" s="197"/>
      <c r="LWZ25" s="197"/>
      <c r="LXA25" s="197"/>
      <c r="LXB25" s="197"/>
      <c r="LXC25" s="197"/>
      <c r="LXD25" s="197"/>
      <c r="LXE25" s="197"/>
      <c r="LXF25" s="197"/>
      <c r="LXG25" s="197"/>
      <c r="LXH25" s="197"/>
      <c r="LXI25" s="197"/>
      <c r="LXJ25" s="197"/>
      <c r="LXK25" s="197"/>
      <c r="LXL25" s="197"/>
      <c r="LXM25" s="197"/>
      <c r="LXN25" s="197"/>
      <c r="LXO25" s="197"/>
      <c r="LXP25" s="197"/>
      <c r="LXQ25" s="197"/>
      <c r="LXR25" s="197"/>
      <c r="LXS25" s="197"/>
      <c r="LXT25" s="197"/>
      <c r="LXU25" s="197"/>
      <c r="LXV25" s="197"/>
      <c r="LXW25" s="197"/>
      <c r="LXX25" s="197"/>
      <c r="LXY25" s="197"/>
      <c r="LXZ25" s="197"/>
      <c r="LYA25" s="197"/>
      <c r="LYB25" s="197"/>
      <c r="LYC25" s="197"/>
      <c r="LYD25" s="197"/>
      <c r="LYE25" s="197"/>
      <c r="LYF25" s="197"/>
      <c r="LYG25" s="197"/>
      <c r="LYH25" s="197"/>
      <c r="LYI25" s="197"/>
      <c r="LYJ25" s="197"/>
      <c r="LYK25" s="197"/>
      <c r="LYL25" s="197"/>
      <c r="LYM25" s="197"/>
      <c r="LYN25" s="197"/>
      <c r="LYO25" s="197"/>
      <c r="LYP25" s="197"/>
      <c r="LYQ25" s="197"/>
      <c r="LYR25" s="197"/>
      <c r="LYS25" s="197"/>
      <c r="LYT25" s="197"/>
      <c r="LYU25" s="197"/>
      <c r="LYV25" s="197"/>
      <c r="LYW25" s="197"/>
      <c r="LYX25" s="197"/>
      <c r="LYY25" s="197"/>
      <c r="LYZ25" s="197"/>
      <c r="LZA25" s="197"/>
      <c r="LZB25" s="197"/>
      <c r="LZC25" s="197"/>
      <c r="LZD25" s="197"/>
      <c r="LZE25" s="197"/>
      <c r="LZF25" s="197"/>
      <c r="LZG25" s="197"/>
      <c r="LZH25" s="197"/>
      <c r="LZI25" s="197"/>
      <c r="LZJ25" s="197"/>
      <c r="LZK25" s="197"/>
      <c r="LZL25" s="197"/>
      <c r="LZM25" s="197"/>
      <c r="LZN25" s="197"/>
      <c r="LZO25" s="197"/>
      <c r="LZP25" s="197"/>
      <c r="LZQ25" s="197"/>
      <c r="LZR25" s="197"/>
      <c r="LZS25" s="197"/>
      <c r="LZT25" s="197"/>
      <c r="LZU25" s="197"/>
      <c r="LZV25" s="197"/>
      <c r="LZW25" s="197"/>
      <c r="LZX25" s="197"/>
      <c r="LZY25" s="197"/>
      <c r="LZZ25" s="197"/>
      <c r="MAA25" s="197"/>
      <c r="MAB25" s="197"/>
      <c r="MAC25" s="197"/>
      <c r="MAD25" s="197"/>
      <c r="MAE25" s="197"/>
      <c r="MAF25" s="197"/>
      <c r="MAG25" s="197"/>
      <c r="MAH25" s="197"/>
      <c r="MAI25" s="197"/>
      <c r="MAJ25" s="197"/>
      <c r="MAK25" s="197"/>
      <c r="MAL25" s="197"/>
      <c r="MAM25" s="197"/>
      <c r="MAN25" s="197"/>
      <c r="MAO25" s="197"/>
      <c r="MAP25" s="197"/>
      <c r="MAQ25" s="197"/>
      <c r="MAR25" s="197"/>
      <c r="MAS25" s="197"/>
      <c r="MAT25" s="197"/>
      <c r="MAU25" s="197"/>
      <c r="MAV25" s="197"/>
      <c r="MAW25" s="197"/>
      <c r="MAX25" s="197"/>
      <c r="MAY25" s="197"/>
      <c r="MAZ25" s="197"/>
      <c r="MBA25" s="197"/>
      <c r="MBB25" s="197"/>
      <c r="MBC25" s="197"/>
      <c r="MBD25" s="197"/>
      <c r="MBE25" s="197"/>
      <c r="MBF25" s="197"/>
      <c r="MBG25" s="197"/>
      <c r="MBH25" s="197"/>
      <c r="MBI25" s="197"/>
      <c r="MBJ25" s="197"/>
      <c r="MBK25" s="197"/>
      <c r="MBL25" s="197"/>
      <c r="MBM25" s="197"/>
      <c r="MBN25" s="197"/>
      <c r="MBO25" s="197"/>
      <c r="MBP25" s="197"/>
      <c r="MBQ25" s="197"/>
      <c r="MBR25" s="197"/>
      <c r="MBS25" s="197"/>
      <c r="MBT25" s="197"/>
      <c r="MBU25" s="197"/>
      <c r="MBV25" s="197"/>
      <c r="MBW25" s="197"/>
      <c r="MBX25" s="197"/>
      <c r="MBY25" s="197"/>
      <c r="MBZ25" s="197"/>
      <c r="MCA25" s="197"/>
      <c r="MCB25" s="197"/>
      <c r="MCC25" s="197"/>
      <c r="MCD25" s="197"/>
      <c r="MCE25" s="197"/>
      <c r="MCF25" s="197"/>
      <c r="MCG25" s="197"/>
      <c r="MCH25" s="197"/>
      <c r="MCI25" s="197"/>
      <c r="MCJ25" s="197"/>
      <c r="MCK25" s="197"/>
      <c r="MCL25" s="197"/>
      <c r="MCM25" s="197"/>
      <c r="MCN25" s="197"/>
      <c r="MCO25" s="197"/>
      <c r="MCP25" s="197"/>
      <c r="MCQ25" s="197"/>
      <c r="MCR25" s="197"/>
      <c r="MCS25" s="197"/>
      <c r="MCT25" s="197"/>
      <c r="MCU25" s="197"/>
      <c r="MCV25" s="197"/>
      <c r="MCW25" s="197"/>
      <c r="MCX25" s="197"/>
      <c r="MCY25" s="197"/>
      <c r="MCZ25" s="197"/>
      <c r="MDA25" s="197"/>
      <c r="MDB25" s="197"/>
      <c r="MDC25" s="197"/>
      <c r="MDD25" s="197"/>
      <c r="MDE25" s="197"/>
      <c r="MDF25" s="197"/>
      <c r="MDG25" s="197"/>
      <c r="MDH25" s="197"/>
      <c r="MDI25" s="197"/>
      <c r="MDJ25" s="197"/>
      <c r="MDK25" s="197"/>
      <c r="MDL25" s="197"/>
      <c r="MDM25" s="197"/>
      <c r="MDN25" s="197"/>
      <c r="MDO25" s="197"/>
      <c r="MDP25" s="197"/>
      <c r="MDQ25" s="197"/>
      <c r="MDR25" s="197"/>
      <c r="MDS25" s="197"/>
      <c r="MDT25" s="197"/>
      <c r="MDU25" s="197"/>
      <c r="MDV25" s="197"/>
      <c r="MDW25" s="197"/>
      <c r="MDX25" s="197"/>
      <c r="MDY25" s="197"/>
      <c r="MDZ25" s="197"/>
      <c r="MEA25" s="197"/>
      <c r="MEB25" s="197"/>
      <c r="MEC25" s="197"/>
      <c r="MED25" s="197"/>
      <c r="MEE25" s="197"/>
      <c r="MEF25" s="197"/>
      <c r="MEG25" s="197"/>
      <c r="MEH25" s="197"/>
      <c r="MEI25" s="197"/>
      <c r="MEJ25" s="197"/>
      <c r="MEK25" s="197"/>
      <c r="MEL25" s="197"/>
      <c r="MEM25" s="197"/>
      <c r="MEN25" s="197"/>
      <c r="MEO25" s="197"/>
      <c r="MEP25" s="197"/>
      <c r="MEQ25" s="197"/>
      <c r="MER25" s="197"/>
      <c r="MES25" s="197"/>
      <c r="MET25" s="197"/>
      <c r="MEU25" s="197"/>
      <c r="MEV25" s="197"/>
      <c r="MEW25" s="197"/>
      <c r="MEX25" s="197"/>
      <c r="MEY25" s="197"/>
      <c r="MEZ25" s="197"/>
      <c r="MFA25" s="197"/>
      <c r="MFB25" s="197"/>
      <c r="MFC25" s="197"/>
      <c r="MFD25" s="197"/>
      <c r="MFE25" s="197"/>
      <c r="MFF25" s="197"/>
      <c r="MFG25" s="197"/>
      <c r="MFH25" s="197"/>
      <c r="MFI25" s="197"/>
      <c r="MFJ25" s="197"/>
      <c r="MFK25" s="197"/>
      <c r="MFL25" s="197"/>
      <c r="MFM25" s="197"/>
      <c r="MFN25" s="197"/>
      <c r="MFO25" s="197"/>
      <c r="MFP25" s="197"/>
      <c r="MFQ25" s="197"/>
      <c r="MFR25" s="197"/>
      <c r="MFS25" s="197"/>
      <c r="MFT25" s="197"/>
      <c r="MFU25" s="197"/>
      <c r="MFV25" s="197"/>
      <c r="MFW25" s="197"/>
      <c r="MFX25" s="197"/>
      <c r="MFY25" s="197"/>
      <c r="MFZ25" s="197"/>
      <c r="MGA25" s="197"/>
      <c r="MGB25" s="197"/>
      <c r="MGC25" s="197"/>
      <c r="MGD25" s="197"/>
      <c r="MGE25" s="197"/>
      <c r="MGF25" s="197"/>
      <c r="MGG25" s="197"/>
      <c r="MGH25" s="197"/>
      <c r="MGI25" s="197"/>
      <c r="MGJ25" s="197"/>
      <c r="MGK25" s="197"/>
      <c r="MGL25" s="197"/>
      <c r="MGM25" s="197"/>
      <c r="MGN25" s="197"/>
      <c r="MGO25" s="197"/>
      <c r="MGP25" s="197"/>
      <c r="MGQ25" s="197"/>
      <c r="MGR25" s="197"/>
      <c r="MGS25" s="197"/>
      <c r="MGT25" s="197"/>
      <c r="MGU25" s="197"/>
      <c r="MGV25" s="197"/>
      <c r="MGW25" s="197"/>
      <c r="MGX25" s="197"/>
      <c r="MGY25" s="197"/>
      <c r="MGZ25" s="197"/>
      <c r="MHA25" s="197"/>
      <c r="MHB25" s="197"/>
      <c r="MHC25" s="197"/>
      <c r="MHD25" s="197"/>
      <c r="MHE25" s="197"/>
      <c r="MHF25" s="197"/>
      <c r="MHG25" s="197"/>
      <c r="MHH25" s="197"/>
      <c r="MHI25" s="197"/>
      <c r="MHJ25" s="197"/>
      <c r="MHK25" s="197"/>
      <c r="MHL25" s="197"/>
      <c r="MHM25" s="197"/>
      <c r="MHN25" s="197"/>
      <c r="MHO25" s="197"/>
      <c r="MHP25" s="197"/>
      <c r="MHQ25" s="197"/>
      <c r="MHR25" s="197"/>
      <c r="MHS25" s="197"/>
      <c r="MHT25" s="197"/>
      <c r="MHU25" s="197"/>
      <c r="MHV25" s="197"/>
      <c r="MHW25" s="197"/>
      <c r="MHX25" s="197"/>
      <c r="MHY25" s="197"/>
      <c r="MHZ25" s="197"/>
      <c r="MIA25" s="197"/>
      <c r="MIB25" s="197"/>
      <c r="MIC25" s="197"/>
      <c r="MID25" s="197"/>
      <c r="MIE25" s="197"/>
      <c r="MIF25" s="197"/>
      <c r="MIG25" s="197"/>
      <c r="MIH25" s="197"/>
      <c r="MII25" s="197"/>
      <c r="MIJ25" s="197"/>
      <c r="MIK25" s="197"/>
      <c r="MIL25" s="197"/>
      <c r="MIM25" s="197"/>
      <c r="MIN25" s="197"/>
      <c r="MIO25" s="197"/>
      <c r="MIP25" s="197"/>
      <c r="MIQ25" s="197"/>
      <c r="MIR25" s="197"/>
      <c r="MIS25" s="197"/>
      <c r="MIT25" s="197"/>
      <c r="MIU25" s="197"/>
      <c r="MIV25" s="197"/>
      <c r="MIW25" s="197"/>
      <c r="MIX25" s="197"/>
      <c r="MIY25" s="197"/>
      <c r="MIZ25" s="197"/>
      <c r="MJA25" s="197"/>
      <c r="MJB25" s="197"/>
      <c r="MJC25" s="197"/>
      <c r="MJD25" s="197"/>
      <c r="MJE25" s="197"/>
      <c r="MJF25" s="197"/>
      <c r="MJG25" s="197"/>
      <c r="MJH25" s="197"/>
      <c r="MJI25" s="197"/>
      <c r="MJJ25" s="197"/>
      <c r="MJK25" s="197"/>
      <c r="MJL25" s="197"/>
      <c r="MJM25" s="197"/>
      <c r="MJN25" s="197"/>
      <c r="MJO25" s="197"/>
      <c r="MJP25" s="197"/>
      <c r="MJQ25" s="197"/>
      <c r="MJR25" s="197"/>
      <c r="MJS25" s="197"/>
      <c r="MJT25" s="197"/>
      <c r="MJU25" s="197"/>
      <c r="MJV25" s="197"/>
      <c r="MJW25" s="197"/>
      <c r="MJX25" s="197"/>
      <c r="MJY25" s="197"/>
      <c r="MJZ25" s="197"/>
      <c r="MKA25" s="197"/>
      <c r="MKB25" s="197"/>
      <c r="MKC25" s="197"/>
      <c r="MKD25" s="197"/>
      <c r="MKE25" s="197"/>
      <c r="MKF25" s="197"/>
      <c r="MKG25" s="197"/>
      <c r="MKH25" s="197"/>
      <c r="MKI25" s="197"/>
      <c r="MKJ25" s="197"/>
      <c r="MKK25" s="197"/>
      <c r="MKL25" s="197"/>
      <c r="MKM25" s="197"/>
      <c r="MKN25" s="197"/>
      <c r="MKO25" s="197"/>
      <c r="MKP25" s="197"/>
      <c r="MKQ25" s="197"/>
      <c r="MKR25" s="197"/>
      <c r="MKS25" s="197"/>
      <c r="MKT25" s="197"/>
      <c r="MKU25" s="197"/>
      <c r="MKV25" s="197"/>
      <c r="MKW25" s="197"/>
      <c r="MKX25" s="197"/>
      <c r="MKY25" s="197"/>
      <c r="MKZ25" s="197"/>
      <c r="MLA25" s="197"/>
      <c r="MLB25" s="197"/>
      <c r="MLC25" s="197"/>
      <c r="MLD25" s="197"/>
      <c r="MLE25" s="197"/>
      <c r="MLF25" s="197"/>
      <c r="MLG25" s="197"/>
      <c r="MLH25" s="197"/>
      <c r="MLI25" s="197"/>
      <c r="MLJ25" s="197"/>
      <c r="MLK25" s="197"/>
      <c r="MLL25" s="197"/>
      <c r="MLM25" s="197"/>
      <c r="MLN25" s="197"/>
      <c r="MLO25" s="197"/>
      <c r="MLP25" s="197"/>
      <c r="MLQ25" s="197"/>
      <c r="MLR25" s="197"/>
      <c r="MLS25" s="197"/>
      <c r="MLT25" s="197"/>
      <c r="MLU25" s="197"/>
      <c r="MLV25" s="197"/>
      <c r="MLW25" s="197"/>
      <c r="MLX25" s="197"/>
      <c r="MLY25" s="197"/>
      <c r="MLZ25" s="197"/>
      <c r="MMA25" s="197"/>
      <c r="MMB25" s="197"/>
      <c r="MMC25" s="197"/>
      <c r="MMD25" s="197"/>
      <c r="MME25" s="197"/>
      <c r="MMF25" s="197"/>
      <c r="MMG25" s="197"/>
      <c r="MMH25" s="197"/>
      <c r="MMI25" s="197"/>
      <c r="MMJ25" s="197"/>
      <c r="MMK25" s="197"/>
      <c r="MML25" s="197"/>
      <c r="MMM25" s="197"/>
      <c r="MMN25" s="197"/>
      <c r="MMO25" s="197"/>
      <c r="MMP25" s="197"/>
      <c r="MMQ25" s="197"/>
      <c r="MMR25" s="197"/>
      <c r="MMS25" s="197"/>
      <c r="MMT25" s="197"/>
      <c r="MMU25" s="197"/>
      <c r="MMV25" s="197"/>
      <c r="MMW25" s="197"/>
      <c r="MMX25" s="197"/>
      <c r="MMY25" s="197"/>
      <c r="MMZ25" s="197"/>
      <c r="MNA25" s="197"/>
      <c r="MNB25" s="197"/>
      <c r="MNC25" s="197"/>
      <c r="MND25" s="197"/>
      <c r="MNE25" s="197"/>
      <c r="MNF25" s="197"/>
      <c r="MNG25" s="197"/>
      <c r="MNH25" s="197"/>
      <c r="MNI25" s="197"/>
      <c r="MNJ25" s="197"/>
      <c r="MNK25" s="197"/>
      <c r="MNL25" s="197"/>
      <c r="MNM25" s="197"/>
      <c r="MNN25" s="197"/>
      <c r="MNO25" s="197"/>
      <c r="MNP25" s="197"/>
      <c r="MNQ25" s="197"/>
      <c r="MNR25" s="197"/>
      <c r="MNS25" s="197"/>
      <c r="MNT25" s="197"/>
      <c r="MNU25" s="197"/>
      <c r="MNV25" s="197"/>
      <c r="MNW25" s="197"/>
      <c r="MNX25" s="197"/>
      <c r="MNY25" s="197"/>
      <c r="MNZ25" s="197"/>
      <c r="MOA25" s="197"/>
      <c r="MOB25" s="197"/>
      <c r="MOC25" s="197"/>
      <c r="MOD25" s="197"/>
      <c r="MOE25" s="197"/>
      <c r="MOF25" s="197"/>
      <c r="MOG25" s="197"/>
      <c r="MOH25" s="197"/>
      <c r="MOI25" s="197"/>
      <c r="MOJ25" s="197"/>
      <c r="MOK25" s="197"/>
      <c r="MOL25" s="197"/>
      <c r="MOM25" s="197"/>
      <c r="MON25" s="197"/>
      <c r="MOO25" s="197"/>
      <c r="MOP25" s="197"/>
      <c r="MOQ25" s="197"/>
      <c r="MOR25" s="197"/>
      <c r="MOS25" s="197"/>
      <c r="MOT25" s="197"/>
      <c r="MOU25" s="197"/>
      <c r="MOV25" s="197"/>
      <c r="MOW25" s="197"/>
      <c r="MOX25" s="197"/>
      <c r="MOY25" s="197"/>
      <c r="MOZ25" s="197"/>
      <c r="MPA25" s="197"/>
      <c r="MPB25" s="197"/>
      <c r="MPC25" s="197"/>
      <c r="MPD25" s="197"/>
      <c r="MPE25" s="197"/>
      <c r="MPF25" s="197"/>
      <c r="MPG25" s="197"/>
      <c r="MPH25" s="197"/>
      <c r="MPI25" s="197"/>
      <c r="MPJ25" s="197"/>
      <c r="MPK25" s="197"/>
      <c r="MPL25" s="197"/>
      <c r="MPM25" s="197"/>
      <c r="MPN25" s="197"/>
      <c r="MPO25" s="197"/>
      <c r="MPP25" s="197"/>
      <c r="MPQ25" s="197"/>
      <c r="MPR25" s="197"/>
      <c r="MPS25" s="197"/>
      <c r="MPT25" s="197"/>
      <c r="MPU25" s="197"/>
      <c r="MPV25" s="197"/>
      <c r="MPW25" s="197"/>
      <c r="MPX25" s="197"/>
      <c r="MPY25" s="197"/>
      <c r="MPZ25" s="197"/>
      <c r="MQA25" s="197"/>
      <c r="MQB25" s="197"/>
      <c r="MQC25" s="197"/>
      <c r="MQD25" s="197"/>
      <c r="MQE25" s="197"/>
      <c r="MQF25" s="197"/>
      <c r="MQG25" s="197"/>
      <c r="MQH25" s="197"/>
      <c r="MQI25" s="197"/>
      <c r="MQJ25" s="197"/>
      <c r="MQK25" s="197"/>
      <c r="MQL25" s="197"/>
      <c r="MQM25" s="197"/>
      <c r="MQN25" s="197"/>
      <c r="MQO25" s="197"/>
      <c r="MQP25" s="197"/>
      <c r="MQQ25" s="197"/>
      <c r="MQR25" s="197"/>
      <c r="MQS25" s="197"/>
      <c r="MQT25" s="197"/>
      <c r="MQU25" s="197"/>
      <c r="MQV25" s="197"/>
      <c r="MQW25" s="197"/>
      <c r="MQX25" s="197"/>
      <c r="MQY25" s="197"/>
      <c r="MQZ25" s="197"/>
      <c r="MRA25" s="197"/>
      <c r="MRB25" s="197"/>
      <c r="MRC25" s="197"/>
      <c r="MRD25" s="197"/>
      <c r="MRE25" s="197"/>
      <c r="MRF25" s="197"/>
      <c r="MRG25" s="197"/>
      <c r="MRH25" s="197"/>
      <c r="MRI25" s="197"/>
      <c r="MRJ25" s="197"/>
      <c r="MRK25" s="197"/>
      <c r="MRL25" s="197"/>
      <c r="MRM25" s="197"/>
      <c r="MRN25" s="197"/>
      <c r="MRO25" s="197"/>
      <c r="MRP25" s="197"/>
      <c r="MRQ25" s="197"/>
      <c r="MRR25" s="197"/>
      <c r="MRS25" s="197"/>
      <c r="MRT25" s="197"/>
      <c r="MRU25" s="197"/>
      <c r="MRV25" s="197"/>
      <c r="MRW25" s="197"/>
      <c r="MRX25" s="197"/>
      <c r="MRY25" s="197"/>
      <c r="MRZ25" s="197"/>
      <c r="MSA25" s="197"/>
      <c r="MSB25" s="197"/>
      <c r="MSC25" s="197"/>
      <c r="MSD25" s="197"/>
      <c r="MSE25" s="197"/>
      <c r="MSF25" s="197"/>
      <c r="MSG25" s="197"/>
      <c r="MSH25" s="197"/>
      <c r="MSI25" s="197"/>
      <c r="MSJ25" s="197"/>
      <c r="MSK25" s="197"/>
      <c r="MSL25" s="197"/>
      <c r="MSM25" s="197"/>
      <c r="MSN25" s="197"/>
      <c r="MSO25" s="197"/>
      <c r="MSP25" s="197"/>
      <c r="MSQ25" s="197"/>
      <c r="MSR25" s="197"/>
      <c r="MSS25" s="197"/>
      <c r="MST25" s="197"/>
      <c r="MSU25" s="197"/>
      <c r="MSV25" s="197"/>
      <c r="MSW25" s="197"/>
      <c r="MSX25" s="197"/>
      <c r="MSY25" s="197"/>
      <c r="MSZ25" s="197"/>
      <c r="MTA25" s="197"/>
      <c r="MTB25" s="197"/>
      <c r="MTC25" s="197"/>
      <c r="MTD25" s="197"/>
      <c r="MTE25" s="197"/>
      <c r="MTF25" s="197"/>
      <c r="MTG25" s="197"/>
      <c r="MTH25" s="197"/>
      <c r="MTI25" s="197"/>
      <c r="MTJ25" s="197"/>
      <c r="MTK25" s="197"/>
      <c r="MTL25" s="197"/>
      <c r="MTM25" s="197"/>
      <c r="MTN25" s="197"/>
      <c r="MTO25" s="197"/>
      <c r="MTP25" s="197"/>
      <c r="MTQ25" s="197"/>
      <c r="MTR25" s="197"/>
      <c r="MTS25" s="197"/>
      <c r="MTT25" s="197"/>
      <c r="MTU25" s="197"/>
      <c r="MTV25" s="197"/>
      <c r="MTW25" s="197"/>
      <c r="MTX25" s="197"/>
      <c r="MTY25" s="197"/>
      <c r="MTZ25" s="197"/>
      <c r="MUA25" s="197"/>
      <c r="MUB25" s="197"/>
      <c r="MUC25" s="197"/>
      <c r="MUD25" s="197"/>
      <c r="MUE25" s="197"/>
      <c r="MUF25" s="197"/>
      <c r="MUG25" s="197"/>
      <c r="MUH25" s="197"/>
      <c r="MUI25" s="197"/>
      <c r="MUJ25" s="197"/>
      <c r="MUK25" s="197"/>
      <c r="MUL25" s="197"/>
      <c r="MUM25" s="197"/>
      <c r="MUN25" s="197"/>
      <c r="MUO25" s="197"/>
      <c r="MUP25" s="197"/>
      <c r="MUQ25" s="197"/>
      <c r="MUR25" s="197"/>
      <c r="MUS25" s="197"/>
      <c r="MUT25" s="197"/>
      <c r="MUU25" s="197"/>
      <c r="MUV25" s="197"/>
      <c r="MUW25" s="197"/>
      <c r="MUX25" s="197"/>
      <c r="MUY25" s="197"/>
      <c r="MUZ25" s="197"/>
      <c r="MVA25" s="197"/>
      <c r="MVB25" s="197"/>
      <c r="MVC25" s="197"/>
      <c r="MVD25" s="197"/>
      <c r="MVE25" s="197"/>
      <c r="MVF25" s="197"/>
      <c r="MVG25" s="197"/>
      <c r="MVH25" s="197"/>
      <c r="MVI25" s="197"/>
      <c r="MVJ25" s="197"/>
      <c r="MVK25" s="197"/>
      <c r="MVL25" s="197"/>
      <c r="MVM25" s="197"/>
      <c r="MVN25" s="197"/>
      <c r="MVO25" s="197"/>
      <c r="MVP25" s="197"/>
      <c r="MVQ25" s="197"/>
      <c r="MVR25" s="197"/>
      <c r="MVS25" s="197"/>
      <c r="MVT25" s="197"/>
      <c r="MVU25" s="197"/>
      <c r="MVV25" s="197"/>
      <c r="MVW25" s="197"/>
      <c r="MVX25" s="197"/>
      <c r="MVY25" s="197"/>
      <c r="MVZ25" s="197"/>
      <c r="MWA25" s="197"/>
      <c r="MWB25" s="197"/>
      <c r="MWC25" s="197"/>
      <c r="MWD25" s="197"/>
      <c r="MWE25" s="197"/>
      <c r="MWF25" s="197"/>
      <c r="MWG25" s="197"/>
      <c r="MWH25" s="197"/>
      <c r="MWI25" s="197"/>
      <c r="MWJ25" s="197"/>
      <c r="MWK25" s="197"/>
      <c r="MWL25" s="197"/>
      <c r="MWM25" s="197"/>
      <c r="MWN25" s="197"/>
      <c r="MWO25" s="197"/>
      <c r="MWP25" s="197"/>
      <c r="MWQ25" s="197"/>
      <c r="MWR25" s="197"/>
      <c r="MWS25" s="197"/>
      <c r="MWT25" s="197"/>
      <c r="MWU25" s="197"/>
      <c r="MWV25" s="197"/>
      <c r="MWW25" s="197"/>
      <c r="MWX25" s="197"/>
      <c r="MWY25" s="197"/>
      <c r="MWZ25" s="197"/>
      <c r="MXA25" s="197"/>
      <c r="MXB25" s="197"/>
      <c r="MXC25" s="197"/>
      <c r="MXD25" s="197"/>
      <c r="MXE25" s="197"/>
      <c r="MXF25" s="197"/>
      <c r="MXG25" s="197"/>
      <c r="MXH25" s="197"/>
      <c r="MXI25" s="197"/>
      <c r="MXJ25" s="197"/>
      <c r="MXK25" s="197"/>
      <c r="MXL25" s="197"/>
      <c r="MXM25" s="197"/>
      <c r="MXN25" s="197"/>
      <c r="MXO25" s="197"/>
      <c r="MXP25" s="197"/>
      <c r="MXQ25" s="197"/>
      <c r="MXR25" s="197"/>
      <c r="MXS25" s="197"/>
      <c r="MXT25" s="197"/>
      <c r="MXU25" s="197"/>
      <c r="MXV25" s="197"/>
      <c r="MXW25" s="197"/>
      <c r="MXX25" s="197"/>
      <c r="MXY25" s="197"/>
      <c r="MXZ25" s="197"/>
      <c r="MYA25" s="197"/>
      <c r="MYB25" s="197"/>
      <c r="MYC25" s="197"/>
      <c r="MYD25" s="197"/>
      <c r="MYE25" s="197"/>
      <c r="MYF25" s="197"/>
      <c r="MYG25" s="197"/>
      <c r="MYH25" s="197"/>
      <c r="MYI25" s="197"/>
      <c r="MYJ25" s="197"/>
      <c r="MYK25" s="197"/>
      <c r="MYL25" s="197"/>
      <c r="MYM25" s="197"/>
      <c r="MYN25" s="197"/>
      <c r="MYO25" s="197"/>
      <c r="MYP25" s="197"/>
      <c r="MYQ25" s="197"/>
      <c r="MYR25" s="197"/>
      <c r="MYS25" s="197"/>
      <c r="MYT25" s="197"/>
      <c r="MYU25" s="197"/>
      <c r="MYV25" s="197"/>
      <c r="MYW25" s="197"/>
      <c r="MYX25" s="197"/>
      <c r="MYY25" s="197"/>
      <c r="MYZ25" s="197"/>
      <c r="MZA25" s="197"/>
      <c r="MZB25" s="197"/>
      <c r="MZC25" s="197"/>
      <c r="MZD25" s="197"/>
      <c r="MZE25" s="197"/>
      <c r="MZF25" s="197"/>
      <c r="MZG25" s="197"/>
      <c r="MZH25" s="197"/>
      <c r="MZI25" s="197"/>
      <c r="MZJ25" s="197"/>
      <c r="MZK25" s="197"/>
      <c r="MZL25" s="197"/>
      <c r="MZM25" s="197"/>
      <c r="MZN25" s="197"/>
      <c r="MZO25" s="197"/>
      <c r="MZP25" s="197"/>
      <c r="MZQ25" s="197"/>
      <c r="MZR25" s="197"/>
      <c r="MZS25" s="197"/>
      <c r="MZT25" s="197"/>
      <c r="MZU25" s="197"/>
      <c r="MZV25" s="197"/>
      <c r="MZW25" s="197"/>
      <c r="MZX25" s="197"/>
      <c r="MZY25" s="197"/>
      <c r="MZZ25" s="197"/>
      <c r="NAA25" s="197"/>
      <c r="NAB25" s="197"/>
      <c r="NAC25" s="197"/>
      <c r="NAD25" s="197"/>
      <c r="NAE25" s="197"/>
      <c r="NAF25" s="197"/>
      <c r="NAG25" s="197"/>
      <c r="NAH25" s="197"/>
      <c r="NAI25" s="197"/>
      <c r="NAJ25" s="197"/>
      <c r="NAK25" s="197"/>
      <c r="NAL25" s="197"/>
      <c r="NAM25" s="197"/>
      <c r="NAN25" s="197"/>
      <c r="NAO25" s="197"/>
      <c r="NAP25" s="197"/>
      <c r="NAQ25" s="197"/>
      <c r="NAR25" s="197"/>
      <c r="NAS25" s="197"/>
      <c r="NAT25" s="197"/>
      <c r="NAU25" s="197"/>
      <c r="NAV25" s="197"/>
      <c r="NAW25" s="197"/>
      <c r="NAX25" s="197"/>
      <c r="NAY25" s="197"/>
      <c r="NAZ25" s="197"/>
      <c r="NBA25" s="197"/>
      <c r="NBB25" s="197"/>
      <c r="NBC25" s="197"/>
      <c r="NBD25" s="197"/>
      <c r="NBE25" s="197"/>
      <c r="NBF25" s="197"/>
      <c r="NBG25" s="197"/>
      <c r="NBH25" s="197"/>
      <c r="NBI25" s="197"/>
      <c r="NBJ25" s="197"/>
      <c r="NBK25" s="197"/>
      <c r="NBL25" s="197"/>
      <c r="NBM25" s="197"/>
      <c r="NBN25" s="197"/>
      <c r="NBO25" s="197"/>
      <c r="NBP25" s="197"/>
      <c r="NBQ25" s="197"/>
      <c r="NBR25" s="197"/>
      <c r="NBS25" s="197"/>
      <c r="NBT25" s="197"/>
      <c r="NBU25" s="197"/>
      <c r="NBV25" s="197"/>
      <c r="NBW25" s="197"/>
      <c r="NBX25" s="197"/>
      <c r="NBY25" s="197"/>
      <c r="NBZ25" s="197"/>
      <c r="NCA25" s="197"/>
      <c r="NCB25" s="197"/>
      <c r="NCC25" s="197"/>
      <c r="NCD25" s="197"/>
      <c r="NCE25" s="197"/>
      <c r="NCF25" s="197"/>
      <c r="NCG25" s="197"/>
      <c r="NCH25" s="197"/>
      <c r="NCI25" s="197"/>
      <c r="NCJ25" s="197"/>
      <c r="NCK25" s="197"/>
      <c r="NCL25" s="197"/>
      <c r="NCM25" s="197"/>
      <c r="NCN25" s="197"/>
      <c r="NCO25" s="197"/>
      <c r="NCP25" s="197"/>
      <c r="NCQ25" s="197"/>
      <c r="NCR25" s="197"/>
      <c r="NCS25" s="197"/>
      <c r="NCT25" s="197"/>
      <c r="NCU25" s="197"/>
      <c r="NCV25" s="197"/>
      <c r="NCW25" s="197"/>
      <c r="NCX25" s="197"/>
      <c r="NCY25" s="197"/>
      <c r="NCZ25" s="197"/>
      <c r="NDA25" s="197"/>
      <c r="NDB25" s="197"/>
      <c r="NDC25" s="197"/>
      <c r="NDD25" s="197"/>
      <c r="NDE25" s="197"/>
      <c r="NDF25" s="197"/>
      <c r="NDG25" s="197"/>
      <c r="NDH25" s="197"/>
      <c r="NDI25" s="197"/>
      <c r="NDJ25" s="197"/>
      <c r="NDK25" s="197"/>
      <c r="NDL25" s="197"/>
      <c r="NDM25" s="197"/>
      <c r="NDN25" s="197"/>
      <c r="NDO25" s="197"/>
      <c r="NDP25" s="197"/>
      <c r="NDQ25" s="197"/>
      <c r="NDR25" s="197"/>
      <c r="NDS25" s="197"/>
      <c r="NDT25" s="197"/>
      <c r="NDU25" s="197"/>
      <c r="NDV25" s="197"/>
      <c r="NDW25" s="197"/>
      <c r="NDX25" s="197"/>
      <c r="NDY25" s="197"/>
      <c r="NDZ25" s="197"/>
      <c r="NEA25" s="197"/>
      <c r="NEB25" s="197"/>
      <c r="NEC25" s="197"/>
      <c r="NED25" s="197"/>
      <c r="NEE25" s="197"/>
      <c r="NEF25" s="197"/>
      <c r="NEG25" s="197"/>
      <c r="NEH25" s="197"/>
      <c r="NEI25" s="197"/>
      <c r="NEJ25" s="197"/>
      <c r="NEK25" s="197"/>
      <c r="NEL25" s="197"/>
      <c r="NEM25" s="197"/>
      <c r="NEN25" s="197"/>
      <c r="NEO25" s="197"/>
      <c r="NEP25" s="197"/>
      <c r="NEQ25" s="197"/>
      <c r="NER25" s="197"/>
      <c r="NES25" s="197"/>
      <c r="NET25" s="197"/>
      <c r="NEU25" s="197"/>
      <c r="NEV25" s="197"/>
      <c r="NEW25" s="197"/>
      <c r="NEX25" s="197"/>
      <c r="NEY25" s="197"/>
      <c r="NEZ25" s="197"/>
      <c r="NFA25" s="197"/>
      <c r="NFB25" s="197"/>
      <c r="NFC25" s="197"/>
      <c r="NFD25" s="197"/>
      <c r="NFE25" s="197"/>
      <c r="NFF25" s="197"/>
      <c r="NFG25" s="197"/>
      <c r="NFH25" s="197"/>
      <c r="NFI25" s="197"/>
      <c r="NFJ25" s="197"/>
      <c r="NFK25" s="197"/>
      <c r="NFL25" s="197"/>
      <c r="NFM25" s="197"/>
      <c r="NFN25" s="197"/>
      <c r="NFO25" s="197"/>
      <c r="NFP25" s="197"/>
      <c r="NFQ25" s="197"/>
      <c r="NFR25" s="197"/>
      <c r="NFS25" s="197"/>
      <c r="NFT25" s="197"/>
      <c r="NFU25" s="197"/>
      <c r="NFV25" s="197"/>
      <c r="NFW25" s="197"/>
      <c r="NFX25" s="197"/>
      <c r="NFY25" s="197"/>
      <c r="NFZ25" s="197"/>
      <c r="NGA25" s="197"/>
      <c r="NGB25" s="197"/>
      <c r="NGC25" s="197"/>
      <c r="NGD25" s="197"/>
      <c r="NGE25" s="197"/>
      <c r="NGF25" s="197"/>
      <c r="NGG25" s="197"/>
      <c r="NGH25" s="197"/>
      <c r="NGI25" s="197"/>
      <c r="NGJ25" s="197"/>
      <c r="NGK25" s="197"/>
      <c r="NGL25" s="197"/>
      <c r="NGM25" s="197"/>
      <c r="NGN25" s="197"/>
      <c r="NGO25" s="197"/>
      <c r="NGP25" s="197"/>
      <c r="NGQ25" s="197"/>
      <c r="NGR25" s="197"/>
      <c r="NGS25" s="197"/>
      <c r="NGT25" s="197"/>
      <c r="NGU25" s="197"/>
      <c r="NGV25" s="197"/>
      <c r="NGW25" s="197"/>
      <c r="NGX25" s="197"/>
      <c r="NGY25" s="197"/>
      <c r="NGZ25" s="197"/>
      <c r="NHA25" s="197"/>
      <c r="NHB25" s="197"/>
      <c r="NHC25" s="197"/>
      <c r="NHD25" s="197"/>
      <c r="NHE25" s="197"/>
      <c r="NHF25" s="197"/>
      <c r="NHG25" s="197"/>
      <c r="NHH25" s="197"/>
      <c r="NHI25" s="197"/>
      <c r="NHJ25" s="197"/>
      <c r="NHK25" s="197"/>
      <c r="NHL25" s="197"/>
      <c r="NHM25" s="197"/>
      <c r="NHN25" s="197"/>
      <c r="NHO25" s="197"/>
      <c r="NHP25" s="197"/>
      <c r="NHQ25" s="197"/>
      <c r="NHR25" s="197"/>
      <c r="NHS25" s="197"/>
      <c r="NHT25" s="197"/>
      <c r="NHU25" s="197"/>
      <c r="NHV25" s="197"/>
      <c r="NHW25" s="197"/>
      <c r="NHX25" s="197"/>
      <c r="NHY25" s="197"/>
      <c r="NHZ25" s="197"/>
      <c r="NIA25" s="197"/>
      <c r="NIB25" s="197"/>
      <c r="NIC25" s="197"/>
      <c r="NID25" s="197"/>
      <c r="NIE25" s="197"/>
      <c r="NIF25" s="197"/>
      <c r="NIG25" s="197"/>
      <c r="NIH25" s="197"/>
      <c r="NII25" s="197"/>
      <c r="NIJ25" s="197"/>
      <c r="NIK25" s="197"/>
      <c r="NIL25" s="197"/>
      <c r="NIM25" s="197"/>
      <c r="NIN25" s="197"/>
      <c r="NIO25" s="197"/>
      <c r="NIP25" s="197"/>
      <c r="NIQ25" s="197"/>
      <c r="NIR25" s="197"/>
      <c r="NIS25" s="197"/>
      <c r="NIT25" s="197"/>
      <c r="NIU25" s="197"/>
      <c r="NIV25" s="197"/>
      <c r="NIW25" s="197"/>
      <c r="NIX25" s="197"/>
      <c r="NIY25" s="197"/>
      <c r="NIZ25" s="197"/>
      <c r="NJA25" s="197"/>
      <c r="NJB25" s="197"/>
      <c r="NJC25" s="197"/>
      <c r="NJD25" s="197"/>
      <c r="NJE25" s="197"/>
      <c r="NJF25" s="197"/>
      <c r="NJG25" s="197"/>
      <c r="NJH25" s="197"/>
      <c r="NJI25" s="197"/>
      <c r="NJJ25" s="197"/>
      <c r="NJK25" s="197"/>
      <c r="NJL25" s="197"/>
      <c r="NJM25" s="197"/>
      <c r="NJN25" s="197"/>
      <c r="NJO25" s="197"/>
      <c r="NJP25" s="197"/>
      <c r="NJQ25" s="197"/>
      <c r="NJR25" s="197"/>
      <c r="NJS25" s="197"/>
      <c r="NJT25" s="197"/>
      <c r="NJU25" s="197"/>
      <c r="NJV25" s="197"/>
      <c r="NJW25" s="197"/>
      <c r="NJX25" s="197"/>
      <c r="NJY25" s="197"/>
      <c r="NJZ25" s="197"/>
      <c r="NKA25" s="197"/>
      <c r="NKB25" s="197"/>
      <c r="NKC25" s="197"/>
      <c r="NKD25" s="197"/>
      <c r="NKE25" s="197"/>
      <c r="NKF25" s="197"/>
      <c r="NKG25" s="197"/>
      <c r="NKH25" s="197"/>
      <c r="NKI25" s="197"/>
      <c r="NKJ25" s="197"/>
      <c r="NKK25" s="197"/>
      <c r="NKL25" s="197"/>
      <c r="NKM25" s="197"/>
      <c r="NKN25" s="197"/>
      <c r="NKO25" s="197"/>
      <c r="NKP25" s="197"/>
      <c r="NKQ25" s="197"/>
      <c r="NKR25" s="197"/>
      <c r="NKS25" s="197"/>
      <c r="NKT25" s="197"/>
      <c r="NKU25" s="197"/>
      <c r="NKV25" s="197"/>
      <c r="NKW25" s="197"/>
      <c r="NKX25" s="197"/>
      <c r="NKY25" s="197"/>
      <c r="NKZ25" s="197"/>
      <c r="NLA25" s="197"/>
      <c r="NLB25" s="197"/>
      <c r="NLC25" s="197"/>
      <c r="NLD25" s="197"/>
      <c r="NLE25" s="197"/>
      <c r="NLF25" s="197"/>
      <c r="NLG25" s="197"/>
      <c r="NLH25" s="197"/>
      <c r="NLI25" s="197"/>
      <c r="NLJ25" s="197"/>
      <c r="NLK25" s="197"/>
      <c r="NLL25" s="197"/>
      <c r="NLM25" s="197"/>
      <c r="NLN25" s="197"/>
      <c r="NLO25" s="197"/>
      <c r="NLP25" s="197"/>
      <c r="NLQ25" s="197"/>
      <c r="NLR25" s="197"/>
      <c r="NLS25" s="197"/>
      <c r="NLT25" s="197"/>
      <c r="NLU25" s="197"/>
      <c r="NLV25" s="197"/>
      <c r="NLW25" s="197"/>
      <c r="NLX25" s="197"/>
      <c r="NLY25" s="197"/>
      <c r="NLZ25" s="197"/>
      <c r="NMA25" s="197"/>
      <c r="NMB25" s="197"/>
      <c r="NMC25" s="197"/>
      <c r="NMD25" s="197"/>
      <c r="NME25" s="197"/>
      <c r="NMF25" s="197"/>
      <c r="NMG25" s="197"/>
      <c r="NMH25" s="197"/>
      <c r="NMI25" s="197"/>
      <c r="NMJ25" s="197"/>
      <c r="NMK25" s="197"/>
      <c r="NML25" s="197"/>
      <c r="NMM25" s="197"/>
      <c r="NMN25" s="197"/>
      <c r="NMO25" s="197"/>
      <c r="NMP25" s="197"/>
      <c r="NMQ25" s="197"/>
      <c r="NMR25" s="197"/>
      <c r="NMS25" s="197"/>
      <c r="NMT25" s="197"/>
      <c r="NMU25" s="197"/>
      <c r="NMV25" s="197"/>
      <c r="NMW25" s="197"/>
      <c r="NMX25" s="197"/>
      <c r="NMY25" s="197"/>
      <c r="NMZ25" s="197"/>
      <c r="NNA25" s="197"/>
      <c r="NNB25" s="197"/>
      <c r="NNC25" s="197"/>
      <c r="NND25" s="197"/>
      <c r="NNE25" s="197"/>
      <c r="NNF25" s="197"/>
      <c r="NNG25" s="197"/>
      <c r="NNH25" s="197"/>
      <c r="NNI25" s="197"/>
      <c r="NNJ25" s="197"/>
      <c r="NNK25" s="197"/>
      <c r="NNL25" s="197"/>
      <c r="NNM25" s="197"/>
      <c r="NNN25" s="197"/>
      <c r="NNO25" s="197"/>
      <c r="NNP25" s="197"/>
      <c r="NNQ25" s="197"/>
      <c r="NNR25" s="197"/>
      <c r="NNS25" s="197"/>
      <c r="NNT25" s="197"/>
      <c r="NNU25" s="197"/>
      <c r="NNV25" s="197"/>
      <c r="NNW25" s="197"/>
      <c r="NNX25" s="197"/>
      <c r="NNY25" s="197"/>
      <c r="NNZ25" s="197"/>
      <c r="NOA25" s="197"/>
      <c r="NOB25" s="197"/>
      <c r="NOC25" s="197"/>
      <c r="NOD25" s="197"/>
      <c r="NOE25" s="197"/>
      <c r="NOF25" s="197"/>
      <c r="NOG25" s="197"/>
      <c r="NOH25" s="197"/>
      <c r="NOI25" s="197"/>
      <c r="NOJ25" s="197"/>
      <c r="NOK25" s="197"/>
      <c r="NOL25" s="197"/>
      <c r="NOM25" s="197"/>
      <c r="NON25" s="197"/>
      <c r="NOO25" s="197"/>
      <c r="NOP25" s="197"/>
      <c r="NOQ25" s="197"/>
      <c r="NOR25" s="197"/>
      <c r="NOS25" s="197"/>
      <c r="NOT25" s="197"/>
      <c r="NOU25" s="197"/>
      <c r="NOV25" s="197"/>
      <c r="NOW25" s="197"/>
      <c r="NOX25" s="197"/>
      <c r="NOY25" s="197"/>
      <c r="NOZ25" s="197"/>
      <c r="NPA25" s="197"/>
      <c r="NPB25" s="197"/>
      <c r="NPC25" s="197"/>
      <c r="NPD25" s="197"/>
      <c r="NPE25" s="197"/>
      <c r="NPF25" s="197"/>
      <c r="NPG25" s="197"/>
      <c r="NPH25" s="197"/>
      <c r="NPI25" s="197"/>
      <c r="NPJ25" s="197"/>
      <c r="NPK25" s="197"/>
      <c r="NPL25" s="197"/>
      <c r="NPM25" s="197"/>
      <c r="NPN25" s="197"/>
      <c r="NPO25" s="197"/>
      <c r="NPP25" s="197"/>
      <c r="NPQ25" s="197"/>
      <c r="NPR25" s="197"/>
      <c r="NPS25" s="197"/>
      <c r="NPT25" s="197"/>
      <c r="NPU25" s="197"/>
      <c r="NPV25" s="197"/>
      <c r="NPW25" s="197"/>
      <c r="NPX25" s="197"/>
      <c r="NPY25" s="197"/>
      <c r="NPZ25" s="197"/>
      <c r="NQA25" s="197"/>
      <c r="NQB25" s="197"/>
      <c r="NQC25" s="197"/>
      <c r="NQD25" s="197"/>
      <c r="NQE25" s="197"/>
      <c r="NQF25" s="197"/>
      <c r="NQG25" s="197"/>
      <c r="NQH25" s="197"/>
      <c r="NQI25" s="197"/>
      <c r="NQJ25" s="197"/>
      <c r="NQK25" s="197"/>
      <c r="NQL25" s="197"/>
      <c r="NQM25" s="197"/>
      <c r="NQN25" s="197"/>
      <c r="NQO25" s="197"/>
      <c r="NQP25" s="197"/>
      <c r="NQQ25" s="197"/>
      <c r="NQR25" s="197"/>
      <c r="NQS25" s="197"/>
      <c r="NQT25" s="197"/>
      <c r="NQU25" s="197"/>
      <c r="NQV25" s="197"/>
      <c r="NQW25" s="197"/>
      <c r="NQX25" s="197"/>
      <c r="NQY25" s="197"/>
      <c r="NQZ25" s="197"/>
      <c r="NRA25" s="197"/>
      <c r="NRB25" s="197"/>
      <c r="NRC25" s="197"/>
      <c r="NRD25" s="197"/>
      <c r="NRE25" s="197"/>
      <c r="NRF25" s="197"/>
      <c r="NRG25" s="197"/>
      <c r="NRH25" s="197"/>
      <c r="NRI25" s="197"/>
      <c r="NRJ25" s="197"/>
      <c r="NRK25" s="197"/>
      <c r="NRL25" s="197"/>
      <c r="NRM25" s="197"/>
      <c r="NRN25" s="197"/>
      <c r="NRO25" s="197"/>
      <c r="NRP25" s="197"/>
      <c r="NRQ25" s="197"/>
      <c r="NRR25" s="197"/>
      <c r="NRS25" s="197"/>
      <c r="NRT25" s="197"/>
      <c r="NRU25" s="197"/>
      <c r="NRV25" s="197"/>
      <c r="NRW25" s="197"/>
      <c r="NRX25" s="197"/>
      <c r="NRY25" s="197"/>
      <c r="NRZ25" s="197"/>
      <c r="NSA25" s="197"/>
      <c r="NSB25" s="197"/>
      <c r="NSC25" s="197"/>
      <c r="NSD25" s="197"/>
      <c r="NSE25" s="197"/>
      <c r="NSF25" s="197"/>
      <c r="NSG25" s="197"/>
      <c r="NSH25" s="197"/>
      <c r="NSI25" s="197"/>
      <c r="NSJ25" s="197"/>
      <c r="NSK25" s="197"/>
      <c r="NSL25" s="197"/>
      <c r="NSM25" s="197"/>
      <c r="NSN25" s="197"/>
      <c r="NSO25" s="197"/>
      <c r="NSP25" s="197"/>
      <c r="NSQ25" s="197"/>
      <c r="NSR25" s="197"/>
      <c r="NSS25" s="197"/>
      <c r="NST25" s="197"/>
      <c r="NSU25" s="197"/>
      <c r="NSV25" s="197"/>
      <c r="NSW25" s="197"/>
      <c r="NSX25" s="197"/>
      <c r="NSY25" s="197"/>
      <c r="NSZ25" s="197"/>
      <c r="NTA25" s="197"/>
      <c r="NTB25" s="197"/>
      <c r="NTC25" s="197"/>
      <c r="NTD25" s="197"/>
      <c r="NTE25" s="197"/>
      <c r="NTF25" s="197"/>
      <c r="NTG25" s="197"/>
      <c r="NTH25" s="197"/>
      <c r="NTI25" s="197"/>
      <c r="NTJ25" s="197"/>
      <c r="NTK25" s="197"/>
      <c r="NTL25" s="197"/>
      <c r="NTM25" s="197"/>
      <c r="NTN25" s="197"/>
      <c r="NTO25" s="197"/>
      <c r="NTP25" s="197"/>
      <c r="NTQ25" s="197"/>
      <c r="NTR25" s="197"/>
      <c r="NTS25" s="197"/>
      <c r="NTT25" s="197"/>
      <c r="NTU25" s="197"/>
      <c r="NTV25" s="197"/>
      <c r="NTW25" s="197"/>
      <c r="NTX25" s="197"/>
      <c r="NTY25" s="197"/>
      <c r="NTZ25" s="197"/>
      <c r="NUA25" s="197"/>
      <c r="NUB25" s="197"/>
      <c r="NUC25" s="197"/>
      <c r="NUD25" s="197"/>
      <c r="NUE25" s="197"/>
      <c r="NUF25" s="197"/>
      <c r="NUG25" s="197"/>
      <c r="NUH25" s="197"/>
      <c r="NUI25" s="197"/>
      <c r="NUJ25" s="197"/>
      <c r="NUK25" s="197"/>
      <c r="NUL25" s="197"/>
      <c r="NUM25" s="197"/>
      <c r="NUN25" s="197"/>
      <c r="NUO25" s="197"/>
      <c r="NUP25" s="197"/>
      <c r="NUQ25" s="197"/>
      <c r="NUR25" s="197"/>
      <c r="NUS25" s="197"/>
      <c r="NUT25" s="197"/>
      <c r="NUU25" s="197"/>
      <c r="NUV25" s="197"/>
      <c r="NUW25" s="197"/>
      <c r="NUX25" s="197"/>
      <c r="NUY25" s="197"/>
      <c r="NUZ25" s="197"/>
      <c r="NVA25" s="197"/>
      <c r="NVB25" s="197"/>
      <c r="NVC25" s="197"/>
      <c r="NVD25" s="197"/>
      <c r="NVE25" s="197"/>
      <c r="NVF25" s="197"/>
      <c r="NVG25" s="197"/>
      <c r="NVH25" s="197"/>
      <c r="NVI25" s="197"/>
      <c r="NVJ25" s="197"/>
      <c r="NVK25" s="197"/>
      <c r="NVL25" s="197"/>
      <c r="NVM25" s="197"/>
      <c r="NVN25" s="197"/>
      <c r="NVO25" s="197"/>
      <c r="NVP25" s="197"/>
      <c r="NVQ25" s="197"/>
      <c r="NVR25" s="197"/>
      <c r="NVS25" s="197"/>
      <c r="NVT25" s="197"/>
      <c r="NVU25" s="197"/>
      <c r="NVV25" s="197"/>
      <c r="NVW25" s="197"/>
      <c r="NVX25" s="197"/>
      <c r="NVY25" s="197"/>
      <c r="NVZ25" s="197"/>
      <c r="NWA25" s="197"/>
      <c r="NWB25" s="197"/>
      <c r="NWC25" s="197"/>
      <c r="NWD25" s="197"/>
      <c r="NWE25" s="197"/>
      <c r="NWF25" s="197"/>
      <c r="NWG25" s="197"/>
      <c r="NWH25" s="197"/>
      <c r="NWI25" s="197"/>
      <c r="NWJ25" s="197"/>
      <c r="NWK25" s="197"/>
      <c r="NWL25" s="197"/>
      <c r="NWM25" s="197"/>
      <c r="NWN25" s="197"/>
      <c r="NWO25" s="197"/>
      <c r="NWP25" s="197"/>
      <c r="NWQ25" s="197"/>
      <c r="NWR25" s="197"/>
      <c r="NWS25" s="197"/>
      <c r="NWT25" s="197"/>
      <c r="NWU25" s="197"/>
      <c r="NWV25" s="197"/>
      <c r="NWW25" s="197"/>
      <c r="NWX25" s="197"/>
      <c r="NWY25" s="197"/>
      <c r="NWZ25" s="197"/>
      <c r="NXA25" s="197"/>
      <c r="NXB25" s="197"/>
      <c r="NXC25" s="197"/>
      <c r="NXD25" s="197"/>
      <c r="NXE25" s="197"/>
      <c r="NXF25" s="197"/>
      <c r="NXG25" s="197"/>
      <c r="NXH25" s="197"/>
      <c r="NXI25" s="197"/>
      <c r="NXJ25" s="197"/>
      <c r="NXK25" s="197"/>
      <c r="NXL25" s="197"/>
      <c r="NXM25" s="197"/>
      <c r="NXN25" s="197"/>
      <c r="NXO25" s="197"/>
      <c r="NXP25" s="197"/>
      <c r="NXQ25" s="197"/>
      <c r="NXR25" s="197"/>
      <c r="NXS25" s="197"/>
      <c r="NXT25" s="197"/>
      <c r="NXU25" s="197"/>
      <c r="NXV25" s="197"/>
      <c r="NXW25" s="197"/>
      <c r="NXX25" s="197"/>
      <c r="NXY25" s="197"/>
      <c r="NXZ25" s="197"/>
      <c r="NYA25" s="197"/>
      <c r="NYB25" s="197"/>
      <c r="NYC25" s="197"/>
      <c r="NYD25" s="197"/>
      <c r="NYE25" s="197"/>
      <c r="NYF25" s="197"/>
      <c r="NYG25" s="197"/>
      <c r="NYH25" s="197"/>
      <c r="NYI25" s="197"/>
      <c r="NYJ25" s="197"/>
      <c r="NYK25" s="197"/>
      <c r="NYL25" s="197"/>
      <c r="NYM25" s="197"/>
      <c r="NYN25" s="197"/>
      <c r="NYO25" s="197"/>
      <c r="NYP25" s="197"/>
      <c r="NYQ25" s="197"/>
      <c r="NYR25" s="197"/>
      <c r="NYS25" s="197"/>
      <c r="NYT25" s="197"/>
      <c r="NYU25" s="197"/>
      <c r="NYV25" s="197"/>
      <c r="NYW25" s="197"/>
      <c r="NYX25" s="197"/>
      <c r="NYY25" s="197"/>
      <c r="NYZ25" s="197"/>
      <c r="NZA25" s="197"/>
      <c r="NZB25" s="197"/>
      <c r="NZC25" s="197"/>
      <c r="NZD25" s="197"/>
      <c r="NZE25" s="197"/>
      <c r="NZF25" s="197"/>
      <c r="NZG25" s="197"/>
      <c r="NZH25" s="197"/>
      <c r="NZI25" s="197"/>
      <c r="NZJ25" s="197"/>
      <c r="NZK25" s="197"/>
      <c r="NZL25" s="197"/>
      <c r="NZM25" s="197"/>
      <c r="NZN25" s="197"/>
      <c r="NZO25" s="197"/>
      <c r="NZP25" s="197"/>
      <c r="NZQ25" s="197"/>
      <c r="NZR25" s="197"/>
      <c r="NZS25" s="197"/>
      <c r="NZT25" s="197"/>
      <c r="NZU25" s="197"/>
      <c r="NZV25" s="197"/>
      <c r="NZW25" s="197"/>
      <c r="NZX25" s="197"/>
      <c r="NZY25" s="197"/>
      <c r="NZZ25" s="197"/>
      <c r="OAA25" s="197"/>
      <c r="OAB25" s="197"/>
      <c r="OAC25" s="197"/>
      <c r="OAD25" s="197"/>
      <c r="OAE25" s="197"/>
      <c r="OAF25" s="197"/>
      <c r="OAG25" s="197"/>
      <c r="OAH25" s="197"/>
      <c r="OAI25" s="197"/>
      <c r="OAJ25" s="197"/>
      <c r="OAK25" s="197"/>
      <c r="OAL25" s="197"/>
      <c r="OAM25" s="197"/>
      <c r="OAN25" s="197"/>
      <c r="OAO25" s="197"/>
      <c r="OAP25" s="197"/>
      <c r="OAQ25" s="197"/>
      <c r="OAR25" s="197"/>
      <c r="OAS25" s="197"/>
      <c r="OAT25" s="197"/>
      <c r="OAU25" s="197"/>
      <c r="OAV25" s="197"/>
      <c r="OAW25" s="197"/>
      <c r="OAX25" s="197"/>
      <c r="OAY25" s="197"/>
      <c r="OAZ25" s="197"/>
      <c r="OBA25" s="197"/>
      <c r="OBB25" s="197"/>
      <c r="OBC25" s="197"/>
      <c r="OBD25" s="197"/>
      <c r="OBE25" s="197"/>
      <c r="OBF25" s="197"/>
      <c r="OBG25" s="197"/>
      <c r="OBH25" s="197"/>
      <c r="OBI25" s="197"/>
      <c r="OBJ25" s="197"/>
      <c r="OBK25" s="197"/>
      <c r="OBL25" s="197"/>
      <c r="OBM25" s="197"/>
      <c r="OBN25" s="197"/>
      <c r="OBO25" s="197"/>
      <c r="OBP25" s="197"/>
      <c r="OBQ25" s="197"/>
      <c r="OBR25" s="197"/>
      <c r="OBS25" s="197"/>
      <c r="OBT25" s="197"/>
      <c r="OBU25" s="197"/>
      <c r="OBV25" s="197"/>
      <c r="OBW25" s="197"/>
      <c r="OBX25" s="197"/>
      <c r="OBY25" s="197"/>
      <c r="OBZ25" s="197"/>
      <c r="OCA25" s="197"/>
      <c r="OCB25" s="197"/>
      <c r="OCC25" s="197"/>
      <c r="OCD25" s="197"/>
      <c r="OCE25" s="197"/>
      <c r="OCF25" s="197"/>
      <c r="OCG25" s="197"/>
      <c r="OCH25" s="197"/>
      <c r="OCI25" s="197"/>
      <c r="OCJ25" s="197"/>
      <c r="OCK25" s="197"/>
      <c r="OCL25" s="197"/>
      <c r="OCM25" s="197"/>
      <c r="OCN25" s="197"/>
      <c r="OCO25" s="197"/>
      <c r="OCP25" s="197"/>
      <c r="OCQ25" s="197"/>
      <c r="OCR25" s="197"/>
      <c r="OCS25" s="197"/>
      <c r="OCT25" s="197"/>
      <c r="OCU25" s="197"/>
      <c r="OCV25" s="197"/>
      <c r="OCW25" s="197"/>
      <c r="OCX25" s="197"/>
      <c r="OCY25" s="197"/>
      <c r="OCZ25" s="197"/>
      <c r="ODA25" s="197"/>
      <c r="ODB25" s="197"/>
      <c r="ODC25" s="197"/>
      <c r="ODD25" s="197"/>
      <c r="ODE25" s="197"/>
      <c r="ODF25" s="197"/>
      <c r="ODG25" s="197"/>
      <c r="ODH25" s="197"/>
      <c r="ODI25" s="197"/>
      <c r="ODJ25" s="197"/>
      <c r="ODK25" s="197"/>
      <c r="ODL25" s="197"/>
      <c r="ODM25" s="197"/>
      <c r="ODN25" s="197"/>
      <c r="ODO25" s="197"/>
      <c r="ODP25" s="197"/>
      <c r="ODQ25" s="197"/>
      <c r="ODR25" s="197"/>
      <c r="ODS25" s="197"/>
      <c r="ODT25" s="197"/>
      <c r="ODU25" s="197"/>
      <c r="ODV25" s="197"/>
      <c r="ODW25" s="197"/>
      <c r="ODX25" s="197"/>
      <c r="ODY25" s="197"/>
      <c r="ODZ25" s="197"/>
      <c r="OEA25" s="197"/>
      <c r="OEB25" s="197"/>
      <c r="OEC25" s="197"/>
      <c r="OED25" s="197"/>
      <c r="OEE25" s="197"/>
      <c r="OEF25" s="197"/>
      <c r="OEG25" s="197"/>
      <c r="OEH25" s="197"/>
      <c r="OEI25" s="197"/>
      <c r="OEJ25" s="197"/>
      <c r="OEK25" s="197"/>
      <c r="OEL25" s="197"/>
      <c r="OEM25" s="197"/>
      <c r="OEN25" s="197"/>
      <c r="OEO25" s="197"/>
      <c r="OEP25" s="197"/>
      <c r="OEQ25" s="197"/>
      <c r="OER25" s="197"/>
      <c r="OES25" s="197"/>
      <c r="OET25" s="197"/>
      <c r="OEU25" s="197"/>
      <c r="OEV25" s="197"/>
      <c r="OEW25" s="197"/>
      <c r="OEX25" s="197"/>
      <c r="OEY25" s="197"/>
      <c r="OEZ25" s="197"/>
      <c r="OFA25" s="197"/>
      <c r="OFB25" s="197"/>
      <c r="OFC25" s="197"/>
      <c r="OFD25" s="197"/>
      <c r="OFE25" s="197"/>
      <c r="OFF25" s="197"/>
      <c r="OFG25" s="197"/>
      <c r="OFH25" s="197"/>
      <c r="OFI25" s="197"/>
      <c r="OFJ25" s="197"/>
      <c r="OFK25" s="197"/>
      <c r="OFL25" s="197"/>
      <c r="OFM25" s="197"/>
      <c r="OFN25" s="197"/>
      <c r="OFO25" s="197"/>
      <c r="OFP25" s="197"/>
      <c r="OFQ25" s="197"/>
      <c r="OFR25" s="197"/>
      <c r="OFS25" s="197"/>
      <c r="OFT25" s="197"/>
      <c r="OFU25" s="197"/>
      <c r="OFV25" s="197"/>
      <c r="OFW25" s="197"/>
      <c r="OFX25" s="197"/>
      <c r="OFY25" s="197"/>
      <c r="OFZ25" s="197"/>
      <c r="OGA25" s="197"/>
      <c r="OGB25" s="197"/>
      <c r="OGC25" s="197"/>
      <c r="OGD25" s="197"/>
      <c r="OGE25" s="197"/>
      <c r="OGF25" s="197"/>
      <c r="OGG25" s="197"/>
      <c r="OGH25" s="197"/>
      <c r="OGI25" s="197"/>
      <c r="OGJ25" s="197"/>
      <c r="OGK25" s="197"/>
      <c r="OGL25" s="197"/>
      <c r="OGM25" s="197"/>
      <c r="OGN25" s="197"/>
      <c r="OGO25" s="197"/>
      <c r="OGP25" s="197"/>
      <c r="OGQ25" s="197"/>
      <c r="OGR25" s="197"/>
      <c r="OGS25" s="197"/>
      <c r="OGT25" s="197"/>
      <c r="OGU25" s="197"/>
      <c r="OGV25" s="197"/>
      <c r="OGW25" s="197"/>
      <c r="OGX25" s="197"/>
      <c r="OGY25" s="197"/>
      <c r="OGZ25" s="197"/>
      <c r="OHA25" s="197"/>
      <c r="OHB25" s="197"/>
      <c r="OHC25" s="197"/>
      <c r="OHD25" s="197"/>
      <c r="OHE25" s="197"/>
      <c r="OHF25" s="197"/>
      <c r="OHG25" s="197"/>
      <c r="OHH25" s="197"/>
      <c r="OHI25" s="197"/>
      <c r="OHJ25" s="197"/>
      <c r="OHK25" s="197"/>
      <c r="OHL25" s="197"/>
      <c r="OHM25" s="197"/>
      <c r="OHN25" s="197"/>
      <c r="OHO25" s="197"/>
      <c r="OHP25" s="197"/>
      <c r="OHQ25" s="197"/>
      <c r="OHR25" s="197"/>
      <c r="OHS25" s="197"/>
      <c r="OHT25" s="197"/>
      <c r="OHU25" s="197"/>
      <c r="OHV25" s="197"/>
      <c r="OHW25" s="197"/>
      <c r="OHX25" s="197"/>
      <c r="OHY25" s="197"/>
      <c r="OHZ25" s="197"/>
      <c r="OIA25" s="197"/>
      <c r="OIB25" s="197"/>
      <c r="OIC25" s="197"/>
      <c r="OID25" s="197"/>
      <c r="OIE25" s="197"/>
      <c r="OIF25" s="197"/>
      <c r="OIG25" s="197"/>
      <c r="OIH25" s="197"/>
      <c r="OII25" s="197"/>
      <c r="OIJ25" s="197"/>
      <c r="OIK25" s="197"/>
      <c r="OIL25" s="197"/>
      <c r="OIM25" s="197"/>
      <c r="OIN25" s="197"/>
      <c r="OIO25" s="197"/>
      <c r="OIP25" s="197"/>
      <c r="OIQ25" s="197"/>
      <c r="OIR25" s="197"/>
      <c r="OIS25" s="197"/>
      <c r="OIT25" s="197"/>
      <c r="OIU25" s="197"/>
      <c r="OIV25" s="197"/>
      <c r="OIW25" s="197"/>
      <c r="OIX25" s="197"/>
      <c r="OIY25" s="197"/>
      <c r="OIZ25" s="197"/>
      <c r="OJA25" s="197"/>
      <c r="OJB25" s="197"/>
      <c r="OJC25" s="197"/>
      <c r="OJD25" s="197"/>
      <c r="OJE25" s="197"/>
      <c r="OJF25" s="197"/>
      <c r="OJG25" s="197"/>
      <c r="OJH25" s="197"/>
      <c r="OJI25" s="197"/>
      <c r="OJJ25" s="197"/>
      <c r="OJK25" s="197"/>
      <c r="OJL25" s="197"/>
      <c r="OJM25" s="197"/>
      <c r="OJN25" s="197"/>
      <c r="OJO25" s="197"/>
      <c r="OJP25" s="197"/>
      <c r="OJQ25" s="197"/>
      <c r="OJR25" s="197"/>
      <c r="OJS25" s="197"/>
      <c r="OJT25" s="197"/>
      <c r="OJU25" s="197"/>
      <c r="OJV25" s="197"/>
      <c r="OJW25" s="197"/>
      <c r="OJX25" s="197"/>
      <c r="OJY25" s="197"/>
      <c r="OJZ25" s="197"/>
      <c r="OKA25" s="197"/>
      <c r="OKB25" s="197"/>
      <c r="OKC25" s="197"/>
      <c r="OKD25" s="197"/>
      <c r="OKE25" s="197"/>
      <c r="OKF25" s="197"/>
      <c r="OKG25" s="197"/>
      <c r="OKH25" s="197"/>
      <c r="OKI25" s="197"/>
      <c r="OKJ25" s="197"/>
      <c r="OKK25" s="197"/>
      <c r="OKL25" s="197"/>
      <c r="OKM25" s="197"/>
      <c r="OKN25" s="197"/>
      <c r="OKO25" s="197"/>
      <c r="OKP25" s="197"/>
      <c r="OKQ25" s="197"/>
      <c r="OKR25" s="197"/>
      <c r="OKS25" s="197"/>
      <c r="OKT25" s="197"/>
      <c r="OKU25" s="197"/>
      <c r="OKV25" s="197"/>
      <c r="OKW25" s="197"/>
      <c r="OKX25" s="197"/>
      <c r="OKY25" s="197"/>
      <c r="OKZ25" s="197"/>
      <c r="OLA25" s="197"/>
      <c r="OLB25" s="197"/>
      <c r="OLC25" s="197"/>
      <c r="OLD25" s="197"/>
      <c r="OLE25" s="197"/>
      <c r="OLF25" s="197"/>
      <c r="OLG25" s="197"/>
      <c r="OLH25" s="197"/>
      <c r="OLI25" s="197"/>
      <c r="OLJ25" s="197"/>
      <c r="OLK25" s="197"/>
      <c r="OLL25" s="197"/>
      <c r="OLM25" s="197"/>
      <c r="OLN25" s="197"/>
      <c r="OLO25" s="197"/>
      <c r="OLP25" s="197"/>
      <c r="OLQ25" s="197"/>
      <c r="OLR25" s="197"/>
      <c r="OLS25" s="197"/>
      <c r="OLT25" s="197"/>
      <c r="OLU25" s="197"/>
      <c r="OLV25" s="197"/>
      <c r="OLW25" s="197"/>
      <c r="OLX25" s="197"/>
      <c r="OLY25" s="197"/>
      <c r="OLZ25" s="197"/>
      <c r="OMA25" s="197"/>
      <c r="OMB25" s="197"/>
      <c r="OMC25" s="197"/>
      <c r="OMD25" s="197"/>
      <c r="OME25" s="197"/>
      <c r="OMF25" s="197"/>
      <c r="OMG25" s="197"/>
      <c r="OMH25" s="197"/>
      <c r="OMI25" s="197"/>
      <c r="OMJ25" s="197"/>
      <c r="OMK25" s="197"/>
      <c r="OML25" s="197"/>
      <c r="OMM25" s="197"/>
      <c r="OMN25" s="197"/>
      <c r="OMO25" s="197"/>
      <c r="OMP25" s="197"/>
      <c r="OMQ25" s="197"/>
      <c r="OMR25" s="197"/>
      <c r="OMS25" s="197"/>
      <c r="OMT25" s="197"/>
      <c r="OMU25" s="197"/>
      <c r="OMV25" s="197"/>
      <c r="OMW25" s="197"/>
      <c r="OMX25" s="197"/>
      <c r="OMY25" s="197"/>
      <c r="OMZ25" s="197"/>
      <c r="ONA25" s="197"/>
      <c r="ONB25" s="197"/>
      <c r="ONC25" s="197"/>
      <c r="OND25" s="197"/>
      <c r="ONE25" s="197"/>
      <c r="ONF25" s="197"/>
      <c r="ONG25" s="197"/>
      <c r="ONH25" s="197"/>
      <c r="ONI25" s="197"/>
      <c r="ONJ25" s="197"/>
      <c r="ONK25" s="197"/>
      <c r="ONL25" s="197"/>
      <c r="ONM25" s="197"/>
      <c r="ONN25" s="197"/>
      <c r="ONO25" s="197"/>
      <c r="ONP25" s="197"/>
      <c r="ONQ25" s="197"/>
      <c r="ONR25" s="197"/>
      <c r="ONS25" s="197"/>
      <c r="ONT25" s="197"/>
      <c r="ONU25" s="197"/>
      <c r="ONV25" s="197"/>
      <c r="ONW25" s="197"/>
      <c r="ONX25" s="197"/>
      <c r="ONY25" s="197"/>
      <c r="ONZ25" s="197"/>
      <c r="OOA25" s="197"/>
      <c r="OOB25" s="197"/>
      <c r="OOC25" s="197"/>
      <c r="OOD25" s="197"/>
      <c r="OOE25" s="197"/>
      <c r="OOF25" s="197"/>
      <c r="OOG25" s="197"/>
      <c r="OOH25" s="197"/>
      <c r="OOI25" s="197"/>
      <c r="OOJ25" s="197"/>
      <c r="OOK25" s="197"/>
      <c r="OOL25" s="197"/>
      <c r="OOM25" s="197"/>
      <c r="OON25" s="197"/>
      <c r="OOO25" s="197"/>
      <c r="OOP25" s="197"/>
      <c r="OOQ25" s="197"/>
      <c r="OOR25" s="197"/>
      <c r="OOS25" s="197"/>
      <c r="OOT25" s="197"/>
      <c r="OOU25" s="197"/>
      <c r="OOV25" s="197"/>
      <c r="OOW25" s="197"/>
      <c r="OOX25" s="197"/>
      <c r="OOY25" s="197"/>
      <c r="OOZ25" s="197"/>
      <c r="OPA25" s="197"/>
      <c r="OPB25" s="197"/>
      <c r="OPC25" s="197"/>
      <c r="OPD25" s="197"/>
      <c r="OPE25" s="197"/>
      <c r="OPF25" s="197"/>
      <c r="OPG25" s="197"/>
      <c r="OPH25" s="197"/>
      <c r="OPI25" s="197"/>
      <c r="OPJ25" s="197"/>
      <c r="OPK25" s="197"/>
      <c r="OPL25" s="197"/>
      <c r="OPM25" s="197"/>
      <c r="OPN25" s="197"/>
      <c r="OPO25" s="197"/>
      <c r="OPP25" s="197"/>
      <c r="OPQ25" s="197"/>
      <c r="OPR25" s="197"/>
      <c r="OPS25" s="197"/>
      <c r="OPT25" s="197"/>
      <c r="OPU25" s="197"/>
      <c r="OPV25" s="197"/>
      <c r="OPW25" s="197"/>
      <c r="OPX25" s="197"/>
      <c r="OPY25" s="197"/>
      <c r="OPZ25" s="197"/>
      <c r="OQA25" s="197"/>
      <c r="OQB25" s="197"/>
      <c r="OQC25" s="197"/>
      <c r="OQD25" s="197"/>
      <c r="OQE25" s="197"/>
      <c r="OQF25" s="197"/>
      <c r="OQG25" s="197"/>
      <c r="OQH25" s="197"/>
      <c r="OQI25" s="197"/>
      <c r="OQJ25" s="197"/>
      <c r="OQK25" s="197"/>
      <c r="OQL25" s="197"/>
      <c r="OQM25" s="197"/>
      <c r="OQN25" s="197"/>
      <c r="OQO25" s="197"/>
      <c r="OQP25" s="197"/>
      <c r="OQQ25" s="197"/>
      <c r="OQR25" s="197"/>
      <c r="OQS25" s="197"/>
      <c r="OQT25" s="197"/>
      <c r="OQU25" s="197"/>
      <c r="OQV25" s="197"/>
      <c r="OQW25" s="197"/>
      <c r="OQX25" s="197"/>
      <c r="OQY25" s="197"/>
      <c r="OQZ25" s="197"/>
      <c r="ORA25" s="197"/>
      <c r="ORB25" s="197"/>
      <c r="ORC25" s="197"/>
      <c r="ORD25" s="197"/>
      <c r="ORE25" s="197"/>
      <c r="ORF25" s="197"/>
      <c r="ORG25" s="197"/>
      <c r="ORH25" s="197"/>
      <c r="ORI25" s="197"/>
      <c r="ORJ25" s="197"/>
      <c r="ORK25" s="197"/>
      <c r="ORL25" s="197"/>
      <c r="ORM25" s="197"/>
      <c r="ORN25" s="197"/>
      <c r="ORO25" s="197"/>
      <c r="ORP25" s="197"/>
      <c r="ORQ25" s="197"/>
      <c r="ORR25" s="197"/>
      <c r="ORS25" s="197"/>
      <c r="ORT25" s="197"/>
      <c r="ORU25" s="197"/>
      <c r="ORV25" s="197"/>
      <c r="ORW25" s="197"/>
      <c r="ORX25" s="197"/>
      <c r="ORY25" s="197"/>
      <c r="ORZ25" s="197"/>
      <c r="OSA25" s="197"/>
      <c r="OSB25" s="197"/>
      <c r="OSC25" s="197"/>
      <c r="OSD25" s="197"/>
      <c r="OSE25" s="197"/>
      <c r="OSF25" s="197"/>
      <c r="OSG25" s="197"/>
      <c r="OSH25" s="197"/>
      <c r="OSI25" s="197"/>
      <c r="OSJ25" s="197"/>
      <c r="OSK25" s="197"/>
      <c r="OSL25" s="197"/>
      <c r="OSM25" s="197"/>
      <c r="OSN25" s="197"/>
      <c r="OSO25" s="197"/>
      <c r="OSP25" s="197"/>
      <c r="OSQ25" s="197"/>
      <c r="OSR25" s="197"/>
      <c r="OSS25" s="197"/>
      <c r="OST25" s="197"/>
      <c r="OSU25" s="197"/>
      <c r="OSV25" s="197"/>
      <c r="OSW25" s="197"/>
      <c r="OSX25" s="197"/>
      <c r="OSY25" s="197"/>
      <c r="OSZ25" s="197"/>
      <c r="OTA25" s="197"/>
      <c r="OTB25" s="197"/>
      <c r="OTC25" s="197"/>
      <c r="OTD25" s="197"/>
      <c r="OTE25" s="197"/>
      <c r="OTF25" s="197"/>
      <c r="OTG25" s="197"/>
      <c r="OTH25" s="197"/>
      <c r="OTI25" s="197"/>
      <c r="OTJ25" s="197"/>
      <c r="OTK25" s="197"/>
      <c r="OTL25" s="197"/>
      <c r="OTM25" s="197"/>
      <c r="OTN25" s="197"/>
      <c r="OTO25" s="197"/>
      <c r="OTP25" s="197"/>
      <c r="OTQ25" s="197"/>
      <c r="OTR25" s="197"/>
      <c r="OTS25" s="197"/>
      <c r="OTT25" s="197"/>
      <c r="OTU25" s="197"/>
      <c r="OTV25" s="197"/>
      <c r="OTW25" s="197"/>
      <c r="OTX25" s="197"/>
      <c r="OTY25" s="197"/>
      <c r="OTZ25" s="197"/>
      <c r="OUA25" s="197"/>
      <c r="OUB25" s="197"/>
      <c r="OUC25" s="197"/>
      <c r="OUD25" s="197"/>
      <c r="OUE25" s="197"/>
      <c r="OUF25" s="197"/>
      <c r="OUG25" s="197"/>
      <c r="OUH25" s="197"/>
      <c r="OUI25" s="197"/>
      <c r="OUJ25" s="197"/>
      <c r="OUK25" s="197"/>
      <c r="OUL25" s="197"/>
      <c r="OUM25" s="197"/>
      <c r="OUN25" s="197"/>
      <c r="OUO25" s="197"/>
      <c r="OUP25" s="197"/>
      <c r="OUQ25" s="197"/>
      <c r="OUR25" s="197"/>
      <c r="OUS25" s="197"/>
      <c r="OUT25" s="197"/>
      <c r="OUU25" s="197"/>
      <c r="OUV25" s="197"/>
      <c r="OUW25" s="197"/>
      <c r="OUX25" s="197"/>
      <c r="OUY25" s="197"/>
      <c r="OUZ25" s="197"/>
      <c r="OVA25" s="197"/>
      <c r="OVB25" s="197"/>
      <c r="OVC25" s="197"/>
      <c r="OVD25" s="197"/>
      <c r="OVE25" s="197"/>
      <c r="OVF25" s="197"/>
      <c r="OVG25" s="197"/>
      <c r="OVH25" s="197"/>
      <c r="OVI25" s="197"/>
      <c r="OVJ25" s="197"/>
      <c r="OVK25" s="197"/>
      <c r="OVL25" s="197"/>
      <c r="OVM25" s="197"/>
      <c r="OVN25" s="197"/>
      <c r="OVO25" s="197"/>
      <c r="OVP25" s="197"/>
      <c r="OVQ25" s="197"/>
      <c r="OVR25" s="197"/>
      <c r="OVS25" s="197"/>
      <c r="OVT25" s="197"/>
      <c r="OVU25" s="197"/>
      <c r="OVV25" s="197"/>
      <c r="OVW25" s="197"/>
      <c r="OVX25" s="197"/>
      <c r="OVY25" s="197"/>
      <c r="OVZ25" s="197"/>
      <c r="OWA25" s="197"/>
      <c r="OWB25" s="197"/>
      <c r="OWC25" s="197"/>
      <c r="OWD25" s="197"/>
      <c r="OWE25" s="197"/>
      <c r="OWF25" s="197"/>
      <c r="OWG25" s="197"/>
      <c r="OWH25" s="197"/>
      <c r="OWI25" s="197"/>
      <c r="OWJ25" s="197"/>
      <c r="OWK25" s="197"/>
      <c r="OWL25" s="197"/>
      <c r="OWM25" s="197"/>
      <c r="OWN25" s="197"/>
      <c r="OWO25" s="197"/>
      <c r="OWP25" s="197"/>
      <c r="OWQ25" s="197"/>
      <c r="OWR25" s="197"/>
      <c r="OWS25" s="197"/>
      <c r="OWT25" s="197"/>
      <c r="OWU25" s="197"/>
      <c r="OWV25" s="197"/>
      <c r="OWW25" s="197"/>
      <c r="OWX25" s="197"/>
      <c r="OWY25" s="197"/>
      <c r="OWZ25" s="197"/>
      <c r="OXA25" s="197"/>
      <c r="OXB25" s="197"/>
      <c r="OXC25" s="197"/>
      <c r="OXD25" s="197"/>
      <c r="OXE25" s="197"/>
      <c r="OXF25" s="197"/>
      <c r="OXG25" s="197"/>
      <c r="OXH25" s="197"/>
      <c r="OXI25" s="197"/>
      <c r="OXJ25" s="197"/>
      <c r="OXK25" s="197"/>
      <c r="OXL25" s="197"/>
      <c r="OXM25" s="197"/>
      <c r="OXN25" s="197"/>
      <c r="OXO25" s="197"/>
      <c r="OXP25" s="197"/>
      <c r="OXQ25" s="197"/>
      <c r="OXR25" s="197"/>
      <c r="OXS25" s="197"/>
      <c r="OXT25" s="197"/>
      <c r="OXU25" s="197"/>
      <c r="OXV25" s="197"/>
      <c r="OXW25" s="197"/>
      <c r="OXX25" s="197"/>
      <c r="OXY25" s="197"/>
      <c r="OXZ25" s="197"/>
      <c r="OYA25" s="197"/>
      <c r="OYB25" s="197"/>
      <c r="OYC25" s="197"/>
      <c r="OYD25" s="197"/>
      <c r="OYE25" s="197"/>
      <c r="OYF25" s="197"/>
      <c r="OYG25" s="197"/>
      <c r="OYH25" s="197"/>
      <c r="OYI25" s="197"/>
      <c r="OYJ25" s="197"/>
      <c r="OYK25" s="197"/>
      <c r="OYL25" s="197"/>
      <c r="OYM25" s="197"/>
      <c r="OYN25" s="197"/>
      <c r="OYO25" s="197"/>
      <c r="OYP25" s="197"/>
      <c r="OYQ25" s="197"/>
      <c r="OYR25" s="197"/>
      <c r="OYS25" s="197"/>
      <c r="OYT25" s="197"/>
      <c r="OYU25" s="197"/>
      <c r="OYV25" s="197"/>
      <c r="OYW25" s="197"/>
      <c r="OYX25" s="197"/>
      <c r="OYY25" s="197"/>
      <c r="OYZ25" s="197"/>
      <c r="OZA25" s="197"/>
      <c r="OZB25" s="197"/>
      <c r="OZC25" s="197"/>
      <c r="OZD25" s="197"/>
      <c r="OZE25" s="197"/>
      <c r="OZF25" s="197"/>
      <c r="OZG25" s="197"/>
      <c r="OZH25" s="197"/>
      <c r="OZI25" s="197"/>
      <c r="OZJ25" s="197"/>
      <c r="OZK25" s="197"/>
      <c r="OZL25" s="197"/>
      <c r="OZM25" s="197"/>
      <c r="OZN25" s="197"/>
      <c r="OZO25" s="197"/>
      <c r="OZP25" s="197"/>
      <c r="OZQ25" s="197"/>
      <c r="OZR25" s="197"/>
      <c r="OZS25" s="197"/>
      <c r="OZT25" s="197"/>
      <c r="OZU25" s="197"/>
      <c r="OZV25" s="197"/>
      <c r="OZW25" s="197"/>
      <c r="OZX25" s="197"/>
      <c r="OZY25" s="197"/>
      <c r="OZZ25" s="197"/>
      <c r="PAA25" s="197"/>
      <c r="PAB25" s="197"/>
      <c r="PAC25" s="197"/>
      <c r="PAD25" s="197"/>
      <c r="PAE25" s="197"/>
      <c r="PAF25" s="197"/>
      <c r="PAG25" s="197"/>
      <c r="PAH25" s="197"/>
      <c r="PAI25" s="197"/>
      <c r="PAJ25" s="197"/>
      <c r="PAK25" s="197"/>
      <c r="PAL25" s="197"/>
      <c r="PAM25" s="197"/>
      <c r="PAN25" s="197"/>
      <c r="PAO25" s="197"/>
      <c r="PAP25" s="197"/>
      <c r="PAQ25" s="197"/>
      <c r="PAR25" s="197"/>
      <c r="PAS25" s="197"/>
      <c r="PAT25" s="197"/>
      <c r="PAU25" s="197"/>
      <c r="PAV25" s="197"/>
      <c r="PAW25" s="197"/>
      <c r="PAX25" s="197"/>
      <c r="PAY25" s="197"/>
      <c r="PAZ25" s="197"/>
      <c r="PBA25" s="197"/>
      <c r="PBB25" s="197"/>
      <c r="PBC25" s="197"/>
      <c r="PBD25" s="197"/>
      <c r="PBE25" s="197"/>
      <c r="PBF25" s="197"/>
      <c r="PBG25" s="197"/>
      <c r="PBH25" s="197"/>
      <c r="PBI25" s="197"/>
      <c r="PBJ25" s="197"/>
      <c r="PBK25" s="197"/>
      <c r="PBL25" s="197"/>
      <c r="PBM25" s="197"/>
      <c r="PBN25" s="197"/>
      <c r="PBO25" s="197"/>
      <c r="PBP25" s="197"/>
      <c r="PBQ25" s="197"/>
      <c r="PBR25" s="197"/>
      <c r="PBS25" s="197"/>
      <c r="PBT25" s="197"/>
      <c r="PBU25" s="197"/>
      <c r="PBV25" s="197"/>
      <c r="PBW25" s="197"/>
      <c r="PBX25" s="197"/>
      <c r="PBY25" s="197"/>
      <c r="PBZ25" s="197"/>
      <c r="PCA25" s="197"/>
      <c r="PCB25" s="197"/>
      <c r="PCC25" s="197"/>
      <c r="PCD25" s="197"/>
      <c r="PCE25" s="197"/>
      <c r="PCF25" s="197"/>
      <c r="PCG25" s="197"/>
      <c r="PCH25" s="197"/>
      <c r="PCI25" s="197"/>
      <c r="PCJ25" s="197"/>
      <c r="PCK25" s="197"/>
      <c r="PCL25" s="197"/>
      <c r="PCM25" s="197"/>
      <c r="PCN25" s="197"/>
      <c r="PCO25" s="197"/>
      <c r="PCP25" s="197"/>
      <c r="PCQ25" s="197"/>
      <c r="PCR25" s="197"/>
      <c r="PCS25" s="197"/>
      <c r="PCT25" s="197"/>
      <c r="PCU25" s="197"/>
      <c r="PCV25" s="197"/>
      <c r="PCW25" s="197"/>
      <c r="PCX25" s="197"/>
      <c r="PCY25" s="197"/>
      <c r="PCZ25" s="197"/>
      <c r="PDA25" s="197"/>
      <c r="PDB25" s="197"/>
      <c r="PDC25" s="197"/>
      <c r="PDD25" s="197"/>
      <c r="PDE25" s="197"/>
      <c r="PDF25" s="197"/>
      <c r="PDG25" s="197"/>
      <c r="PDH25" s="197"/>
      <c r="PDI25" s="197"/>
      <c r="PDJ25" s="197"/>
      <c r="PDK25" s="197"/>
      <c r="PDL25" s="197"/>
      <c r="PDM25" s="197"/>
      <c r="PDN25" s="197"/>
      <c r="PDO25" s="197"/>
      <c r="PDP25" s="197"/>
      <c r="PDQ25" s="197"/>
      <c r="PDR25" s="197"/>
      <c r="PDS25" s="197"/>
      <c r="PDT25" s="197"/>
      <c r="PDU25" s="197"/>
      <c r="PDV25" s="197"/>
      <c r="PDW25" s="197"/>
      <c r="PDX25" s="197"/>
      <c r="PDY25" s="197"/>
      <c r="PDZ25" s="197"/>
      <c r="PEA25" s="197"/>
      <c r="PEB25" s="197"/>
      <c r="PEC25" s="197"/>
      <c r="PED25" s="197"/>
      <c r="PEE25" s="197"/>
      <c r="PEF25" s="197"/>
      <c r="PEG25" s="197"/>
      <c r="PEH25" s="197"/>
      <c r="PEI25" s="197"/>
      <c r="PEJ25" s="197"/>
      <c r="PEK25" s="197"/>
      <c r="PEL25" s="197"/>
      <c r="PEM25" s="197"/>
      <c r="PEN25" s="197"/>
      <c r="PEO25" s="197"/>
      <c r="PEP25" s="197"/>
      <c r="PEQ25" s="197"/>
      <c r="PER25" s="197"/>
      <c r="PES25" s="197"/>
      <c r="PET25" s="197"/>
      <c r="PEU25" s="197"/>
      <c r="PEV25" s="197"/>
      <c r="PEW25" s="197"/>
      <c r="PEX25" s="197"/>
      <c r="PEY25" s="197"/>
      <c r="PEZ25" s="197"/>
      <c r="PFA25" s="197"/>
      <c r="PFB25" s="197"/>
      <c r="PFC25" s="197"/>
      <c r="PFD25" s="197"/>
      <c r="PFE25" s="197"/>
      <c r="PFF25" s="197"/>
      <c r="PFG25" s="197"/>
      <c r="PFH25" s="197"/>
      <c r="PFI25" s="197"/>
      <c r="PFJ25" s="197"/>
      <c r="PFK25" s="197"/>
      <c r="PFL25" s="197"/>
      <c r="PFM25" s="197"/>
      <c r="PFN25" s="197"/>
      <c r="PFO25" s="197"/>
      <c r="PFP25" s="197"/>
      <c r="PFQ25" s="197"/>
      <c r="PFR25" s="197"/>
      <c r="PFS25" s="197"/>
      <c r="PFT25" s="197"/>
      <c r="PFU25" s="197"/>
      <c r="PFV25" s="197"/>
      <c r="PFW25" s="197"/>
      <c r="PFX25" s="197"/>
      <c r="PFY25" s="197"/>
      <c r="PFZ25" s="197"/>
      <c r="PGA25" s="197"/>
      <c r="PGB25" s="197"/>
      <c r="PGC25" s="197"/>
      <c r="PGD25" s="197"/>
      <c r="PGE25" s="197"/>
      <c r="PGF25" s="197"/>
      <c r="PGG25" s="197"/>
      <c r="PGH25" s="197"/>
      <c r="PGI25" s="197"/>
      <c r="PGJ25" s="197"/>
      <c r="PGK25" s="197"/>
      <c r="PGL25" s="197"/>
      <c r="PGM25" s="197"/>
      <c r="PGN25" s="197"/>
      <c r="PGO25" s="197"/>
      <c r="PGP25" s="197"/>
      <c r="PGQ25" s="197"/>
      <c r="PGR25" s="197"/>
      <c r="PGS25" s="197"/>
      <c r="PGT25" s="197"/>
      <c r="PGU25" s="197"/>
      <c r="PGV25" s="197"/>
      <c r="PGW25" s="197"/>
      <c r="PGX25" s="197"/>
      <c r="PGY25" s="197"/>
      <c r="PGZ25" s="197"/>
      <c r="PHA25" s="197"/>
      <c r="PHB25" s="197"/>
      <c r="PHC25" s="197"/>
      <c r="PHD25" s="197"/>
      <c r="PHE25" s="197"/>
      <c r="PHF25" s="197"/>
      <c r="PHG25" s="197"/>
      <c r="PHH25" s="197"/>
      <c r="PHI25" s="197"/>
      <c r="PHJ25" s="197"/>
      <c r="PHK25" s="197"/>
      <c r="PHL25" s="197"/>
      <c r="PHM25" s="197"/>
      <c r="PHN25" s="197"/>
      <c r="PHO25" s="197"/>
      <c r="PHP25" s="197"/>
      <c r="PHQ25" s="197"/>
      <c r="PHR25" s="197"/>
      <c r="PHS25" s="197"/>
      <c r="PHT25" s="197"/>
      <c r="PHU25" s="197"/>
      <c r="PHV25" s="197"/>
      <c r="PHW25" s="197"/>
      <c r="PHX25" s="197"/>
      <c r="PHY25" s="197"/>
      <c r="PHZ25" s="197"/>
      <c r="PIA25" s="197"/>
      <c r="PIB25" s="197"/>
      <c r="PIC25" s="197"/>
      <c r="PID25" s="197"/>
      <c r="PIE25" s="197"/>
      <c r="PIF25" s="197"/>
      <c r="PIG25" s="197"/>
      <c r="PIH25" s="197"/>
      <c r="PII25" s="197"/>
      <c r="PIJ25" s="197"/>
      <c r="PIK25" s="197"/>
      <c r="PIL25" s="197"/>
      <c r="PIM25" s="197"/>
      <c r="PIN25" s="197"/>
      <c r="PIO25" s="197"/>
      <c r="PIP25" s="197"/>
      <c r="PIQ25" s="197"/>
      <c r="PIR25" s="197"/>
      <c r="PIS25" s="197"/>
      <c r="PIT25" s="197"/>
      <c r="PIU25" s="197"/>
      <c r="PIV25" s="197"/>
      <c r="PIW25" s="197"/>
      <c r="PIX25" s="197"/>
      <c r="PIY25" s="197"/>
      <c r="PIZ25" s="197"/>
      <c r="PJA25" s="197"/>
      <c r="PJB25" s="197"/>
      <c r="PJC25" s="197"/>
      <c r="PJD25" s="197"/>
      <c r="PJE25" s="197"/>
      <c r="PJF25" s="197"/>
      <c r="PJG25" s="197"/>
      <c r="PJH25" s="197"/>
      <c r="PJI25" s="197"/>
      <c r="PJJ25" s="197"/>
      <c r="PJK25" s="197"/>
      <c r="PJL25" s="197"/>
      <c r="PJM25" s="197"/>
      <c r="PJN25" s="197"/>
      <c r="PJO25" s="197"/>
      <c r="PJP25" s="197"/>
      <c r="PJQ25" s="197"/>
      <c r="PJR25" s="197"/>
      <c r="PJS25" s="197"/>
      <c r="PJT25" s="197"/>
      <c r="PJU25" s="197"/>
      <c r="PJV25" s="197"/>
      <c r="PJW25" s="197"/>
      <c r="PJX25" s="197"/>
      <c r="PJY25" s="197"/>
      <c r="PJZ25" s="197"/>
      <c r="PKA25" s="197"/>
      <c r="PKB25" s="197"/>
      <c r="PKC25" s="197"/>
      <c r="PKD25" s="197"/>
      <c r="PKE25" s="197"/>
      <c r="PKF25" s="197"/>
      <c r="PKG25" s="197"/>
      <c r="PKH25" s="197"/>
      <c r="PKI25" s="197"/>
      <c r="PKJ25" s="197"/>
      <c r="PKK25" s="197"/>
      <c r="PKL25" s="197"/>
      <c r="PKM25" s="197"/>
      <c r="PKN25" s="197"/>
      <c r="PKO25" s="197"/>
      <c r="PKP25" s="197"/>
      <c r="PKQ25" s="197"/>
      <c r="PKR25" s="197"/>
      <c r="PKS25" s="197"/>
      <c r="PKT25" s="197"/>
      <c r="PKU25" s="197"/>
      <c r="PKV25" s="197"/>
      <c r="PKW25" s="197"/>
      <c r="PKX25" s="197"/>
      <c r="PKY25" s="197"/>
      <c r="PKZ25" s="197"/>
      <c r="PLA25" s="197"/>
      <c r="PLB25" s="197"/>
      <c r="PLC25" s="197"/>
      <c r="PLD25" s="197"/>
      <c r="PLE25" s="197"/>
      <c r="PLF25" s="197"/>
      <c r="PLG25" s="197"/>
      <c r="PLH25" s="197"/>
      <c r="PLI25" s="197"/>
      <c r="PLJ25" s="197"/>
      <c r="PLK25" s="197"/>
      <c r="PLL25" s="197"/>
      <c r="PLM25" s="197"/>
      <c r="PLN25" s="197"/>
      <c r="PLO25" s="197"/>
      <c r="PLP25" s="197"/>
      <c r="PLQ25" s="197"/>
      <c r="PLR25" s="197"/>
      <c r="PLS25" s="197"/>
      <c r="PLT25" s="197"/>
      <c r="PLU25" s="197"/>
      <c r="PLV25" s="197"/>
      <c r="PLW25" s="197"/>
      <c r="PLX25" s="197"/>
      <c r="PLY25" s="197"/>
      <c r="PLZ25" s="197"/>
      <c r="PMA25" s="197"/>
      <c r="PMB25" s="197"/>
      <c r="PMC25" s="197"/>
      <c r="PMD25" s="197"/>
      <c r="PME25" s="197"/>
      <c r="PMF25" s="197"/>
      <c r="PMG25" s="197"/>
      <c r="PMH25" s="197"/>
      <c r="PMI25" s="197"/>
      <c r="PMJ25" s="197"/>
      <c r="PMK25" s="197"/>
      <c r="PML25" s="197"/>
      <c r="PMM25" s="197"/>
      <c r="PMN25" s="197"/>
      <c r="PMO25" s="197"/>
      <c r="PMP25" s="197"/>
      <c r="PMQ25" s="197"/>
      <c r="PMR25" s="197"/>
      <c r="PMS25" s="197"/>
      <c r="PMT25" s="197"/>
      <c r="PMU25" s="197"/>
      <c r="PMV25" s="197"/>
      <c r="PMW25" s="197"/>
      <c r="PMX25" s="197"/>
      <c r="PMY25" s="197"/>
      <c r="PMZ25" s="197"/>
      <c r="PNA25" s="197"/>
      <c r="PNB25" s="197"/>
      <c r="PNC25" s="197"/>
      <c r="PND25" s="197"/>
      <c r="PNE25" s="197"/>
      <c r="PNF25" s="197"/>
      <c r="PNG25" s="197"/>
      <c r="PNH25" s="197"/>
      <c r="PNI25" s="197"/>
      <c r="PNJ25" s="197"/>
      <c r="PNK25" s="197"/>
      <c r="PNL25" s="197"/>
      <c r="PNM25" s="197"/>
      <c r="PNN25" s="197"/>
      <c r="PNO25" s="197"/>
      <c r="PNP25" s="197"/>
      <c r="PNQ25" s="197"/>
      <c r="PNR25" s="197"/>
      <c r="PNS25" s="197"/>
      <c r="PNT25" s="197"/>
      <c r="PNU25" s="197"/>
      <c r="PNV25" s="197"/>
      <c r="PNW25" s="197"/>
      <c r="PNX25" s="197"/>
      <c r="PNY25" s="197"/>
      <c r="PNZ25" s="197"/>
      <c r="POA25" s="197"/>
      <c r="POB25" s="197"/>
      <c r="POC25" s="197"/>
      <c r="POD25" s="197"/>
      <c r="POE25" s="197"/>
      <c r="POF25" s="197"/>
      <c r="POG25" s="197"/>
      <c r="POH25" s="197"/>
      <c r="POI25" s="197"/>
      <c r="POJ25" s="197"/>
      <c r="POK25" s="197"/>
      <c r="POL25" s="197"/>
      <c r="POM25" s="197"/>
      <c r="PON25" s="197"/>
      <c r="POO25" s="197"/>
      <c r="POP25" s="197"/>
      <c r="POQ25" s="197"/>
      <c r="POR25" s="197"/>
      <c r="POS25" s="197"/>
      <c r="POT25" s="197"/>
      <c r="POU25" s="197"/>
      <c r="POV25" s="197"/>
      <c r="POW25" s="197"/>
      <c r="POX25" s="197"/>
      <c r="POY25" s="197"/>
      <c r="POZ25" s="197"/>
      <c r="PPA25" s="197"/>
      <c r="PPB25" s="197"/>
      <c r="PPC25" s="197"/>
      <c r="PPD25" s="197"/>
      <c r="PPE25" s="197"/>
      <c r="PPF25" s="197"/>
      <c r="PPG25" s="197"/>
      <c r="PPH25" s="197"/>
      <c r="PPI25" s="197"/>
      <c r="PPJ25" s="197"/>
      <c r="PPK25" s="197"/>
      <c r="PPL25" s="197"/>
      <c r="PPM25" s="197"/>
      <c r="PPN25" s="197"/>
      <c r="PPO25" s="197"/>
      <c r="PPP25" s="197"/>
      <c r="PPQ25" s="197"/>
      <c r="PPR25" s="197"/>
      <c r="PPS25" s="197"/>
      <c r="PPT25" s="197"/>
      <c r="PPU25" s="197"/>
      <c r="PPV25" s="197"/>
      <c r="PPW25" s="197"/>
      <c r="PPX25" s="197"/>
      <c r="PPY25" s="197"/>
      <c r="PPZ25" s="197"/>
      <c r="PQA25" s="197"/>
      <c r="PQB25" s="197"/>
      <c r="PQC25" s="197"/>
      <c r="PQD25" s="197"/>
      <c r="PQE25" s="197"/>
      <c r="PQF25" s="197"/>
      <c r="PQG25" s="197"/>
      <c r="PQH25" s="197"/>
      <c r="PQI25" s="197"/>
      <c r="PQJ25" s="197"/>
      <c r="PQK25" s="197"/>
      <c r="PQL25" s="197"/>
      <c r="PQM25" s="197"/>
      <c r="PQN25" s="197"/>
      <c r="PQO25" s="197"/>
      <c r="PQP25" s="197"/>
      <c r="PQQ25" s="197"/>
      <c r="PQR25" s="197"/>
      <c r="PQS25" s="197"/>
      <c r="PQT25" s="197"/>
      <c r="PQU25" s="197"/>
      <c r="PQV25" s="197"/>
      <c r="PQW25" s="197"/>
      <c r="PQX25" s="197"/>
      <c r="PQY25" s="197"/>
      <c r="PQZ25" s="197"/>
      <c r="PRA25" s="197"/>
      <c r="PRB25" s="197"/>
      <c r="PRC25" s="197"/>
      <c r="PRD25" s="197"/>
      <c r="PRE25" s="197"/>
      <c r="PRF25" s="197"/>
      <c r="PRG25" s="197"/>
      <c r="PRH25" s="197"/>
      <c r="PRI25" s="197"/>
      <c r="PRJ25" s="197"/>
      <c r="PRK25" s="197"/>
      <c r="PRL25" s="197"/>
      <c r="PRM25" s="197"/>
      <c r="PRN25" s="197"/>
      <c r="PRO25" s="197"/>
      <c r="PRP25" s="197"/>
      <c r="PRQ25" s="197"/>
      <c r="PRR25" s="197"/>
      <c r="PRS25" s="197"/>
      <c r="PRT25" s="197"/>
      <c r="PRU25" s="197"/>
      <c r="PRV25" s="197"/>
      <c r="PRW25" s="197"/>
      <c r="PRX25" s="197"/>
      <c r="PRY25" s="197"/>
      <c r="PRZ25" s="197"/>
      <c r="PSA25" s="197"/>
      <c r="PSB25" s="197"/>
      <c r="PSC25" s="197"/>
      <c r="PSD25" s="197"/>
      <c r="PSE25" s="197"/>
      <c r="PSF25" s="197"/>
      <c r="PSG25" s="197"/>
      <c r="PSH25" s="197"/>
      <c r="PSI25" s="197"/>
      <c r="PSJ25" s="197"/>
      <c r="PSK25" s="197"/>
      <c r="PSL25" s="197"/>
      <c r="PSM25" s="197"/>
      <c r="PSN25" s="197"/>
      <c r="PSO25" s="197"/>
      <c r="PSP25" s="197"/>
      <c r="PSQ25" s="197"/>
      <c r="PSR25" s="197"/>
      <c r="PSS25" s="197"/>
      <c r="PST25" s="197"/>
      <c r="PSU25" s="197"/>
      <c r="PSV25" s="197"/>
      <c r="PSW25" s="197"/>
      <c r="PSX25" s="197"/>
      <c r="PSY25" s="197"/>
      <c r="PSZ25" s="197"/>
      <c r="PTA25" s="197"/>
      <c r="PTB25" s="197"/>
      <c r="PTC25" s="197"/>
      <c r="PTD25" s="197"/>
      <c r="PTE25" s="197"/>
      <c r="PTF25" s="197"/>
      <c r="PTG25" s="197"/>
      <c r="PTH25" s="197"/>
      <c r="PTI25" s="197"/>
      <c r="PTJ25" s="197"/>
      <c r="PTK25" s="197"/>
      <c r="PTL25" s="197"/>
      <c r="PTM25" s="197"/>
      <c r="PTN25" s="197"/>
      <c r="PTO25" s="197"/>
      <c r="PTP25" s="197"/>
      <c r="PTQ25" s="197"/>
      <c r="PTR25" s="197"/>
      <c r="PTS25" s="197"/>
      <c r="PTT25" s="197"/>
      <c r="PTU25" s="197"/>
      <c r="PTV25" s="197"/>
      <c r="PTW25" s="197"/>
      <c r="PTX25" s="197"/>
      <c r="PTY25" s="197"/>
      <c r="PTZ25" s="197"/>
      <c r="PUA25" s="197"/>
      <c r="PUB25" s="197"/>
      <c r="PUC25" s="197"/>
      <c r="PUD25" s="197"/>
      <c r="PUE25" s="197"/>
      <c r="PUF25" s="197"/>
      <c r="PUG25" s="197"/>
      <c r="PUH25" s="197"/>
      <c r="PUI25" s="197"/>
      <c r="PUJ25" s="197"/>
      <c r="PUK25" s="197"/>
      <c r="PUL25" s="197"/>
      <c r="PUM25" s="197"/>
      <c r="PUN25" s="197"/>
      <c r="PUO25" s="197"/>
      <c r="PUP25" s="197"/>
      <c r="PUQ25" s="197"/>
      <c r="PUR25" s="197"/>
      <c r="PUS25" s="197"/>
      <c r="PUT25" s="197"/>
      <c r="PUU25" s="197"/>
      <c r="PUV25" s="197"/>
      <c r="PUW25" s="197"/>
      <c r="PUX25" s="197"/>
      <c r="PUY25" s="197"/>
      <c r="PUZ25" s="197"/>
      <c r="PVA25" s="197"/>
      <c r="PVB25" s="197"/>
      <c r="PVC25" s="197"/>
      <c r="PVD25" s="197"/>
      <c r="PVE25" s="197"/>
      <c r="PVF25" s="197"/>
      <c r="PVG25" s="197"/>
      <c r="PVH25" s="197"/>
      <c r="PVI25" s="197"/>
      <c r="PVJ25" s="197"/>
      <c r="PVK25" s="197"/>
      <c r="PVL25" s="197"/>
      <c r="PVM25" s="197"/>
      <c r="PVN25" s="197"/>
      <c r="PVO25" s="197"/>
      <c r="PVP25" s="197"/>
      <c r="PVQ25" s="197"/>
      <c r="PVR25" s="197"/>
      <c r="PVS25" s="197"/>
      <c r="PVT25" s="197"/>
      <c r="PVU25" s="197"/>
      <c r="PVV25" s="197"/>
      <c r="PVW25" s="197"/>
      <c r="PVX25" s="197"/>
      <c r="PVY25" s="197"/>
      <c r="PVZ25" s="197"/>
      <c r="PWA25" s="197"/>
      <c r="PWB25" s="197"/>
      <c r="PWC25" s="197"/>
      <c r="PWD25" s="197"/>
      <c r="PWE25" s="197"/>
      <c r="PWF25" s="197"/>
      <c r="PWG25" s="197"/>
      <c r="PWH25" s="197"/>
      <c r="PWI25" s="197"/>
      <c r="PWJ25" s="197"/>
      <c r="PWK25" s="197"/>
      <c r="PWL25" s="197"/>
      <c r="PWM25" s="197"/>
      <c r="PWN25" s="197"/>
      <c r="PWO25" s="197"/>
      <c r="PWP25" s="197"/>
      <c r="PWQ25" s="197"/>
      <c r="PWR25" s="197"/>
      <c r="PWS25" s="197"/>
      <c r="PWT25" s="197"/>
      <c r="PWU25" s="197"/>
      <c r="PWV25" s="197"/>
      <c r="PWW25" s="197"/>
      <c r="PWX25" s="197"/>
      <c r="PWY25" s="197"/>
      <c r="PWZ25" s="197"/>
      <c r="PXA25" s="197"/>
      <c r="PXB25" s="197"/>
      <c r="PXC25" s="197"/>
      <c r="PXD25" s="197"/>
      <c r="PXE25" s="197"/>
      <c r="PXF25" s="197"/>
      <c r="PXG25" s="197"/>
      <c r="PXH25" s="197"/>
      <c r="PXI25" s="197"/>
      <c r="PXJ25" s="197"/>
      <c r="PXK25" s="197"/>
      <c r="PXL25" s="197"/>
      <c r="PXM25" s="197"/>
      <c r="PXN25" s="197"/>
      <c r="PXO25" s="197"/>
      <c r="PXP25" s="197"/>
      <c r="PXQ25" s="197"/>
      <c r="PXR25" s="197"/>
      <c r="PXS25" s="197"/>
      <c r="PXT25" s="197"/>
      <c r="PXU25" s="197"/>
      <c r="PXV25" s="197"/>
      <c r="PXW25" s="197"/>
      <c r="PXX25" s="197"/>
      <c r="PXY25" s="197"/>
      <c r="PXZ25" s="197"/>
      <c r="PYA25" s="197"/>
      <c r="PYB25" s="197"/>
      <c r="PYC25" s="197"/>
      <c r="PYD25" s="197"/>
      <c r="PYE25" s="197"/>
      <c r="PYF25" s="197"/>
      <c r="PYG25" s="197"/>
      <c r="PYH25" s="197"/>
      <c r="PYI25" s="197"/>
      <c r="PYJ25" s="197"/>
      <c r="PYK25" s="197"/>
      <c r="PYL25" s="197"/>
      <c r="PYM25" s="197"/>
      <c r="PYN25" s="197"/>
      <c r="PYO25" s="197"/>
      <c r="PYP25" s="197"/>
      <c r="PYQ25" s="197"/>
      <c r="PYR25" s="197"/>
      <c r="PYS25" s="197"/>
      <c r="PYT25" s="197"/>
      <c r="PYU25" s="197"/>
      <c r="PYV25" s="197"/>
      <c r="PYW25" s="197"/>
      <c r="PYX25" s="197"/>
      <c r="PYY25" s="197"/>
      <c r="PYZ25" s="197"/>
      <c r="PZA25" s="197"/>
      <c r="PZB25" s="197"/>
      <c r="PZC25" s="197"/>
      <c r="PZD25" s="197"/>
      <c r="PZE25" s="197"/>
      <c r="PZF25" s="197"/>
      <c r="PZG25" s="197"/>
      <c r="PZH25" s="197"/>
      <c r="PZI25" s="197"/>
      <c r="PZJ25" s="197"/>
      <c r="PZK25" s="197"/>
      <c r="PZL25" s="197"/>
      <c r="PZM25" s="197"/>
      <c r="PZN25" s="197"/>
      <c r="PZO25" s="197"/>
      <c r="PZP25" s="197"/>
      <c r="PZQ25" s="197"/>
      <c r="PZR25" s="197"/>
      <c r="PZS25" s="197"/>
      <c r="PZT25" s="197"/>
      <c r="PZU25" s="197"/>
      <c r="PZV25" s="197"/>
      <c r="PZW25" s="197"/>
      <c r="PZX25" s="197"/>
      <c r="PZY25" s="197"/>
      <c r="PZZ25" s="197"/>
      <c r="QAA25" s="197"/>
      <c r="QAB25" s="197"/>
      <c r="QAC25" s="197"/>
      <c r="QAD25" s="197"/>
      <c r="QAE25" s="197"/>
      <c r="QAF25" s="197"/>
      <c r="QAG25" s="197"/>
      <c r="QAH25" s="197"/>
      <c r="QAI25" s="197"/>
      <c r="QAJ25" s="197"/>
      <c r="QAK25" s="197"/>
      <c r="QAL25" s="197"/>
      <c r="QAM25" s="197"/>
      <c r="QAN25" s="197"/>
      <c r="QAO25" s="197"/>
      <c r="QAP25" s="197"/>
      <c r="QAQ25" s="197"/>
      <c r="QAR25" s="197"/>
      <c r="QAS25" s="197"/>
      <c r="QAT25" s="197"/>
      <c r="QAU25" s="197"/>
      <c r="QAV25" s="197"/>
      <c r="QAW25" s="197"/>
      <c r="QAX25" s="197"/>
      <c r="QAY25" s="197"/>
      <c r="QAZ25" s="197"/>
      <c r="QBA25" s="197"/>
      <c r="QBB25" s="197"/>
      <c r="QBC25" s="197"/>
      <c r="QBD25" s="197"/>
      <c r="QBE25" s="197"/>
      <c r="QBF25" s="197"/>
      <c r="QBG25" s="197"/>
      <c r="QBH25" s="197"/>
      <c r="QBI25" s="197"/>
      <c r="QBJ25" s="197"/>
      <c r="QBK25" s="197"/>
      <c r="QBL25" s="197"/>
      <c r="QBM25" s="197"/>
      <c r="QBN25" s="197"/>
      <c r="QBO25" s="197"/>
      <c r="QBP25" s="197"/>
      <c r="QBQ25" s="197"/>
      <c r="QBR25" s="197"/>
      <c r="QBS25" s="197"/>
      <c r="QBT25" s="197"/>
      <c r="QBU25" s="197"/>
      <c r="QBV25" s="197"/>
      <c r="QBW25" s="197"/>
      <c r="QBX25" s="197"/>
      <c r="QBY25" s="197"/>
      <c r="QBZ25" s="197"/>
      <c r="QCA25" s="197"/>
      <c r="QCB25" s="197"/>
      <c r="QCC25" s="197"/>
      <c r="QCD25" s="197"/>
      <c r="QCE25" s="197"/>
      <c r="QCF25" s="197"/>
      <c r="QCG25" s="197"/>
      <c r="QCH25" s="197"/>
      <c r="QCI25" s="197"/>
      <c r="QCJ25" s="197"/>
      <c r="QCK25" s="197"/>
      <c r="QCL25" s="197"/>
      <c r="QCM25" s="197"/>
      <c r="QCN25" s="197"/>
      <c r="QCO25" s="197"/>
      <c r="QCP25" s="197"/>
      <c r="QCQ25" s="197"/>
      <c r="QCR25" s="197"/>
      <c r="QCS25" s="197"/>
      <c r="QCT25" s="197"/>
      <c r="QCU25" s="197"/>
      <c r="QCV25" s="197"/>
      <c r="QCW25" s="197"/>
      <c r="QCX25" s="197"/>
      <c r="QCY25" s="197"/>
      <c r="QCZ25" s="197"/>
      <c r="QDA25" s="197"/>
      <c r="QDB25" s="197"/>
      <c r="QDC25" s="197"/>
      <c r="QDD25" s="197"/>
      <c r="QDE25" s="197"/>
      <c r="QDF25" s="197"/>
      <c r="QDG25" s="197"/>
      <c r="QDH25" s="197"/>
      <c r="QDI25" s="197"/>
      <c r="QDJ25" s="197"/>
      <c r="QDK25" s="197"/>
      <c r="QDL25" s="197"/>
      <c r="QDM25" s="197"/>
      <c r="QDN25" s="197"/>
      <c r="QDO25" s="197"/>
      <c r="QDP25" s="197"/>
      <c r="QDQ25" s="197"/>
      <c r="QDR25" s="197"/>
      <c r="QDS25" s="197"/>
      <c r="QDT25" s="197"/>
      <c r="QDU25" s="197"/>
      <c r="QDV25" s="197"/>
      <c r="QDW25" s="197"/>
      <c r="QDX25" s="197"/>
      <c r="QDY25" s="197"/>
      <c r="QDZ25" s="197"/>
      <c r="QEA25" s="197"/>
      <c r="QEB25" s="197"/>
      <c r="QEC25" s="197"/>
      <c r="QED25" s="197"/>
      <c r="QEE25" s="197"/>
      <c r="QEF25" s="197"/>
      <c r="QEG25" s="197"/>
      <c r="QEH25" s="197"/>
      <c r="QEI25" s="197"/>
      <c r="QEJ25" s="197"/>
      <c r="QEK25" s="197"/>
      <c r="QEL25" s="197"/>
      <c r="QEM25" s="197"/>
      <c r="QEN25" s="197"/>
      <c r="QEO25" s="197"/>
      <c r="QEP25" s="197"/>
      <c r="QEQ25" s="197"/>
      <c r="QER25" s="197"/>
      <c r="QES25" s="197"/>
      <c r="QET25" s="197"/>
      <c r="QEU25" s="197"/>
      <c r="QEV25" s="197"/>
      <c r="QEW25" s="197"/>
      <c r="QEX25" s="197"/>
      <c r="QEY25" s="197"/>
      <c r="QEZ25" s="197"/>
      <c r="QFA25" s="197"/>
      <c r="QFB25" s="197"/>
      <c r="QFC25" s="197"/>
      <c r="QFD25" s="197"/>
      <c r="QFE25" s="197"/>
      <c r="QFF25" s="197"/>
      <c r="QFG25" s="197"/>
      <c r="QFH25" s="197"/>
      <c r="QFI25" s="197"/>
      <c r="QFJ25" s="197"/>
      <c r="QFK25" s="197"/>
      <c r="QFL25" s="197"/>
      <c r="QFM25" s="197"/>
      <c r="QFN25" s="197"/>
      <c r="QFO25" s="197"/>
      <c r="QFP25" s="197"/>
      <c r="QFQ25" s="197"/>
      <c r="QFR25" s="197"/>
      <c r="QFS25" s="197"/>
      <c r="QFT25" s="197"/>
      <c r="QFU25" s="197"/>
      <c r="QFV25" s="197"/>
      <c r="QFW25" s="197"/>
      <c r="QFX25" s="197"/>
      <c r="QFY25" s="197"/>
      <c r="QFZ25" s="197"/>
      <c r="QGA25" s="197"/>
      <c r="QGB25" s="197"/>
      <c r="QGC25" s="197"/>
      <c r="QGD25" s="197"/>
      <c r="QGE25" s="197"/>
      <c r="QGF25" s="197"/>
      <c r="QGG25" s="197"/>
      <c r="QGH25" s="197"/>
      <c r="QGI25" s="197"/>
      <c r="QGJ25" s="197"/>
      <c r="QGK25" s="197"/>
      <c r="QGL25" s="197"/>
      <c r="QGM25" s="197"/>
      <c r="QGN25" s="197"/>
      <c r="QGO25" s="197"/>
      <c r="QGP25" s="197"/>
      <c r="QGQ25" s="197"/>
      <c r="QGR25" s="197"/>
      <c r="QGS25" s="197"/>
      <c r="QGT25" s="197"/>
      <c r="QGU25" s="197"/>
      <c r="QGV25" s="197"/>
      <c r="QGW25" s="197"/>
      <c r="QGX25" s="197"/>
      <c r="QGY25" s="197"/>
      <c r="QGZ25" s="197"/>
      <c r="QHA25" s="197"/>
      <c r="QHB25" s="197"/>
      <c r="QHC25" s="197"/>
      <c r="QHD25" s="197"/>
      <c r="QHE25" s="197"/>
      <c r="QHF25" s="197"/>
      <c r="QHG25" s="197"/>
      <c r="QHH25" s="197"/>
      <c r="QHI25" s="197"/>
      <c r="QHJ25" s="197"/>
      <c r="QHK25" s="197"/>
      <c r="QHL25" s="197"/>
      <c r="QHM25" s="197"/>
      <c r="QHN25" s="197"/>
      <c r="QHO25" s="197"/>
      <c r="QHP25" s="197"/>
      <c r="QHQ25" s="197"/>
      <c r="QHR25" s="197"/>
      <c r="QHS25" s="197"/>
      <c r="QHT25" s="197"/>
      <c r="QHU25" s="197"/>
      <c r="QHV25" s="197"/>
      <c r="QHW25" s="197"/>
      <c r="QHX25" s="197"/>
      <c r="QHY25" s="197"/>
      <c r="QHZ25" s="197"/>
      <c r="QIA25" s="197"/>
      <c r="QIB25" s="197"/>
      <c r="QIC25" s="197"/>
      <c r="QID25" s="197"/>
      <c r="QIE25" s="197"/>
      <c r="QIF25" s="197"/>
      <c r="QIG25" s="197"/>
      <c r="QIH25" s="197"/>
      <c r="QII25" s="197"/>
      <c r="QIJ25" s="197"/>
      <c r="QIK25" s="197"/>
      <c r="QIL25" s="197"/>
      <c r="QIM25" s="197"/>
      <c r="QIN25" s="197"/>
      <c r="QIO25" s="197"/>
      <c r="QIP25" s="197"/>
      <c r="QIQ25" s="197"/>
      <c r="QIR25" s="197"/>
      <c r="QIS25" s="197"/>
      <c r="QIT25" s="197"/>
      <c r="QIU25" s="197"/>
      <c r="QIV25" s="197"/>
      <c r="QIW25" s="197"/>
      <c r="QIX25" s="197"/>
      <c r="QIY25" s="197"/>
      <c r="QIZ25" s="197"/>
      <c r="QJA25" s="197"/>
      <c r="QJB25" s="197"/>
      <c r="QJC25" s="197"/>
      <c r="QJD25" s="197"/>
      <c r="QJE25" s="197"/>
      <c r="QJF25" s="197"/>
      <c r="QJG25" s="197"/>
      <c r="QJH25" s="197"/>
      <c r="QJI25" s="197"/>
      <c r="QJJ25" s="197"/>
      <c r="QJK25" s="197"/>
      <c r="QJL25" s="197"/>
      <c r="QJM25" s="197"/>
      <c r="QJN25" s="197"/>
      <c r="QJO25" s="197"/>
      <c r="QJP25" s="197"/>
      <c r="QJQ25" s="197"/>
      <c r="QJR25" s="197"/>
      <c r="QJS25" s="197"/>
      <c r="QJT25" s="197"/>
      <c r="QJU25" s="197"/>
      <c r="QJV25" s="197"/>
      <c r="QJW25" s="197"/>
      <c r="QJX25" s="197"/>
      <c r="QJY25" s="197"/>
      <c r="QJZ25" s="197"/>
      <c r="QKA25" s="197"/>
      <c r="QKB25" s="197"/>
      <c r="QKC25" s="197"/>
      <c r="QKD25" s="197"/>
      <c r="QKE25" s="197"/>
      <c r="QKF25" s="197"/>
      <c r="QKG25" s="197"/>
      <c r="QKH25" s="197"/>
      <c r="QKI25" s="197"/>
      <c r="QKJ25" s="197"/>
      <c r="QKK25" s="197"/>
      <c r="QKL25" s="197"/>
      <c r="QKM25" s="197"/>
      <c r="QKN25" s="197"/>
      <c r="QKO25" s="197"/>
      <c r="QKP25" s="197"/>
      <c r="QKQ25" s="197"/>
      <c r="QKR25" s="197"/>
      <c r="QKS25" s="197"/>
      <c r="QKT25" s="197"/>
      <c r="QKU25" s="197"/>
      <c r="QKV25" s="197"/>
      <c r="QKW25" s="197"/>
      <c r="QKX25" s="197"/>
      <c r="QKY25" s="197"/>
      <c r="QKZ25" s="197"/>
      <c r="QLA25" s="197"/>
      <c r="QLB25" s="197"/>
      <c r="QLC25" s="197"/>
      <c r="QLD25" s="197"/>
      <c r="QLE25" s="197"/>
      <c r="QLF25" s="197"/>
      <c r="QLG25" s="197"/>
      <c r="QLH25" s="197"/>
      <c r="QLI25" s="197"/>
      <c r="QLJ25" s="197"/>
      <c r="QLK25" s="197"/>
      <c r="QLL25" s="197"/>
      <c r="QLM25" s="197"/>
      <c r="QLN25" s="197"/>
      <c r="QLO25" s="197"/>
      <c r="QLP25" s="197"/>
      <c r="QLQ25" s="197"/>
      <c r="QLR25" s="197"/>
      <c r="QLS25" s="197"/>
      <c r="QLT25" s="197"/>
      <c r="QLU25" s="197"/>
      <c r="QLV25" s="197"/>
      <c r="QLW25" s="197"/>
      <c r="QLX25" s="197"/>
      <c r="QLY25" s="197"/>
      <c r="QLZ25" s="197"/>
      <c r="QMA25" s="197"/>
      <c r="QMB25" s="197"/>
      <c r="QMC25" s="197"/>
      <c r="QMD25" s="197"/>
      <c r="QME25" s="197"/>
      <c r="QMF25" s="197"/>
      <c r="QMG25" s="197"/>
      <c r="QMH25" s="197"/>
      <c r="QMI25" s="197"/>
      <c r="QMJ25" s="197"/>
      <c r="QMK25" s="197"/>
      <c r="QML25" s="197"/>
      <c r="QMM25" s="197"/>
      <c r="QMN25" s="197"/>
      <c r="QMO25" s="197"/>
      <c r="QMP25" s="197"/>
      <c r="QMQ25" s="197"/>
      <c r="QMR25" s="197"/>
      <c r="QMS25" s="197"/>
      <c r="QMT25" s="197"/>
      <c r="QMU25" s="197"/>
      <c r="QMV25" s="197"/>
      <c r="QMW25" s="197"/>
      <c r="QMX25" s="197"/>
      <c r="QMY25" s="197"/>
      <c r="QMZ25" s="197"/>
      <c r="QNA25" s="197"/>
      <c r="QNB25" s="197"/>
      <c r="QNC25" s="197"/>
      <c r="QND25" s="197"/>
      <c r="QNE25" s="197"/>
      <c r="QNF25" s="197"/>
      <c r="QNG25" s="197"/>
      <c r="QNH25" s="197"/>
      <c r="QNI25" s="197"/>
      <c r="QNJ25" s="197"/>
      <c r="QNK25" s="197"/>
      <c r="QNL25" s="197"/>
      <c r="QNM25" s="197"/>
      <c r="QNN25" s="197"/>
      <c r="QNO25" s="197"/>
      <c r="QNP25" s="197"/>
      <c r="QNQ25" s="197"/>
      <c r="QNR25" s="197"/>
      <c r="QNS25" s="197"/>
      <c r="QNT25" s="197"/>
      <c r="QNU25" s="197"/>
      <c r="QNV25" s="197"/>
      <c r="QNW25" s="197"/>
      <c r="QNX25" s="197"/>
      <c r="QNY25" s="197"/>
      <c r="QNZ25" s="197"/>
      <c r="QOA25" s="197"/>
      <c r="QOB25" s="197"/>
      <c r="QOC25" s="197"/>
      <c r="QOD25" s="197"/>
      <c r="QOE25" s="197"/>
      <c r="QOF25" s="197"/>
      <c r="QOG25" s="197"/>
      <c r="QOH25" s="197"/>
      <c r="QOI25" s="197"/>
      <c r="QOJ25" s="197"/>
      <c r="QOK25" s="197"/>
      <c r="QOL25" s="197"/>
      <c r="QOM25" s="197"/>
      <c r="QON25" s="197"/>
      <c r="QOO25" s="197"/>
      <c r="QOP25" s="197"/>
      <c r="QOQ25" s="197"/>
      <c r="QOR25" s="197"/>
      <c r="QOS25" s="197"/>
      <c r="QOT25" s="197"/>
      <c r="QOU25" s="197"/>
      <c r="QOV25" s="197"/>
      <c r="QOW25" s="197"/>
      <c r="QOX25" s="197"/>
      <c r="QOY25" s="197"/>
      <c r="QOZ25" s="197"/>
      <c r="QPA25" s="197"/>
      <c r="QPB25" s="197"/>
      <c r="QPC25" s="197"/>
      <c r="QPD25" s="197"/>
      <c r="QPE25" s="197"/>
      <c r="QPF25" s="197"/>
      <c r="QPG25" s="197"/>
      <c r="QPH25" s="197"/>
      <c r="QPI25" s="197"/>
      <c r="QPJ25" s="197"/>
      <c r="QPK25" s="197"/>
      <c r="QPL25" s="197"/>
      <c r="QPM25" s="197"/>
      <c r="QPN25" s="197"/>
      <c r="QPO25" s="197"/>
      <c r="QPP25" s="197"/>
      <c r="QPQ25" s="197"/>
      <c r="QPR25" s="197"/>
      <c r="QPS25" s="197"/>
      <c r="QPT25" s="197"/>
      <c r="QPU25" s="197"/>
      <c r="QPV25" s="197"/>
      <c r="QPW25" s="197"/>
      <c r="QPX25" s="197"/>
      <c r="QPY25" s="197"/>
      <c r="QPZ25" s="197"/>
      <c r="QQA25" s="197"/>
      <c r="QQB25" s="197"/>
      <c r="QQC25" s="197"/>
      <c r="QQD25" s="197"/>
      <c r="QQE25" s="197"/>
      <c r="QQF25" s="197"/>
      <c r="QQG25" s="197"/>
      <c r="QQH25" s="197"/>
      <c r="QQI25" s="197"/>
      <c r="QQJ25" s="197"/>
      <c r="QQK25" s="197"/>
      <c r="QQL25" s="197"/>
      <c r="QQM25" s="197"/>
      <c r="QQN25" s="197"/>
      <c r="QQO25" s="197"/>
      <c r="QQP25" s="197"/>
      <c r="QQQ25" s="197"/>
      <c r="QQR25" s="197"/>
      <c r="QQS25" s="197"/>
      <c r="QQT25" s="197"/>
      <c r="QQU25" s="197"/>
      <c r="QQV25" s="197"/>
      <c r="QQW25" s="197"/>
      <c r="QQX25" s="197"/>
      <c r="QQY25" s="197"/>
      <c r="QQZ25" s="197"/>
      <c r="QRA25" s="197"/>
      <c r="QRB25" s="197"/>
      <c r="QRC25" s="197"/>
      <c r="QRD25" s="197"/>
      <c r="QRE25" s="197"/>
      <c r="QRF25" s="197"/>
      <c r="QRG25" s="197"/>
      <c r="QRH25" s="197"/>
      <c r="QRI25" s="197"/>
      <c r="QRJ25" s="197"/>
      <c r="QRK25" s="197"/>
      <c r="QRL25" s="197"/>
      <c r="QRM25" s="197"/>
      <c r="QRN25" s="197"/>
      <c r="QRO25" s="197"/>
      <c r="QRP25" s="197"/>
      <c r="QRQ25" s="197"/>
      <c r="QRR25" s="197"/>
      <c r="QRS25" s="197"/>
      <c r="QRT25" s="197"/>
      <c r="QRU25" s="197"/>
      <c r="QRV25" s="197"/>
      <c r="QRW25" s="197"/>
      <c r="QRX25" s="197"/>
      <c r="QRY25" s="197"/>
      <c r="QRZ25" s="197"/>
      <c r="QSA25" s="197"/>
      <c r="QSB25" s="197"/>
      <c r="QSC25" s="197"/>
      <c r="QSD25" s="197"/>
      <c r="QSE25" s="197"/>
      <c r="QSF25" s="197"/>
      <c r="QSG25" s="197"/>
      <c r="QSH25" s="197"/>
      <c r="QSI25" s="197"/>
      <c r="QSJ25" s="197"/>
      <c r="QSK25" s="197"/>
      <c r="QSL25" s="197"/>
      <c r="QSM25" s="197"/>
      <c r="QSN25" s="197"/>
      <c r="QSO25" s="197"/>
      <c r="QSP25" s="197"/>
      <c r="QSQ25" s="197"/>
      <c r="QSR25" s="197"/>
      <c r="QSS25" s="197"/>
      <c r="QST25" s="197"/>
      <c r="QSU25" s="197"/>
      <c r="QSV25" s="197"/>
      <c r="QSW25" s="197"/>
      <c r="QSX25" s="197"/>
      <c r="QSY25" s="197"/>
      <c r="QSZ25" s="197"/>
      <c r="QTA25" s="197"/>
      <c r="QTB25" s="197"/>
      <c r="QTC25" s="197"/>
      <c r="QTD25" s="197"/>
      <c r="QTE25" s="197"/>
      <c r="QTF25" s="197"/>
      <c r="QTG25" s="197"/>
      <c r="QTH25" s="197"/>
      <c r="QTI25" s="197"/>
      <c r="QTJ25" s="197"/>
      <c r="QTK25" s="197"/>
      <c r="QTL25" s="197"/>
      <c r="QTM25" s="197"/>
      <c r="QTN25" s="197"/>
      <c r="QTO25" s="197"/>
      <c r="QTP25" s="197"/>
      <c r="QTQ25" s="197"/>
      <c r="QTR25" s="197"/>
      <c r="QTS25" s="197"/>
      <c r="QTT25" s="197"/>
      <c r="QTU25" s="197"/>
      <c r="QTV25" s="197"/>
      <c r="QTW25" s="197"/>
      <c r="QTX25" s="197"/>
      <c r="QTY25" s="197"/>
      <c r="QTZ25" s="197"/>
      <c r="QUA25" s="197"/>
      <c r="QUB25" s="197"/>
      <c r="QUC25" s="197"/>
      <c r="QUD25" s="197"/>
      <c r="QUE25" s="197"/>
      <c r="QUF25" s="197"/>
      <c r="QUG25" s="197"/>
      <c r="QUH25" s="197"/>
      <c r="QUI25" s="197"/>
      <c r="QUJ25" s="197"/>
      <c r="QUK25" s="197"/>
      <c r="QUL25" s="197"/>
      <c r="QUM25" s="197"/>
      <c r="QUN25" s="197"/>
      <c r="QUO25" s="197"/>
      <c r="QUP25" s="197"/>
      <c r="QUQ25" s="197"/>
      <c r="QUR25" s="197"/>
      <c r="QUS25" s="197"/>
      <c r="QUT25" s="197"/>
      <c r="QUU25" s="197"/>
      <c r="QUV25" s="197"/>
      <c r="QUW25" s="197"/>
      <c r="QUX25" s="197"/>
      <c r="QUY25" s="197"/>
      <c r="QUZ25" s="197"/>
      <c r="QVA25" s="197"/>
      <c r="QVB25" s="197"/>
      <c r="QVC25" s="197"/>
      <c r="QVD25" s="197"/>
      <c r="QVE25" s="197"/>
      <c r="QVF25" s="197"/>
      <c r="QVG25" s="197"/>
      <c r="QVH25" s="197"/>
      <c r="QVI25" s="197"/>
      <c r="QVJ25" s="197"/>
      <c r="QVK25" s="197"/>
      <c r="QVL25" s="197"/>
      <c r="QVM25" s="197"/>
      <c r="QVN25" s="197"/>
      <c r="QVO25" s="197"/>
      <c r="QVP25" s="197"/>
      <c r="QVQ25" s="197"/>
      <c r="QVR25" s="197"/>
      <c r="QVS25" s="197"/>
      <c r="QVT25" s="197"/>
      <c r="QVU25" s="197"/>
      <c r="QVV25" s="197"/>
      <c r="QVW25" s="197"/>
      <c r="QVX25" s="197"/>
      <c r="QVY25" s="197"/>
      <c r="QVZ25" s="197"/>
      <c r="QWA25" s="197"/>
      <c r="QWB25" s="197"/>
      <c r="QWC25" s="197"/>
      <c r="QWD25" s="197"/>
      <c r="QWE25" s="197"/>
      <c r="QWF25" s="197"/>
      <c r="QWG25" s="197"/>
      <c r="QWH25" s="197"/>
      <c r="QWI25" s="197"/>
      <c r="QWJ25" s="197"/>
      <c r="QWK25" s="197"/>
      <c r="QWL25" s="197"/>
      <c r="QWM25" s="197"/>
      <c r="QWN25" s="197"/>
      <c r="QWO25" s="197"/>
      <c r="QWP25" s="197"/>
      <c r="QWQ25" s="197"/>
      <c r="QWR25" s="197"/>
      <c r="QWS25" s="197"/>
      <c r="QWT25" s="197"/>
      <c r="QWU25" s="197"/>
      <c r="QWV25" s="197"/>
      <c r="QWW25" s="197"/>
      <c r="QWX25" s="197"/>
      <c r="QWY25" s="197"/>
      <c r="QWZ25" s="197"/>
      <c r="QXA25" s="197"/>
      <c r="QXB25" s="197"/>
      <c r="QXC25" s="197"/>
      <c r="QXD25" s="197"/>
      <c r="QXE25" s="197"/>
      <c r="QXF25" s="197"/>
      <c r="QXG25" s="197"/>
      <c r="QXH25" s="197"/>
      <c r="QXI25" s="197"/>
      <c r="QXJ25" s="197"/>
      <c r="QXK25" s="197"/>
      <c r="QXL25" s="197"/>
      <c r="QXM25" s="197"/>
      <c r="QXN25" s="197"/>
      <c r="QXO25" s="197"/>
      <c r="QXP25" s="197"/>
      <c r="QXQ25" s="197"/>
      <c r="QXR25" s="197"/>
      <c r="QXS25" s="197"/>
      <c r="QXT25" s="197"/>
      <c r="QXU25" s="197"/>
      <c r="QXV25" s="197"/>
      <c r="QXW25" s="197"/>
      <c r="QXX25" s="197"/>
      <c r="QXY25" s="197"/>
      <c r="QXZ25" s="197"/>
      <c r="QYA25" s="197"/>
      <c r="QYB25" s="197"/>
      <c r="QYC25" s="197"/>
      <c r="QYD25" s="197"/>
      <c r="QYE25" s="197"/>
      <c r="QYF25" s="197"/>
      <c r="QYG25" s="197"/>
      <c r="QYH25" s="197"/>
      <c r="QYI25" s="197"/>
      <c r="QYJ25" s="197"/>
      <c r="QYK25" s="197"/>
      <c r="QYL25" s="197"/>
      <c r="QYM25" s="197"/>
      <c r="QYN25" s="197"/>
      <c r="QYO25" s="197"/>
      <c r="QYP25" s="197"/>
      <c r="QYQ25" s="197"/>
      <c r="QYR25" s="197"/>
      <c r="QYS25" s="197"/>
      <c r="QYT25" s="197"/>
      <c r="QYU25" s="197"/>
      <c r="QYV25" s="197"/>
      <c r="QYW25" s="197"/>
      <c r="QYX25" s="197"/>
      <c r="QYY25" s="197"/>
      <c r="QYZ25" s="197"/>
      <c r="QZA25" s="197"/>
      <c r="QZB25" s="197"/>
      <c r="QZC25" s="197"/>
      <c r="QZD25" s="197"/>
      <c r="QZE25" s="197"/>
      <c r="QZF25" s="197"/>
      <c r="QZG25" s="197"/>
      <c r="QZH25" s="197"/>
      <c r="QZI25" s="197"/>
      <c r="QZJ25" s="197"/>
      <c r="QZK25" s="197"/>
      <c r="QZL25" s="197"/>
      <c r="QZM25" s="197"/>
      <c r="QZN25" s="197"/>
      <c r="QZO25" s="197"/>
      <c r="QZP25" s="197"/>
      <c r="QZQ25" s="197"/>
      <c r="QZR25" s="197"/>
      <c r="QZS25" s="197"/>
      <c r="QZT25" s="197"/>
      <c r="QZU25" s="197"/>
      <c r="QZV25" s="197"/>
      <c r="QZW25" s="197"/>
      <c r="QZX25" s="197"/>
      <c r="QZY25" s="197"/>
      <c r="QZZ25" s="197"/>
      <c r="RAA25" s="197"/>
      <c r="RAB25" s="197"/>
      <c r="RAC25" s="197"/>
      <c r="RAD25" s="197"/>
      <c r="RAE25" s="197"/>
      <c r="RAF25" s="197"/>
      <c r="RAG25" s="197"/>
      <c r="RAH25" s="197"/>
      <c r="RAI25" s="197"/>
      <c r="RAJ25" s="197"/>
      <c r="RAK25" s="197"/>
      <c r="RAL25" s="197"/>
      <c r="RAM25" s="197"/>
      <c r="RAN25" s="197"/>
      <c r="RAO25" s="197"/>
      <c r="RAP25" s="197"/>
      <c r="RAQ25" s="197"/>
      <c r="RAR25" s="197"/>
      <c r="RAS25" s="197"/>
      <c r="RAT25" s="197"/>
      <c r="RAU25" s="197"/>
      <c r="RAV25" s="197"/>
      <c r="RAW25" s="197"/>
      <c r="RAX25" s="197"/>
      <c r="RAY25" s="197"/>
      <c r="RAZ25" s="197"/>
      <c r="RBA25" s="197"/>
      <c r="RBB25" s="197"/>
      <c r="RBC25" s="197"/>
      <c r="RBD25" s="197"/>
      <c r="RBE25" s="197"/>
      <c r="RBF25" s="197"/>
      <c r="RBG25" s="197"/>
      <c r="RBH25" s="197"/>
      <c r="RBI25" s="197"/>
      <c r="RBJ25" s="197"/>
      <c r="RBK25" s="197"/>
      <c r="RBL25" s="197"/>
      <c r="RBM25" s="197"/>
      <c r="RBN25" s="197"/>
      <c r="RBO25" s="197"/>
      <c r="RBP25" s="197"/>
      <c r="RBQ25" s="197"/>
      <c r="RBR25" s="197"/>
      <c r="RBS25" s="197"/>
      <c r="RBT25" s="197"/>
      <c r="RBU25" s="197"/>
      <c r="RBV25" s="197"/>
      <c r="RBW25" s="197"/>
      <c r="RBX25" s="197"/>
      <c r="RBY25" s="197"/>
      <c r="RBZ25" s="197"/>
      <c r="RCA25" s="197"/>
      <c r="RCB25" s="197"/>
      <c r="RCC25" s="197"/>
      <c r="RCD25" s="197"/>
      <c r="RCE25" s="197"/>
      <c r="RCF25" s="197"/>
      <c r="RCG25" s="197"/>
      <c r="RCH25" s="197"/>
      <c r="RCI25" s="197"/>
      <c r="RCJ25" s="197"/>
      <c r="RCK25" s="197"/>
      <c r="RCL25" s="197"/>
      <c r="RCM25" s="197"/>
      <c r="RCN25" s="197"/>
      <c r="RCO25" s="197"/>
      <c r="RCP25" s="197"/>
      <c r="RCQ25" s="197"/>
      <c r="RCR25" s="197"/>
      <c r="RCS25" s="197"/>
      <c r="RCT25" s="197"/>
      <c r="RCU25" s="197"/>
      <c r="RCV25" s="197"/>
      <c r="RCW25" s="197"/>
      <c r="RCX25" s="197"/>
      <c r="RCY25" s="197"/>
      <c r="RCZ25" s="197"/>
      <c r="RDA25" s="197"/>
      <c r="RDB25" s="197"/>
      <c r="RDC25" s="197"/>
      <c r="RDD25" s="197"/>
      <c r="RDE25" s="197"/>
      <c r="RDF25" s="197"/>
      <c r="RDG25" s="197"/>
      <c r="RDH25" s="197"/>
      <c r="RDI25" s="197"/>
      <c r="RDJ25" s="197"/>
      <c r="RDK25" s="197"/>
      <c r="RDL25" s="197"/>
      <c r="RDM25" s="197"/>
      <c r="RDN25" s="197"/>
      <c r="RDO25" s="197"/>
      <c r="RDP25" s="197"/>
      <c r="RDQ25" s="197"/>
      <c r="RDR25" s="197"/>
      <c r="RDS25" s="197"/>
      <c r="RDT25" s="197"/>
      <c r="RDU25" s="197"/>
      <c r="RDV25" s="197"/>
      <c r="RDW25" s="197"/>
      <c r="RDX25" s="197"/>
      <c r="RDY25" s="197"/>
      <c r="RDZ25" s="197"/>
      <c r="REA25" s="197"/>
      <c r="REB25" s="197"/>
      <c r="REC25" s="197"/>
      <c r="RED25" s="197"/>
      <c r="REE25" s="197"/>
      <c r="REF25" s="197"/>
      <c r="REG25" s="197"/>
      <c r="REH25" s="197"/>
      <c r="REI25" s="197"/>
      <c r="REJ25" s="197"/>
      <c r="REK25" s="197"/>
      <c r="REL25" s="197"/>
      <c r="REM25" s="197"/>
      <c r="REN25" s="197"/>
      <c r="REO25" s="197"/>
      <c r="REP25" s="197"/>
      <c r="REQ25" s="197"/>
      <c r="RER25" s="197"/>
      <c r="RES25" s="197"/>
      <c r="RET25" s="197"/>
      <c r="REU25" s="197"/>
      <c r="REV25" s="197"/>
      <c r="REW25" s="197"/>
      <c r="REX25" s="197"/>
      <c r="REY25" s="197"/>
      <c r="REZ25" s="197"/>
      <c r="RFA25" s="197"/>
      <c r="RFB25" s="197"/>
      <c r="RFC25" s="197"/>
      <c r="RFD25" s="197"/>
      <c r="RFE25" s="197"/>
      <c r="RFF25" s="197"/>
      <c r="RFG25" s="197"/>
      <c r="RFH25" s="197"/>
      <c r="RFI25" s="197"/>
      <c r="RFJ25" s="197"/>
      <c r="RFK25" s="197"/>
      <c r="RFL25" s="197"/>
      <c r="RFM25" s="197"/>
      <c r="RFN25" s="197"/>
      <c r="RFO25" s="197"/>
      <c r="RFP25" s="197"/>
      <c r="RFQ25" s="197"/>
      <c r="RFR25" s="197"/>
      <c r="RFS25" s="197"/>
      <c r="RFT25" s="197"/>
      <c r="RFU25" s="197"/>
      <c r="RFV25" s="197"/>
      <c r="RFW25" s="197"/>
      <c r="RFX25" s="197"/>
      <c r="RFY25" s="197"/>
      <c r="RFZ25" s="197"/>
      <c r="RGA25" s="197"/>
      <c r="RGB25" s="197"/>
      <c r="RGC25" s="197"/>
      <c r="RGD25" s="197"/>
      <c r="RGE25" s="197"/>
      <c r="RGF25" s="197"/>
      <c r="RGG25" s="197"/>
      <c r="RGH25" s="197"/>
      <c r="RGI25" s="197"/>
      <c r="RGJ25" s="197"/>
      <c r="RGK25" s="197"/>
      <c r="RGL25" s="197"/>
      <c r="RGM25" s="197"/>
      <c r="RGN25" s="197"/>
      <c r="RGO25" s="197"/>
      <c r="RGP25" s="197"/>
      <c r="RGQ25" s="197"/>
      <c r="RGR25" s="197"/>
      <c r="RGS25" s="197"/>
      <c r="RGT25" s="197"/>
      <c r="RGU25" s="197"/>
      <c r="RGV25" s="197"/>
      <c r="RGW25" s="197"/>
      <c r="RGX25" s="197"/>
      <c r="RGY25" s="197"/>
      <c r="RGZ25" s="197"/>
      <c r="RHA25" s="197"/>
      <c r="RHB25" s="197"/>
      <c r="RHC25" s="197"/>
      <c r="RHD25" s="197"/>
      <c r="RHE25" s="197"/>
      <c r="RHF25" s="197"/>
      <c r="RHG25" s="197"/>
      <c r="RHH25" s="197"/>
      <c r="RHI25" s="197"/>
      <c r="RHJ25" s="197"/>
      <c r="RHK25" s="197"/>
      <c r="RHL25" s="197"/>
      <c r="RHM25" s="197"/>
      <c r="RHN25" s="197"/>
      <c r="RHO25" s="197"/>
      <c r="RHP25" s="197"/>
      <c r="RHQ25" s="197"/>
      <c r="RHR25" s="197"/>
      <c r="RHS25" s="197"/>
      <c r="RHT25" s="197"/>
      <c r="RHU25" s="197"/>
      <c r="RHV25" s="197"/>
      <c r="RHW25" s="197"/>
      <c r="RHX25" s="197"/>
      <c r="RHY25" s="197"/>
      <c r="RHZ25" s="197"/>
      <c r="RIA25" s="197"/>
      <c r="RIB25" s="197"/>
      <c r="RIC25" s="197"/>
      <c r="RID25" s="197"/>
      <c r="RIE25" s="197"/>
      <c r="RIF25" s="197"/>
      <c r="RIG25" s="197"/>
      <c r="RIH25" s="197"/>
      <c r="RII25" s="197"/>
      <c r="RIJ25" s="197"/>
      <c r="RIK25" s="197"/>
      <c r="RIL25" s="197"/>
      <c r="RIM25" s="197"/>
      <c r="RIN25" s="197"/>
      <c r="RIO25" s="197"/>
      <c r="RIP25" s="197"/>
      <c r="RIQ25" s="197"/>
      <c r="RIR25" s="197"/>
      <c r="RIS25" s="197"/>
      <c r="RIT25" s="197"/>
      <c r="RIU25" s="197"/>
      <c r="RIV25" s="197"/>
      <c r="RIW25" s="197"/>
      <c r="RIX25" s="197"/>
      <c r="RIY25" s="197"/>
      <c r="RIZ25" s="197"/>
      <c r="RJA25" s="197"/>
      <c r="RJB25" s="197"/>
      <c r="RJC25" s="197"/>
      <c r="RJD25" s="197"/>
      <c r="RJE25" s="197"/>
      <c r="RJF25" s="197"/>
      <c r="RJG25" s="197"/>
      <c r="RJH25" s="197"/>
      <c r="RJI25" s="197"/>
      <c r="RJJ25" s="197"/>
      <c r="RJK25" s="197"/>
      <c r="RJL25" s="197"/>
      <c r="RJM25" s="197"/>
      <c r="RJN25" s="197"/>
      <c r="RJO25" s="197"/>
      <c r="RJP25" s="197"/>
      <c r="RJQ25" s="197"/>
      <c r="RJR25" s="197"/>
      <c r="RJS25" s="197"/>
      <c r="RJT25" s="197"/>
      <c r="RJU25" s="197"/>
      <c r="RJV25" s="197"/>
      <c r="RJW25" s="197"/>
      <c r="RJX25" s="197"/>
      <c r="RJY25" s="197"/>
      <c r="RJZ25" s="197"/>
      <c r="RKA25" s="197"/>
      <c r="RKB25" s="197"/>
      <c r="RKC25" s="197"/>
      <c r="RKD25" s="197"/>
      <c r="RKE25" s="197"/>
      <c r="RKF25" s="197"/>
      <c r="RKG25" s="197"/>
      <c r="RKH25" s="197"/>
      <c r="RKI25" s="197"/>
      <c r="RKJ25" s="197"/>
      <c r="RKK25" s="197"/>
      <c r="RKL25" s="197"/>
      <c r="RKM25" s="197"/>
      <c r="RKN25" s="197"/>
      <c r="RKO25" s="197"/>
      <c r="RKP25" s="197"/>
      <c r="RKQ25" s="197"/>
      <c r="RKR25" s="197"/>
      <c r="RKS25" s="197"/>
      <c r="RKT25" s="197"/>
      <c r="RKU25" s="197"/>
      <c r="RKV25" s="197"/>
      <c r="RKW25" s="197"/>
      <c r="RKX25" s="197"/>
      <c r="RKY25" s="197"/>
      <c r="RKZ25" s="197"/>
      <c r="RLA25" s="197"/>
      <c r="RLB25" s="197"/>
      <c r="RLC25" s="197"/>
      <c r="RLD25" s="197"/>
      <c r="RLE25" s="197"/>
      <c r="RLF25" s="197"/>
      <c r="RLG25" s="197"/>
      <c r="RLH25" s="197"/>
      <c r="RLI25" s="197"/>
      <c r="RLJ25" s="197"/>
      <c r="RLK25" s="197"/>
      <c r="RLL25" s="197"/>
      <c r="RLM25" s="197"/>
      <c r="RLN25" s="197"/>
      <c r="RLO25" s="197"/>
      <c r="RLP25" s="197"/>
      <c r="RLQ25" s="197"/>
      <c r="RLR25" s="197"/>
      <c r="RLS25" s="197"/>
      <c r="RLT25" s="197"/>
      <c r="RLU25" s="197"/>
      <c r="RLV25" s="197"/>
      <c r="RLW25" s="197"/>
      <c r="RLX25" s="197"/>
      <c r="RLY25" s="197"/>
      <c r="RLZ25" s="197"/>
      <c r="RMA25" s="197"/>
      <c r="RMB25" s="197"/>
      <c r="RMC25" s="197"/>
      <c r="RMD25" s="197"/>
      <c r="RME25" s="197"/>
      <c r="RMF25" s="197"/>
      <c r="RMG25" s="197"/>
      <c r="RMH25" s="197"/>
      <c r="RMI25" s="197"/>
      <c r="RMJ25" s="197"/>
      <c r="RMK25" s="197"/>
      <c r="RML25" s="197"/>
      <c r="RMM25" s="197"/>
      <c r="RMN25" s="197"/>
      <c r="RMO25" s="197"/>
      <c r="RMP25" s="197"/>
      <c r="RMQ25" s="197"/>
      <c r="RMR25" s="197"/>
      <c r="RMS25" s="197"/>
      <c r="RMT25" s="197"/>
      <c r="RMU25" s="197"/>
      <c r="RMV25" s="197"/>
      <c r="RMW25" s="197"/>
      <c r="RMX25" s="197"/>
      <c r="RMY25" s="197"/>
      <c r="RMZ25" s="197"/>
      <c r="RNA25" s="197"/>
      <c r="RNB25" s="197"/>
      <c r="RNC25" s="197"/>
      <c r="RND25" s="197"/>
      <c r="RNE25" s="197"/>
      <c r="RNF25" s="197"/>
      <c r="RNG25" s="197"/>
      <c r="RNH25" s="197"/>
      <c r="RNI25" s="197"/>
      <c r="RNJ25" s="197"/>
      <c r="RNK25" s="197"/>
      <c r="RNL25" s="197"/>
      <c r="RNM25" s="197"/>
      <c r="RNN25" s="197"/>
      <c r="RNO25" s="197"/>
      <c r="RNP25" s="197"/>
      <c r="RNQ25" s="197"/>
      <c r="RNR25" s="197"/>
      <c r="RNS25" s="197"/>
      <c r="RNT25" s="197"/>
      <c r="RNU25" s="197"/>
      <c r="RNV25" s="197"/>
      <c r="RNW25" s="197"/>
      <c r="RNX25" s="197"/>
      <c r="RNY25" s="197"/>
      <c r="RNZ25" s="197"/>
      <c r="ROA25" s="197"/>
      <c r="ROB25" s="197"/>
      <c r="ROC25" s="197"/>
      <c r="ROD25" s="197"/>
      <c r="ROE25" s="197"/>
      <c r="ROF25" s="197"/>
      <c r="ROG25" s="197"/>
      <c r="ROH25" s="197"/>
      <c r="ROI25" s="197"/>
      <c r="ROJ25" s="197"/>
      <c r="ROK25" s="197"/>
      <c r="ROL25" s="197"/>
      <c r="ROM25" s="197"/>
      <c r="RON25" s="197"/>
      <c r="ROO25" s="197"/>
      <c r="ROP25" s="197"/>
      <c r="ROQ25" s="197"/>
      <c r="ROR25" s="197"/>
      <c r="ROS25" s="197"/>
      <c r="ROT25" s="197"/>
      <c r="ROU25" s="197"/>
      <c r="ROV25" s="197"/>
      <c r="ROW25" s="197"/>
      <c r="ROX25" s="197"/>
      <c r="ROY25" s="197"/>
      <c r="ROZ25" s="197"/>
      <c r="RPA25" s="197"/>
      <c r="RPB25" s="197"/>
      <c r="RPC25" s="197"/>
      <c r="RPD25" s="197"/>
      <c r="RPE25" s="197"/>
      <c r="RPF25" s="197"/>
      <c r="RPG25" s="197"/>
      <c r="RPH25" s="197"/>
      <c r="RPI25" s="197"/>
      <c r="RPJ25" s="197"/>
      <c r="RPK25" s="197"/>
      <c r="RPL25" s="197"/>
      <c r="RPM25" s="197"/>
      <c r="RPN25" s="197"/>
      <c r="RPO25" s="197"/>
      <c r="RPP25" s="197"/>
      <c r="RPQ25" s="197"/>
      <c r="RPR25" s="197"/>
      <c r="RPS25" s="197"/>
      <c r="RPT25" s="197"/>
      <c r="RPU25" s="197"/>
      <c r="RPV25" s="197"/>
      <c r="RPW25" s="197"/>
      <c r="RPX25" s="197"/>
      <c r="RPY25" s="197"/>
      <c r="RPZ25" s="197"/>
      <c r="RQA25" s="197"/>
      <c r="RQB25" s="197"/>
      <c r="RQC25" s="197"/>
      <c r="RQD25" s="197"/>
      <c r="RQE25" s="197"/>
      <c r="RQF25" s="197"/>
      <c r="RQG25" s="197"/>
      <c r="RQH25" s="197"/>
      <c r="RQI25" s="197"/>
      <c r="RQJ25" s="197"/>
      <c r="RQK25" s="197"/>
      <c r="RQL25" s="197"/>
      <c r="RQM25" s="197"/>
      <c r="RQN25" s="197"/>
      <c r="RQO25" s="197"/>
      <c r="RQP25" s="197"/>
      <c r="RQQ25" s="197"/>
      <c r="RQR25" s="197"/>
      <c r="RQS25" s="197"/>
      <c r="RQT25" s="197"/>
      <c r="RQU25" s="197"/>
      <c r="RQV25" s="197"/>
      <c r="RQW25" s="197"/>
      <c r="RQX25" s="197"/>
      <c r="RQY25" s="197"/>
      <c r="RQZ25" s="197"/>
      <c r="RRA25" s="197"/>
      <c r="RRB25" s="197"/>
      <c r="RRC25" s="197"/>
      <c r="RRD25" s="197"/>
      <c r="RRE25" s="197"/>
      <c r="RRF25" s="197"/>
      <c r="RRG25" s="197"/>
      <c r="RRH25" s="197"/>
      <c r="RRI25" s="197"/>
      <c r="RRJ25" s="197"/>
      <c r="RRK25" s="197"/>
      <c r="RRL25" s="197"/>
      <c r="RRM25" s="197"/>
      <c r="RRN25" s="197"/>
      <c r="RRO25" s="197"/>
      <c r="RRP25" s="197"/>
      <c r="RRQ25" s="197"/>
      <c r="RRR25" s="197"/>
      <c r="RRS25" s="197"/>
      <c r="RRT25" s="197"/>
      <c r="RRU25" s="197"/>
      <c r="RRV25" s="197"/>
      <c r="RRW25" s="197"/>
      <c r="RRX25" s="197"/>
      <c r="RRY25" s="197"/>
      <c r="RRZ25" s="197"/>
      <c r="RSA25" s="197"/>
      <c r="RSB25" s="197"/>
      <c r="RSC25" s="197"/>
      <c r="RSD25" s="197"/>
      <c r="RSE25" s="197"/>
      <c r="RSF25" s="197"/>
      <c r="RSG25" s="197"/>
      <c r="RSH25" s="197"/>
      <c r="RSI25" s="197"/>
      <c r="RSJ25" s="197"/>
      <c r="RSK25" s="197"/>
      <c r="RSL25" s="197"/>
      <c r="RSM25" s="197"/>
      <c r="RSN25" s="197"/>
      <c r="RSO25" s="197"/>
      <c r="RSP25" s="197"/>
      <c r="RSQ25" s="197"/>
      <c r="RSR25" s="197"/>
      <c r="RSS25" s="197"/>
      <c r="RST25" s="197"/>
      <c r="RSU25" s="197"/>
      <c r="RSV25" s="197"/>
      <c r="RSW25" s="197"/>
      <c r="RSX25" s="197"/>
      <c r="RSY25" s="197"/>
      <c r="RSZ25" s="197"/>
      <c r="RTA25" s="197"/>
      <c r="RTB25" s="197"/>
      <c r="RTC25" s="197"/>
      <c r="RTD25" s="197"/>
      <c r="RTE25" s="197"/>
      <c r="RTF25" s="197"/>
      <c r="RTG25" s="197"/>
      <c r="RTH25" s="197"/>
      <c r="RTI25" s="197"/>
      <c r="RTJ25" s="197"/>
      <c r="RTK25" s="197"/>
      <c r="RTL25" s="197"/>
      <c r="RTM25" s="197"/>
      <c r="RTN25" s="197"/>
      <c r="RTO25" s="197"/>
      <c r="RTP25" s="197"/>
      <c r="RTQ25" s="197"/>
      <c r="RTR25" s="197"/>
      <c r="RTS25" s="197"/>
      <c r="RTT25" s="197"/>
      <c r="RTU25" s="197"/>
      <c r="RTV25" s="197"/>
      <c r="RTW25" s="197"/>
      <c r="RTX25" s="197"/>
      <c r="RTY25" s="197"/>
      <c r="RTZ25" s="197"/>
      <c r="RUA25" s="197"/>
      <c r="RUB25" s="197"/>
      <c r="RUC25" s="197"/>
      <c r="RUD25" s="197"/>
      <c r="RUE25" s="197"/>
      <c r="RUF25" s="197"/>
      <c r="RUG25" s="197"/>
      <c r="RUH25" s="197"/>
      <c r="RUI25" s="197"/>
      <c r="RUJ25" s="197"/>
      <c r="RUK25" s="197"/>
      <c r="RUL25" s="197"/>
      <c r="RUM25" s="197"/>
      <c r="RUN25" s="197"/>
      <c r="RUO25" s="197"/>
      <c r="RUP25" s="197"/>
      <c r="RUQ25" s="197"/>
      <c r="RUR25" s="197"/>
      <c r="RUS25" s="197"/>
      <c r="RUT25" s="197"/>
      <c r="RUU25" s="197"/>
      <c r="RUV25" s="197"/>
      <c r="RUW25" s="197"/>
      <c r="RUX25" s="197"/>
      <c r="RUY25" s="197"/>
      <c r="RUZ25" s="197"/>
      <c r="RVA25" s="197"/>
      <c r="RVB25" s="197"/>
      <c r="RVC25" s="197"/>
      <c r="RVD25" s="197"/>
      <c r="RVE25" s="197"/>
      <c r="RVF25" s="197"/>
      <c r="RVG25" s="197"/>
      <c r="RVH25" s="197"/>
      <c r="RVI25" s="197"/>
      <c r="RVJ25" s="197"/>
      <c r="RVK25" s="197"/>
      <c r="RVL25" s="197"/>
      <c r="RVM25" s="197"/>
      <c r="RVN25" s="197"/>
      <c r="RVO25" s="197"/>
      <c r="RVP25" s="197"/>
      <c r="RVQ25" s="197"/>
      <c r="RVR25" s="197"/>
      <c r="RVS25" s="197"/>
      <c r="RVT25" s="197"/>
      <c r="RVU25" s="197"/>
      <c r="RVV25" s="197"/>
      <c r="RVW25" s="197"/>
      <c r="RVX25" s="197"/>
      <c r="RVY25" s="197"/>
      <c r="RVZ25" s="197"/>
      <c r="RWA25" s="197"/>
      <c r="RWB25" s="197"/>
      <c r="RWC25" s="197"/>
      <c r="RWD25" s="197"/>
      <c r="RWE25" s="197"/>
      <c r="RWF25" s="197"/>
      <c r="RWG25" s="197"/>
      <c r="RWH25" s="197"/>
      <c r="RWI25" s="197"/>
      <c r="RWJ25" s="197"/>
      <c r="RWK25" s="197"/>
      <c r="RWL25" s="197"/>
      <c r="RWM25" s="197"/>
      <c r="RWN25" s="197"/>
      <c r="RWO25" s="197"/>
      <c r="RWP25" s="197"/>
      <c r="RWQ25" s="197"/>
      <c r="RWR25" s="197"/>
      <c r="RWS25" s="197"/>
      <c r="RWT25" s="197"/>
      <c r="RWU25" s="197"/>
      <c r="RWV25" s="197"/>
      <c r="RWW25" s="197"/>
      <c r="RWX25" s="197"/>
      <c r="RWY25" s="197"/>
      <c r="RWZ25" s="197"/>
      <c r="RXA25" s="197"/>
      <c r="RXB25" s="197"/>
      <c r="RXC25" s="197"/>
      <c r="RXD25" s="197"/>
      <c r="RXE25" s="197"/>
      <c r="RXF25" s="197"/>
      <c r="RXG25" s="197"/>
      <c r="RXH25" s="197"/>
      <c r="RXI25" s="197"/>
      <c r="RXJ25" s="197"/>
      <c r="RXK25" s="197"/>
      <c r="RXL25" s="197"/>
      <c r="RXM25" s="197"/>
      <c r="RXN25" s="197"/>
      <c r="RXO25" s="197"/>
      <c r="RXP25" s="197"/>
      <c r="RXQ25" s="197"/>
      <c r="RXR25" s="197"/>
      <c r="RXS25" s="197"/>
      <c r="RXT25" s="197"/>
      <c r="RXU25" s="197"/>
      <c r="RXV25" s="197"/>
      <c r="RXW25" s="197"/>
      <c r="RXX25" s="197"/>
      <c r="RXY25" s="197"/>
      <c r="RXZ25" s="197"/>
      <c r="RYA25" s="197"/>
      <c r="RYB25" s="197"/>
      <c r="RYC25" s="197"/>
      <c r="RYD25" s="197"/>
      <c r="RYE25" s="197"/>
      <c r="RYF25" s="197"/>
      <c r="RYG25" s="197"/>
      <c r="RYH25" s="197"/>
      <c r="RYI25" s="197"/>
      <c r="RYJ25" s="197"/>
      <c r="RYK25" s="197"/>
      <c r="RYL25" s="197"/>
      <c r="RYM25" s="197"/>
      <c r="RYN25" s="197"/>
      <c r="RYO25" s="197"/>
      <c r="RYP25" s="197"/>
      <c r="RYQ25" s="197"/>
      <c r="RYR25" s="197"/>
      <c r="RYS25" s="197"/>
      <c r="RYT25" s="197"/>
      <c r="RYU25" s="197"/>
      <c r="RYV25" s="197"/>
      <c r="RYW25" s="197"/>
      <c r="RYX25" s="197"/>
      <c r="RYY25" s="197"/>
      <c r="RYZ25" s="197"/>
      <c r="RZA25" s="197"/>
      <c r="RZB25" s="197"/>
      <c r="RZC25" s="197"/>
      <c r="RZD25" s="197"/>
      <c r="RZE25" s="197"/>
      <c r="RZF25" s="197"/>
      <c r="RZG25" s="197"/>
      <c r="RZH25" s="197"/>
      <c r="RZI25" s="197"/>
      <c r="RZJ25" s="197"/>
      <c r="RZK25" s="197"/>
      <c r="RZL25" s="197"/>
      <c r="RZM25" s="197"/>
      <c r="RZN25" s="197"/>
      <c r="RZO25" s="197"/>
      <c r="RZP25" s="197"/>
      <c r="RZQ25" s="197"/>
      <c r="RZR25" s="197"/>
      <c r="RZS25" s="197"/>
      <c r="RZT25" s="197"/>
      <c r="RZU25" s="197"/>
      <c r="RZV25" s="197"/>
      <c r="RZW25" s="197"/>
      <c r="RZX25" s="197"/>
      <c r="RZY25" s="197"/>
      <c r="RZZ25" s="197"/>
      <c r="SAA25" s="197"/>
      <c r="SAB25" s="197"/>
      <c r="SAC25" s="197"/>
      <c r="SAD25" s="197"/>
      <c r="SAE25" s="197"/>
      <c r="SAF25" s="197"/>
      <c r="SAG25" s="197"/>
      <c r="SAH25" s="197"/>
      <c r="SAI25" s="197"/>
      <c r="SAJ25" s="197"/>
      <c r="SAK25" s="197"/>
      <c r="SAL25" s="197"/>
      <c r="SAM25" s="197"/>
      <c r="SAN25" s="197"/>
      <c r="SAO25" s="197"/>
      <c r="SAP25" s="197"/>
      <c r="SAQ25" s="197"/>
      <c r="SAR25" s="197"/>
      <c r="SAS25" s="197"/>
      <c r="SAT25" s="197"/>
      <c r="SAU25" s="197"/>
      <c r="SAV25" s="197"/>
      <c r="SAW25" s="197"/>
      <c r="SAX25" s="197"/>
      <c r="SAY25" s="197"/>
      <c r="SAZ25" s="197"/>
      <c r="SBA25" s="197"/>
      <c r="SBB25" s="197"/>
      <c r="SBC25" s="197"/>
      <c r="SBD25" s="197"/>
      <c r="SBE25" s="197"/>
      <c r="SBF25" s="197"/>
      <c r="SBG25" s="197"/>
      <c r="SBH25" s="197"/>
      <c r="SBI25" s="197"/>
      <c r="SBJ25" s="197"/>
      <c r="SBK25" s="197"/>
      <c r="SBL25" s="197"/>
      <c r="SBM25" s="197"/>
      <c r="SBN25" s="197"/>
      <c r="SBO25" s="197"/>
      <c r="SBP25" s="197"/>
      <c r="SBQ25" s="197"/>
      <c r="SBR25" s="197"/>
      <c r="SBS25" s="197"/>
      <c r="SBT25" s="197"/>
      <c r="SBU25" s="197"/>
      <c r="SBV25" s="197"/>
      <c r="SBW25" s="197"/>
      <c r="SBX25" s="197"/>
      <c r="SBY25" s="197"/>
      <c r="SBZ25" s="197"/>
      <c r="SCA25" s="197"/>
      <c r="SCB25" s="197"/>
      <c r="SCC25" s="197"/>
      <c r="SCD25" s="197"/>
      <c r="SCE25" s="197"/>
      <c r="SCF25" s="197"/>
      <c r="SCG25" s="197"/>
      <c r="SCH25" s="197"/>
      <c r="SCI25" s="197"/>
      <c r="SCJ25" s="197"/>
      <c r="SCK25" s="197"/>
      <c r="SCL25" s="197"/>
      <c r="SCM25" s="197"/>
      <c r="SCN25" s="197"/>
      <c r="SCO25" s="197"/>
      <c r="SCP25" s="197"/>
      <c r="SCQ25" s="197"/>
      <c r="SCR25" s="197"/>
      <c r="SCS25" s="197"/>
      <c r="SCT25" s="197"/>
      <c r="SCU25" s="197"/>
      <c r="SCV25" s="197"/>
      <c r="SCW25" s="197"/>
      <c r="SCX25" s="197"/>
      <c r="SCY25" s="197"/>
      <c r="SCZ25" s="197"/>
      <c r="SDA25" s="197"/>
      <c r="SDB25" s="197"/>
      <c r="SDC25" s="197"/>
      <c r="SDD25" s="197"/>
      <c r="SDE25" s="197"/>
      <c r="SDF25" s="197"/>
      <c r="SDG25" s="197"/>
      <c r="SDH25" s="197"/>
      <c r="SDI25" s="197"/>
      <c r="SDJ25" s="197"/>
      <c r="SDK25" s="197"/>
      <c r="SDL25" s="197"/>
      <c r="SDM25" s="197"/>
      <c r="SDN25" s="197"/>
      <c r="SDO25" s="197"/>
      <c r="SDP25" s="197"/>
      <c r="SDQ25" s="197"/>
      <c r="SDR25" s="197"/>
      <c r="SDS25" s="197"/>
      <c r="SDT25" s="197"/>
      <c r="SDU25" s="197"/>
      <c r="SDV25" s="197"/>
      <c r="SDW25" s="197"/>
      <c r="SDX25" s="197"/>
      <c r="SDY25" s="197"/>
      <c r="SDZ25" s="197"/>
      <c r="SEA25" s="197"/>
      <c r="SEB25" s="197"/>
      <c r="SEC25" s="197"/>
      <c r="SED25" s="197"/>
      <c r="SEE25" s="197"/>
      <c r="SEF25" s="197"/>
      <c r="SEG25" s="197"/>
      <c r="SEH25" s="197"/>
      <c r="SEI25" s="197"/>
      <c r="SEJ25" s="197"/>
      <c r="SEK25" s="197"/>
      <c r="SEL25" s="197"/>
      <c r="SEM25" s="197"/>
      <c r="SEN25" s="197"/>
      <c r="SEO25" s="197"/>
      <c r="SEP25" s="197"/>
      <c r="SEQ25" s="197"/>
      <c r="SER25" s="197"/>
      <c r="SES25" s="197"/>
      <c r="SET25" s="197"/>
      <c r="SEU25" s="197"/>
      <c r="SEV25" s="197"/>
      <c r="SEW25" s="197"/>
      <c r="SEX25" s="197"/>
      <c r="SEY25" s="197"/>
      <c r="SEZ25" s="197"/>
      <c r="SFA25" s="197"/>
      <c r="SFB25" s="197"/>
      <c r="SFC25" s="197"/>
      <c r="SFD25" s="197"/>
      <c r="SFE25" s="197"/>
      <c r="SFF25" s="197"/>
      <c r="SFG25" s="197"/>
      <c r="SFH25" s="197"/>
      <c r="SFI25" s="197"/>
      <c r="SFJ25" s="197"/>
      <c r="SFK25" s="197"/>
      <c r="SFL25" s="197"/>
      <c r="SFM25" s="197"/>
      <c r="SFN25" s="197"/>
      <c r="SFO25" s="197"/>
      <c r="SFP25" s="197"/>
      <c r="SFQ25" s="197"/>
      <c r="SFR25" s="197"/>
      <c r="SFS25" s="197"/>
      <c r="SFT25" s="197"/>
      <c r="SFU25" s="197"/>
      <c r="SFV25" s="197"/>
      <c r="SFW25" s="197"/>
      <c r="SFX25" s="197"/>
      <c r="SFY25" s="197"/>
      <c r="SFZ25" s="197"/>
      <c r="SGA25" s="197"/>
      <c r="SGB25" s="197"/>
      <c r="SGC25" s="197"/>
      <c r="SGD25" s="197"/>
      <c r="SGE25" s="197"/>
      <c r="SGF25" s="197"/>
      <c r="SGG25" s="197"/>
      <c r="SGH25" s="197"/>
      <c r="SGI25" s="197"/>
      <c r="SGJ25" s="197"/>
      <c r="SGK25" s="197"/>
      <c r="SGL25" s="197"/>
      <c r="SGM25" s="197"/>
      <c r="SGN25" s="197"/>
      <c r="SGO25" s="197"/>
      <c r="SGP25" s="197"/>
      <c r="SGQ25" s="197"/>
      <c r="SGR25" s="197"/>
      <c r="SGS25" s="197"/>
      <c r="SGT25" s="197"/>
      <c r="SGU25" s="197"/>
      <c r="SGV25" s="197"/>
      <c r="SGW25" s="197"/>
      <c r="SGX25" s="197"/>
      <c r="SGY25" s="197"/>
      <c r="SGZ25" s="197"/>
      <c r="SHA25" s="197"/>
      <c r="SHB25" s="197"/>
      <c r="SHC25" s="197"/>
      <c r="SHD25" s="197"/>
      <c r="SHE25" s="197"/>
      <c r="SHF25" s="197"/>
      <c r="SHG25" s="197"/>
      <c r="SHH25" s="197"/>
      <c r="SHI25" s="197"/>
      <c r="SHJ25" s="197"/>
      <c r="SHK25" s="197"/>
      <c r="SHL25" s="197"/>
      <c r="SHM25" s="197"/>
      <c r="SHN25" s="197"/>
      <c r="SHO25" s="197"/>
      <c r="SHP25" s="197"/>
      <c r="SHQ25" s="197"/>
      <c r="SHR25" s="197"/>
      <c r="SHS25" s="197"/>
      <c r="SHT25" s="197"/>
      <c r="SHU25" s="197"/>
      <c r="SHV25" s="197"/>
      <c r="SHW25" s="197"/>
      <c r="SHX25" s="197"/>
      <c r="SHY25" s="197"/>
      <c r="SHZ25" s="197"/>
      <c r="SIA25" s="197"/>
      <c r="SIB25" s="197"/>
      <c r="SIC25" s="197"/>
      <c r="SID25" s="197"/>
      <c r="SIE25" s="197"/>
      <c r="SIF25" s="197"/>
      <c r="SIG25" s="197"/>
      <c r="SIH25" s="197"/>
      <c r="SII25" s="197"/>
      <c r="SIJ25" s="197"/>
      <c r="SIK25" s="197"/>
      <c r="SIL25" s="197"/>
      <c r="SIM25" s="197"/>
      <c r="SIN25" s="197"/>
      <c r="SIO25" s="197"/>
      <c r="SIP25" s="197"/>
      <c r="SIQ25" s="197"/>
      <c r="SIR25" s="197"/>
      <c r="SIS25" s="197"/>
      <c r="SIT25" s="197"/>
      <c r="SIU25" s="197"/>
      <c r="SIV25" s="197"/>
      <c r="SIW25" s="197"/>
      <c r="SIX25" s="197"/>
      <c r="SIY25" s="197"/>
      <c r="SIZ25" s="197"/>
      <c r="SJA25" s="197"/>
      <c r="SJB25" s="197"/>
      <c r="SJC25" s="197"/>
      <c r="SJD25" s="197"/>
      <c r="SJE25" s="197"/>
      <c r="SJF25" s="197"/>
      <c r="SJG25" s="197"/>
      <c r="SJH25" s="197"/>
      <c r="SJI25" s="197"/>
      <c r="SJJ25" s="197"/>
      <c r="SJK25" s="197"/>
      <c r="SJL25" s="197"/>
      <c r="SJM25" s="197"/>
      <c r="SJN25" s="197"/>
      <c r="SJO25" s="197"/>
      <c r="SJP25" s="197"/>
      <c r="SJQ25" s="197"/>
      <c r="SJR25" s="197"/>
      <c r="SJS25" s="197"/>
      <c r="SJT25" s="197"/>
      <c r="SJU25" s="197"/>
      <c r="SJV25" s="197"/>
      <c r="SJW25" s="197"/>
      <c r="SJX25" s="197"/>
      <c r="SJY25" s="197"/>
      <c r="SJZ25" s="197"/>
      <c r="SKA25" s="197"/>
      <c r="SKB25" s="197"/>
      <c r="SKC25" s="197"/>
      <c r="SKD25" s="197"/>
      <c r="SKE25" s="197"/>
      <c r="SKF25" s="197"/>
      <c r="SKG25" s="197"/>
      <c r="SKH25" s="197"/>
      <c r="SKI25" s="197"/>
      <c r="SKJ25" s="197"/>
      <c r="SKK25" s="197"/>
      <c r="SKL25" s="197"/>
      <c r="SKM25" s="197"/>
      <c r="SKN25" s="197"/>
      <c r="SKO25" s="197"/>
      <c r="SKP25" s="197"/>
      <c r="SKQ25" s="197"/>
      <c r="SKR25" s="197"/>
      <c r="SKS25" s="197"/>
      <c r="SKT25" s="197"/>
      <c r="SKU25" s="197"/>
      <c r="SKV25" s="197"/>
      <c r="SKW25" s="197"/>
      <c r="SKX25" s="197"/>
      <c r="SKY25" s="197"/>
      <c r="SKZ25" s="197"/>
      <c r="SLA25" s="197"/>
      <c r="SLB25" s="197"/>
      <c r="SLC25" s="197"/>
      <c r="SLD25" s="197"/>
      <c r="SLE25" s="197"/>
      <c r="SLF25" s="197"/>
      <c r="SLG25" s="197"/>
      <c r="SLH25" s="197"/>
      <c r="SLI25" s="197"/>
      <c r="SLJ25" s="197"/>
      <c r="SLK25" s="197"/>
      <c r="SLL25" s="197"/>
      <c r="SLM25" s="197"/>
      <c r="SLN25" s="197"/>
      <c r="SLO25" s="197"/>
      <c r="SLP25" s="197"/>
      <c r="SLQ25" s="197"/>
      <c r="SLR25" s="197"/>
      <c r="SLS25" s="197"/>
      <c r="SLT25" s="197"/>
      <c r="SLU25" s="197"/>
      <c r="SLV25" s="197"/>
      <c r="SLW25" s="197"/>
      <c r="SLX25" s="197"/>
      <c r="SLY25" s="197"/>
      <c r="SLZ25" s="197"/>
      <c r="SMA25" s="197"/>
      <c r="SMB25" s="197"/>
      <c r="SMC25" s="197"/>
      <c r="SMD25" s="197"/>
      <c r="SME25" s="197"/>
      <c r="SMF25" s="197"/>
      <c r="SMG25" s="197"/>
      <c r="SMH25" s="197"/>
      <c r="SMI25" s="197"/>
      <c r="SMJ25" s="197"/>
      <c r="SMK25" s="197"/>
      <c r="SML25" s="197"/>
      <c r="SMM25" s="197"/>
      <c r="SMN25" s="197"/>
      <c r="SMO25" s="197"/>
      <c r="SMP25" s="197"/>
      <c r="SMQ25" s="197"/>
      <c r="SMR25" s="197"/>
      <c r="SMS25" s="197"/>
      <c r="SMT25" s="197"/>
      <c r="SMU25" s="197"/>
      <c r="SMV25" s="197"/>
      <c r="SMW25" s="197"/>
      <c r="SMX25" s="197"/>
      <c r="SMY25" s="197"/>
      <c r="SMZ25" s="197"/>
      <c r="SNA25" s="197"/>
      <c r="SNB25" s="197"/>
      <c r="SNC25" s="197"/>
      <c r="SND25" s="197"/>
      <c r="SNE25" s="197"/>
      <c r="SNF25" s="197"/>
      <c r="SNG25" s="197"/>
      <c r="SNH25" s="197"/>
      <c r="SNI25" s="197"/>
      <c r="SNJ25" s="197"/>
      <c r="SNK25" s="197"/>
      <c r="SNL25" s="197"/>
      <c r="SNM25" s="197"/>
      <c r="SNN25" s="197"/>
      <c r="SNO25" s="197"/>
      <c r="SNP25" s="197"/>
      <c r="SNQ25" s="197"/>
      <c r="SNR25" s="197"/>
      <c r="SNS25" s="197"/>
      <c r="SNT25" s="197"/>
      <c r="SNU25" s="197"/>
      <c r="SNV25" s="197"/>
      <c r="SNW25" s="197"/>
      <c r="SNX25" s="197"/>
      <c r="SNY25" s="197"/>
      <c r="SNZ25" s="197"/>
      <c r="SOA25" s="197"/>
      <c r="SOB25" s="197"/>
      <c r="SOC25" s="197"/>
      <c r="SOD25" s="197"/>
      <c r="SOE25" s="197"/>
      <c r="SOF25" s="197"/>
      <c r="SOG25" s="197"/>
      <c r="SOH25" s="197"/>
      <c r="SOI25" s="197"/>
      <c r="SOJ25" s="197"/>
      <c r="SOK25" s="197"/>
      <c r="SOL25" s="197"/>
      <c r="SOM25" s="197"/>
      <c r="SON25" s="197"/>
      <c r="SOO25" s="197"/>
      <c r="SOP25" s="197"/>
      <c r="SOQ25" s="197"/>
      <c r="SOR25" s="197"/>
      <c r="SOS25" s="197"/>
      <c r="SOT25" s="197"/>
      <c r="SOU25" s="197"/>
      <c r="SOV25" s="197"/>
      <c r="SOW25" s="197"/>
      <c r="SOX25" s="197"/>
      <c r="SOY25" s="197"/>
      <c r="SOZ25" s="197"/>
      <c r="SPA25" s="197"/>
      <c r="SPB25" s="197"/>
      <c r="SPC25" s="197"/>
      <c r="SPD25" s="197"/>
      <c r="SPE25" s="197"/>
      <c r="SPF25" s="197"/>
      <c r="SPG25" s="197"/>
      <c r="SPH25" s="197"/>
      <c r="SPI25" s="197"/>
      <c r="SPJ25" s="197"/>
      <c r="SPK25" s="197"/>
      <c r="SPL25" s="197"/>
      <c r="SPM25" s="197"/>
      <c r="SPN25" s="197"/>
      <c r="SPO25" s="197"/>
      <c r="SPP25" s="197"/>
      <c r="SPQ25" s="197"/>
      <c r="SPR25" s="197"/>
      <c r="SPS25" s="197"/>
      <c r="SPT25" s="197"/>
      <c r="SPU25" s="197"/>
      <c r="SPV25" s="197"/>
      <c r="SPW25" s="197"/>
      <c r="SPX25" s="197"/>
      <c r="SPY25" s="197"/>
      <c r="SPZ25" s="197"/>
      <c r="SQA25" s="197"/>
      <c r="SQB25" s="197"/>
      <c r="SQC25" s="197"/>
      <c r="SQD25" s="197"/>
      <c r="SQE25" s="197"/>
      <c r="SQF25" s="197"/>
      <c r="SQG25" s="197"/>
      <c r="SQH25" s="197"/>
      <c r="SQI25" s="197"/>
      <c r="SQJ25" s="197"/>
      <c r="SQK25" s="197"/>
      <c r="SQL25" s="197"/>
      <c r="SQM25" s="197"/>
      <c r="SQN25" s="197"/>
      <c r="SQO25" s="197"/>
      <c r="SQP25" s="197"/>
      <c r="SQQ25" s="197"/>
      <c r="SQR25" s="197"/>
      <c r="SQS25" s="197"/>
      <c r="SQT25" s="197"/>
      <c r="SQU25" s="197"/>
      <c r="SQV25" s="197"/>
      <c r="SQW25" s="197"/>
      <c r="SQX25" s="197"/>
      <c r="SQY25" s="197"/>
      <c r="SQZ25" s="197"/>
      <c r="SRA25" s="197"/>
      <c r="SRB25" s="197"/>
      <c r="SRC25" s="197"/>
      <c r="SRD25" s="197"/>
      <c r="SRE25" s="197"/>
      <c r="SRF25" s="197"/>
      <c r="SRG25" s="197"/>
      <c r="SRH25" s="197"/>
      <c r="SRI25" s="197"/>
      <c r="SRJ25" s="197"/>
      <c r="SRK25" s="197"/>
      <c r="SRL25" s="197"/>
      <c r="SRM25" s="197"/>
      <c r="SRN25" s="197"/>
      <c r="SRO25" s="197"/>
      <c r="SRP25" s="197"/>
      <c r="SRQ25" s="197"/>
      <c r="SRR25" s="197"/>
      <c r="SRS25" s="197"/>
      <c r="SRT25" s="197"/>
      <c r="SRU25" s="197"/>
      <c r="SRV25" s="197"/>
      <c r="SRW25" s="197"/>
      <c r="SRX25" s="197"/>
      <c r="SRY25" s="197"/>
      <c r="SRZ25" s="197"/>
      <c r="SSA25" s="197"/>
      <c r="SSB25" s="197"/>
      <c r="SSC25" s="197"/>
      <c r="SSD25" s="197"/>
      <c r="SSE25" s="197"/>
      <c r="SSF25" s="197"/>
      <c r="SSG25" s="197"/>
      <c r="SSH25" s="197"/>
      <c r="SSI25" s="197"/>
      <c r="SSJ25" s="197"/>
      <c r="SSK25" s="197"/>
      <c r="SSL25" s="197"/>
      <c r="SSM25" s="197"/>
      <c r="SSN25" s="197"/>
      <c r="SSO25" s="197"/>
      <c r="SSP25" s="197"/>
      <c r="SSQ25" s="197"/>
      <c r="SSR25" s="197"/>
      <c r="SSS25" s="197"/>
      <c r="SST25" s="197"/>
      <c r="SSU25" s="197"/>
      <c r="SSV25" s="197"/>
      <c r="SSW25" s="197"/>
      <c r="SSX25" s="197"/>
      <c r="SSY25" s="197"/>
      <c r="SSZ25" s="197"/>
      <c r="STA25" s="197"/>
      <c r="STB25" s="197"/>
      <c r="STC25" s="197"/>
      <c r="STD25" s="197"/>
      <c r="STE25" s="197"/>
      <c r="STF25" s="197"/>
      <c r="STG25" s="197"/>
      <c r="STH25" s="197"/>
      <c r="STI25" s="197"/>
      <c r="STJ25" s="197"/>
      <c r="STK25" s="197"/>
      <c r="STL25" s="197"/>
      <c r="STM25" s="197"/>
      <c r="STN25" s="197"/>
      <c r="STO25" s="197"/>
      <c r="STP25" s="197"/>
      <c r="STQ25" s="197"/>
      <c r="STR25" s="197"/>
      <c r="STS25" s="197"/>
      <c r="STT25" s="197"/>
      <c r="STU25" s="197"/>
      <c r="STV25" s="197"/>
      <c r="STW25" s="197"/>
      <c r="STX25" s="197"/>
      <c r="STY25" s="197"/>
      <c r="STZ25" s="197"/>
      <c r="SUA25" s="197"/>
      <c r="SUB25" s="197"/>
      <c r="SUC25" s="197"/>
      <c r="SUD25" s="197"/>
      <c r="SUE25" s="197"/>
      <c r="SUF25" s="197"/>
      <c r="SUG25" s="197"/>
      <c r="SUH25" s="197"/>
      <c r="SUI25" s="197"/>
      <c r="SUJ25" s="197"/>
      <c r="SUK25" s="197"/>
      <c r="SUL25" s="197"/>
      <c r="SUM25" s="197"/>
      <c r="SUN25" s="197"/>
      <c r="SUO25" s="197"/>
      <c r="SUP25" s="197"/>
      <c r="SUQ25" s="197"/>
      <c r="SUR25" s="197"/>
      <c r="SUS25" s="197"/>
      <c r="SUT25" s="197"/>
      <c r="SUU25" s="197"/>
      <c r="SUV25" s="197"/>
      <c r="SUW25" s="197"/>
      <c r="SUX25" s="197"/>
      <c r="SUY25" s="197"/>
      <c r="SUZ25" s="197"/>
      <c r="SVA25" s="197"/>
      <c r="SVB25" s="197"/>
      <c r="SVC25" s="197"/>
      <c r="SVD25" s="197"/>
      <c r="SVE25" s="197"/>
      <c r="SVF25" s="197"/>
      <c r="SVG25" s="197"/>
      <c r="SVH25" s="197"/>
      <c r="SVI25" s="197"/>
      <c r="SVJ25" s="197"/>
      <c r="SVK25" s="197"/>
      <c r="SVL25" s="197"/>
      <c r="SVM25" s="197"/>
      <c r="SVN25" s="197"/>
      <c r="SVO25" s="197"/>
      <c r="SVP25" s="197"/>
      <c r="SVQ25" s="197"/>
      <c r="SVR25" s="197"/>
      <c r="SVS25" s="197"/>
      <c r="SVT25" s="197"/>
      <c r="SVU25" s="197"/>
      <c r="SVV25" s="197"/>
      <c r="SVW25" s="197"/>
      <c r="SVX25" s="197"/>
      <c r="SVY25" s="197"/>
      <c r="SVZ25" s="197"/>
      <c r="SWA25" s="197"/>
      <c r="SWB25" s="197"/>
      <c r="SWC25" s="197"/>
      <c r="SWD25" s="197"/>
      <c r="SWE25" s="197"/>
      <c r="SWF25" s="197"/>
      <c r="SWG25" s="197"/>
      <c r="SWH25" s="197"/>
      <c r="SWI25" s="197"/>
      <c r="SWJ25" s="197"/>
      <c r="SWK25" s="197"/>
      <c r="SWL25" s="197"/>
      <c r="SWM25" s="197"/>
      <c r="SWN25" s="197"/>
      <c r="SWO25" s="197"/>
      <c r="SWP25" s="197"/>
      <c r="SWQ25" s="197"/>
      <c r="SWR25" s="197"/>
      <c r="SWS25" s="197"/>
      <c r="SWT25" s="197"/>
      <c r="SWU25" s="197"/>
      <c r="SWV25" s="197"/>
      <c r="SWW25" s="197"/>
      <c r="SWX25" s="197"/>
      <c r="SWY25" s="197"/>
      <c r="SWZ25" s="197"/>
      <c r="SXA25" s="197"/>
      <c r="SXB25" s="197"/>
      <c r="SXC25" s="197"/>
      <c r="SXD25" s="197"/>
      <c r="SXE25" s="197"/>
      <c r="SXF25" s="197"/>
      <c r="SXG25" s="197"/>
      <c r="SXH25" s="197"/>
      <c r="SXI25" s="197"/>
      <c r="SXJ25" s="197"/>
      <c r="SXK25" s="197"/>
      <c r="SXL25" s="197"/>
      <c r="SXM25" s="197"/>
      <c r="SXN25" s="197"/>
      <c r="SXO25" s="197"/>
      <c r="SXP25" s="197"/>
      <c r="SXQ25" s="197"/>
      <c r="SXR25" s="197"/>
      <c r="SXS25" s="197"/>
      <c r="SXT25" s="197"/>
      <c r="SXU25" s="197"/>
      <c r="SXV25" s="197"/>
      <c r="SXW25" s="197"/>
      <c r="SXX25" s="197"/>
      <c r="SXY25" s="197"/>
      <c r="SXZ25" s="197"/>
      <c r="SYA25" s="197"/>
      <c r="SYB25" s="197"/>
      <c r="SYC25" s="197"/>
      <c r="SYD25" s="197"/>
      <c r="SYE25" s="197"/>
      <c r="SYF25" s="197"/>
      <c r="SYG25" s="197"/>
      <c r="SYH25" s="197"/>
      <c r="SYI25" s="197"/>
      <c r="SYJ25" s="197"/>
      <c r="SYK25" s="197"/>
      <c r="SYL25" s="197"/>
      <c r="SYM25" s="197"/>
      <c r="SYN25" s="197"/>
      <c r="SYO25" s="197"/>
      <c r="SYP25" s="197"/>
      <c r="SYQ25" s="197"/>
      <c r="SYR25" s="197"/>
      <c r="SYS25" s="197"/>
      <c r="SYT25" s="197"/>
      <c r="SYU25" s="197"/>
      <c r="SYV25" s="197"/>
      <c r="SYW25" s="197"/>
      <c r="SYX25" s="197"/>
      <c r="SYY25" s="197"/>
      <c r="SYZ25" s="197"/>
      <c r="SZA25" s="197"/>
      <c r="SZB25" s="197"/>
      <c r="SZC25" s="197"/>
      <c r="SZD25" s="197"/>
      <c r="SZE25" s="197"/>
      <c r="SZF25" s="197"/>
      <c r="SZG25" s="197"/>
      <c r="SZH25" s="197"/>
      <c r="SZI25" s="197"/>
      <c r="SZJ25" s="197"/>
      <c r="SZK25" s="197"/>
      <c r="SZL25" s="197"/>
      <c r="SZM25" s="197"/>
      <c r="SZN25" s="197"/>
      <c r="SZO25" s="197"/>
      <c r="SZP25" s="197"/>
      <c r="SZQ25" s="197"/>
      <c r="SZR25" s="197"/>
      <c r="SZS25" s="197"/>
      <c r="SZT25" s="197"/>
      <c r="SZU25" s="197"/>
      <c r="SZV25" s="197"/>
      <c r="SZW25" s="197"/>
      <c r="SZX25" s="197"/>
      <c r="SZY25" s="197"/>
      <c r="SZZ25" s="197"/>
      <c r="TAA25" s="197"/>
      <c r="TAB25" s="197"/>
      <c r="TAC25" s="197"/>
      <c r="TAD25" s="197"/>
      <c r="TAE25" s="197"/>
      <c r="TAF25" s="197"/>
      <c r="TAG25" s="197"/>
      <c r="TAH25" s="197"/>
      <c r="TAI25" s="197"/>
      <c r="TAJ25" s="197"/>
      <c r="TAK25" s="197"/>
      <c r="TAL25" s="197"/>
      <c r="TAM25" s="197"/>
      <c r="TAN25" s="197"/>
      <c r="TAO25" s="197"/>
      <c r="TAP25" s="197"/>
      <c r="TAQ25" s="197"/>
      <c r="TAR25" s="197"/>
      <c r="TAS25" s="197"/>
      <c r="TAT25" s="197"/>
      <c r="TAU25" s="197"/>
      <c r="TAV25" s="197"/>
      <c r="TAW25" s="197"/>
      <c r="TAX25" s="197"/>
      <c r="TAY25" s="197"/>
      <c r="TAZ25" s="197"/>
      <c r="TBA25" s="197"/>
      <c r="TBB25" s="197"/>
      <c r="TBC25" s="197"/>
      <c r="TBD25" s="197"/>
      <c r="TBE25" s="197"/>
      <c r="TBF25" s="197"/>
      <c r="TBG25" s="197"/>
      <c r="TBH25" s="197"/>
      <c r="TBI25" s="197"/>
      <c r="TBJ25" s="197"/>
      <c r="TBK25" s="197"/>
      <c r="TBL25" s="197"/>
      <c r="TBM25" s="197"/>
      <c r="TBN25" s="197"/>
      <c r="TBO25" s="197"/>
      <c r="TBP25" s="197"/>
      <c r="TBQ25" s="197"/>
      <c r="TBR25" s="197"/>
      <c r="TBS25" s="197"/>
      <c r="TBT25" s="197"/>
      <c r="TBU25" s="197"/>
      <c r="TBV25" s="197"/>
      <c r="TBW25" s="197"/>
      <c r="TBX25" s="197"/>
      <c r="TBY25" s="197"/>
      <c r="TBZ25" s="197"/>
      <c r="TCA25" s="197"/>
      <c r="TCB25" s="197"/>
      <c r="TCC25" s="197"/>
      <c r="TCD25" s="197"/>
      <c r="TCE25" s="197"/>
      <c r="TCF25" s="197"/>
      <c r="TCG25" s="197"/>
      <c r="TCH25" s="197"/>
      <c r="TCI25" s="197"/>
      <c r="TCJ25" s="197"/>
      <c r="TCK25" s="197"/>
      <c r="TCL25" s="197"/>
      <c r="TCM25" s="197"/>
      <c r="TCN25" s="197"/>
      <c r="TCO25" s="197"/>
      <c r="TCP25" s="197"/>
      <c r="TCQ25" s="197"/>
      <c r="TCR25" s="197"/>
      <c r="TCS25" s="197"/>
      <c r="TCT25" s="197"/>
      <c r="TCU25" s="197"/>
      <c r="TCV25" s="197"/>
      <c r="TCW25" s="197"/>
      <c r="TCX25" s="197"/>
      <c r="TCY25" s="197"/>
      <c r="TCZ25" s="197"/>
      <c r="TDA25" s="197"/>
      <c r="TDB25" s="197"/>
      <c r="TDC25" s="197"/>
      <c r="TDD25" s="197"/>
      <c r="TDE25" s="197"/>
      <c r="TDF25" s="197"/>
      <c r="TDG25" s="197"/>
      <c r="TDH25" s="197"/>
      <c r="TDI25" s="197"/>
      <c r="TDJ25" s="197"/>
      <c r="TDK25" s="197"/>
      <c r="TDL25" s="197"/>
      <c r="TDM25" s="197"/>
      <c r="TDN25" s="197"/>
      <c r="TDO25" s="197"/>
      <c r="TDP25" s="197"/>
      <c r="TDQ25" s="197"/>
      <c r="TDR25" s="197"/>
      <c r="TDS25" s="197"/>
      <c r="TDT25" s="197"/>
      <c r="TDU25" s="197"/>
      <c r="TDV25" s="197"/>
      <c r="TDW25" s="197"/>
      <c r="TDX25" s="197"/>
      <c r="TDY25" s="197"/>
      <c r="TDZ25" s="197"/>
      <c r="TEA25" s="197"/>
      <c r="TEB25" s="197"/>
      <c r="TEC25" s="197"/>
      <c r="TED25" s="197"/>
      <c r="TEE25" s="197"/>
      <c r="TEF25" s="197"/>
      <c r="TEG25" s="197"/>
      <c r="TEH25" s="197"/>
      <c r="TEI25" s="197"/>
      <c r="TEJ25" s="197"/>
      <c r="TEK25" s="197"/>
      <c r="TEL25" s="197"/>
      <c r="TEM25" s="197"/>
      <c r="TEN25" s="197"/>
      <c r="TEO25" s="197"/>
      <c r="TEP25" s="197"/>
      <c r="TEQ25" s="197"/>
      <c r="TER25" s="197"/>
      <c r="TES25" s="197"/>
      <c r="TET25" s="197"/>
      <c r="TEU25" s="197"/>
      <c r="TEV25" s="197"/>
      <c r="TEW25" s="197"/>
      <c r="TEX25" s="197"/>
      <c r="TEY25" s="197"/>
      <c r="TEZ25" s="197"/>
      <c r="TFA25" s="197"/>
      <c r="TFB25" s="197"/>
      <c r="TFC25" s="197"/>
      <c r="TFD25" s="197"/>
      <c r="TFE25" s="197"/>
      <c r="TFF25" s="197"/>
      <c r="TFG25" s="197"/>
      <c r="TFH25" s="197"/>
      <c r="TFI25" s="197"/>
      <c r="TFJ25" s="197"/>
      <c r="TFK25" s="197"/>
      <c r="TFL25" s="197"/>
      <c r="TFM25" s="197"/>
      <c r="TFN25" s="197"/>
      <c r="TFO25" s="197"/>
      <c r="TFP25" s="197"/>
      <c r="TFQ25" s="197"/>
      <c r="TFR25" s="197"/>
      <c r="TFS25" s="197"/>
      <c r="TFT25" s="197"/>
      <c r="TFU25" s="197"/>
      <c r="TFV25" s="197"/>
      <c r="TFW25" s="197"/>
      <c r="TFX25" s="197"/>
      <c r="TFY25" s="197"/>
      <c r="TFZ25" s="197"/>
      <c r="TGA25" s="197"/>
      <c r="TGB25" s="197"/>
      <c r="TGC25" s="197"/>
      <c r="TGD25" s="197"/>
      <c r="TGE25" s="197"/>
      <c r="TGF25" s="197"/>
      <c r="TGG25" s="197"/>
      <c r="TGH25" s="197"/>
      <c r="TGI25" s="197"/>
      <c r="TGJ25" s="197"/>
      <c r="TGK25" s="197"/>
      <c r="TGL25" s="197"/>
      <c r="TGM25" s="197"/>
      <c r="TGN25" s="197"/>
      <c r="TGO25" s="197"/>
      <c r="TGP25" s="197"/>
      <c r="TGQ25" s="197"/>
      <c r="TGR25" s="197"/>
      <c r="TGS25" s="197"/>
      <c r="TGT25" s="197"/>
      <c r="TGU25" s="197"/>
      <c r="TGV25" s="197"/>
      <c r="TGW25" s="197"/>
      <c r="TGX25" s="197"/>
      <c r="TGY25" s="197"/>
      <c r="TGZ25" s="197"/>
      <c r="THA25" s="197"/>
      <c r="THB25" s="197"/>
      <c r="THC25" s="197"/>
      <c r="THD25" s="197"/>
      <c r="THE25" s="197"/>
      <c r="THF25" s="197"/>
      <c r="THG25" s="197"/>
      <c r="THH25" s="197"/>
      <c r="THI25" s="197"/>
      <c r="THJ25" s="197"/>
      <c r="THK25" s="197"/>
      <c r="THL25" s="197"/>
      <c r="THM25" s="197"/>
      <c r="THN25" s="197"/>
      <c r="THO25" s="197"/>
      <c r="THP25" s="197"/>
      <c r="THQ25" s="197"/>
      <c r="THR25" s="197"/>
      <c r="THS25" s="197"/>
      <c r="THT25" s="197"/>
      <c r="THU25" s="197"/>
      <c r="THV25" s="197"/>
      <c r="THW25" s="197"/>
      <c r="THX25" s="197"/>
      <c r="THY25" s="197"/>
      <c r="THZ25" s="197"/>
      <c r="TIA25" s="197"/>
      <c r="TIB25" s="197"/>
      <c r="TIC25" s="197"/>
      <c r="TID25" s="197"/>
      <c r="TIE25" s="197"/>
      <c r="TIF25" s="197"/>
      <c r="TIG25" s="197"/>
      <c r="TIH25" s="197"/>
      <c r="TII25" s="197"/>
      <c r="TIJ25" s="197"/>
      <c r="TIK25" s="197"/>
      <c r="TIL25" s="197"/>
      <c r="TIM25" s="197"/>
      <c r="TIN25" s="197"/>
      <c r="TIO25" s="197"/>
      <c r="TIP25" s="197"/>
      <c r="TIQ25" s="197"/>
      <c r="TIR25" s="197"/>
      <c r="TIS25" s="197"/>
      <c r="TIT25" s="197"/>
      <c r="TIU25" s="197"/>
      <c r="TIV25" s="197"/>
      <c r="TIW25" s="197"/>
      <c r="TIX25" s="197"/>
      <c r="TIY25" s="197"/>
      <c r="TIZ25" s="197"/>
      <c r="TJA25" s="197"/>
      <c r="TJB25" s="197"/>
      <c r="TJC25" s="197"/>
      <c r="TJD25" s="197"/>
      <c r="TJE25" s="197"/>
      <c r="TJF25" s="197"/>
      <c r="TJG25" s="197"/>
      <c r="TJH25" s="197"/>
      <c r="TJI25" s="197"/>
      <c r="TJJ25" s="197"/>
      <c r="TJK25" s="197"/>
      <c r="TJL25" s="197"/>
      <c r="TJM25" s="197"/>
      <c r="TJN25" s="197"/>
      <c r="TJO25" s="197"/>
      <c r="TJP25" s="197"/>
      <c r="TJQ25" s="197"/>
      <c r="TJR25" s="197"/>
      <c r="TJS25" s="197"/>
      <c r="TJT25" s="197"/>
      <c r="TJU25" s="197"/>
      <c r="TJV25" s="197"/>
      <c r="TJW25" s="197"/>
      <c r="TJX25" s="197"/>
      <c r="TJY25" s="197"/>
      <c r="TJZ25" s="197"/>
      <c r="TKA25" s="197"/>
      <c r="TKB25" s="197"/>
      <c r="TKC25" s="197"/>
      <c r="TKD25" s="197"/>
      <c r="TKE25" s="197"/>
      <c r="TKF25" s="197"/>
      <c r="TKG25" s="197"/>
      <c r="TKH25" s="197"/>
      <c r="TKI25" s="197"/>
      <c r="TKJ25" s="197"/>
      <c r="TKK25" s="197"/>
      <c r="TKL25" s="197"/>
      <c r="TKM25" s="197"/>
      <c r="TKN25" s="197"/>
      <c r="TKO25" s="197"/>
      <c r="TKP25" s="197"/>
      <c r="TKQ25" s="197"/>
      <c r="TKR25" s="197"/>
      <c r="TKS25" s="197"/>
      <c r="TKT25" s="197"/>
      <c r="TKU25" s="197"/>
      <c r="TKV25" s="197"/>
      <c r="TKW25" s="197"/>
      <c r="TKX25" s="197"/>
      <c r="TKY25" s="197"/>
      <c r="TKZ25" s="197"/>
      <c r="TLA25" s="197"/>
      <c r="TLB25" s="197"/>
      <c r="TLC25" s="197"/>
      <c r="TLD25" s="197"/>
      <c r="TLE25" s="197"/>
      <c r="TLF25" s="197"/>
      <c r="TLG25" s="197"/>
      <c r="TLH25" s="197"/>
      <c r="TLI25" s="197"/>
      <c r="TLJ25" s="197"/>
      <c r="TLK25" s="197"/>
      <c r="TLL25" s="197"/>
      <c r="TLM25" s="197"/>
      <c r="TLN25" s="197"/>
      <c r="TLO25" s="197"/>
      <c r="TLP25" s="197"/>
      <c r="TLQ25" s="197"/>
      <c r="TLR25" s="197"/>
      <c r="TLS25" s="197"/>
      <c r="TLT25" s="197"/>
      <c r="TLU25" s="197"/>
      <c r="TLV25" s="197"/>
      <c r="TLW25" s="197"/>
      <c r="TLX25" s="197"/>
      <c r="TLY25" s="197"/>
      <c r="TLZ25" s="197"/>
      <c r="TMA25" s="197"/>
      <c r="TMB25" s="197"/>
      <c r="TMC25" s="197"/>
      <c r="TMD25" s="197"/>
      <c r="TME25" s="197"/>
      <c r="TMF25" s="197"/>
      <c r="TMG25" s="197"/>
      <c r="TMH25" s="197"/>
      <c r="TMI25" s="197"/>
      <c r="TMJ25" s="197"/>
      <c r="TMK25" s="197"/>
      <c r="TML25" s="197"/>
      <c r="TMM25" s="197"/>
      <c r="TMN25" s="197"/>
      <c r="TMO25" s="197"/>
      <c r="TMP25" s="197"/>
      <c r="TMQ25" s="197"/>
      <c r="TMR25" s="197"/>
      <c r="TMS25" s="197"/>
      <c r="TMT25" s="197"/>
      <c r="TMU25" s="197"/>
      <c r="TMV25" s="197"/>
      <c r="TMW25" s="197"/>
      <c r="TMX25" s="197"/>
      <c r="TMY25" s="197"/>
      <c r="TMZ25" s="197"/>
      <c r="TNA25" s="197"/>
      <c r="TNB25" s="197"/>
      <c r="TNC25" s="197"/>
      <c r="TND25" s="197"/>
      <c r="TNE25" s="197"/>
      <c r="TNF25" s="197"/>
      <c r="TNG25" s="197"/>
      <c r="TNH25" s="197"/>
      <c r="TNI25" s="197"/>
      <c r="TNJ25" s="197"/>
      <c r="TNK25" s="197"/>
      <c r="TNL25" s="197"/>
      <c r="TNM25" s="197"/>
      <c r="TNN25" s="197"/>
      <c r="TNO25" s="197"/>
      <c r="TNP25" s="197"/>
      <c r="TNQ25" s="197"/>
      <c r="TNR25" s="197"/>
      <c r="TNS25" s="197"/>
      <c r="TNT25" s="197"/>
      <c r="TNU25" s="197"/>
      <c r="TNV25" s="197"/>
      <c r="TNW25" s="197"/>
      <c r="TNX25" s="197"/>
      <c r="TNY25" s="197"/>
      <c r="TNZ25" s="197"/>
      <c r="TOA25" s="197"/>
      <c r="TOB25" s="197"/>
      <c r="TOC25" s="197"/>
      <c r="TOD25" s="197"/>
      <c r="TOE25" s="197"/>
      <c r="TOF25" s="197"/>
      <c r="TOG25" s="197"/>
      <c r="TOH25" s="197"/>
      <c r="TOI25" s="197"/>
      <c r="TOJ25" s="197"/>
      <c r="TOK25" s="197"/>
      <c r="TOL25" s="197"/>
      <c r="TOM25" s="197"/>
      <c r="TON25" s="197"/>
      <c r="TOO25" s="197"/>
      <c r="TOP25" s="197"/>
      <c r="TOQ25" s="197"/>
      <c r="TOR25" s="197"/>
      <c r="TOS25" s="197"/>
      <c r="TOT25" s="197"/>
      <c r="TOU25" s="197"/>
      <c r="TOV25" s="197"/>
      <c r="TOW25" s="197"/>
      <c r="TOX25" s="197"/>
      <c r="TOY25" s="197"/>
      <c r="TOZ25" s="197"/>
      <c r="TPA25" s="197"/>
      <c r="TPB25" s="197"/>
      <c r="TPC25" s="197"/>
      <c r="TPD25" s="197"/>
      <c r="TPE25" s="197"/>
      <c r="TPF25" s="197"/>
      <c r="TPG25" s="197"/>
      <c r="TPH25" s="197"/>
      <c r="TPI25" s="197"/>
      <c r="TPJ25" s="197"/>
      <c r="TPK25" s="197"/>
      <c r="TPL25" s="197"/>
      <c r="TPM25" s="197"/>
      <c r="TPN25" s="197"/>
      <c r="TPO25" s="197"/>
      <c r="TPP25" s="197"/>
      <c r="TPQ25" s="197"/>
      <c r="TPR25" s="197"/>
      <c r="TPS25" s="197"/>
      <c r="TPT25" s="197"/>
      <c r="TPU25" s="197"/>
      <c r="TPV25" s="197"/>
      <c r="TPW25" s="197"/>
      <c r="TPX25" s="197"/>
      <c r="TPY25" s="197"/>
      <c r="TPZ25" s="197"/>
      <c r="TQA25" s="197"/>
      <c r="TQB25" s="197"/>
      <c r="TQC25" s="197"/>
      <c r="TQD25" s="197"/>
      <c r="TQE25" s="197"/>
      <c r="TQF25" s="197"/>
      <c r="TQG25" s="197"/>
      <c r="TQH25" s="197"/>
      <c r="TQI25" s="197"/>
      <c r="TQJ25" s="197"/>
      <c r="TQK25" s="197"/>
      <c r="TQL25" s="197"/>
      <c r="TQM25" s="197"/>
      <c r="TQN25" s="197"/>
      <c r="TQO25" s="197"/>
      <c r="TQP25" s="197"/>
      <c r="TQQ25" s="197"/>
      <c r="TQR25" s="197"/>
      <c r="TQS25" s="197"/>
      <c r="TQT25" s="197"/>
      <c r="TQU25" s="197"/>
      <c r="TQV25" s="197"/>
      <c r="TQW25" s="197"/>
      <c r="TQX25" s="197"/>
      <c r="TQY25" s="197"/>
      <c r="TQZ25" s="197"/>
      <c r="TRA25" s="197"/>
      <c r="TRB25" s="197"/>
      <c r="TRC25" s="197"/>
      <c r="TRD25" s="197"/>
      <c r="TRE25" s="197"/>
      <c r="TRF25" s="197"/>
      <c r="TRG25" s="197"/>
      <c r="TRH25" s="197"/>
      <c r="TRI25" s="197"/>
      <c r="TRJ25" s="197"/>
      <c r="TRK25" s="197"/>
      <c r="TRL25" s="197"/>
      <c r="TRM25" s="197"/>
      <c r="TRN25" s="197"/>
      <c r="TRO25" s="197"/>
      <c r="TRP25" s="197"/>
      <c r="TRQ25" s="197"/>
      <c r="TRR25" s="197"/>
      <c r="TRS25" s="197"/>
      <c r="TRT25" s="197"/>
      <c r="TRU25" s="197"/>
      <c r="TRV25" s="197"/>
      <c r="TRW25" s="197"/>
      <c r="TRX25" s="197"/>
      <c r="TRY25" s="197"/>
      <c r="TRZ25" s="197"/>
      <c r="TSA25" s="197"/>
      <c r="TSB25" s="197"/>
      <c r="TSC25" s="197"/>
      <c r="TSD25" s="197"/>
      <c r="TSE25" s="197"/>
      <c r="TSF25" s="197"/>
      <c r="TSG25" s="197"/>
      <c r="TSH25" s="197"/>
      <c r="TSI25" s="197"/>
      <c r="TSJ25" s="197"/>
      <c r="TSK25" s="197"/>
      <c r="TSL25" s="197"/>
      <c r="TSM25" s="197"/>
      <c r="TSN25" s="197"/>
      <c r="TSO25" s="197"/>
      <c r="TSP25" s="197"/>
      <c r="TSQ25" s="197"/>
      <c r="TSR25" s="197"/>
      <c r="TSS25" s="197"/>
      <c r="TST25" s="197"/>
      <c r="TSU25" s="197"/>
      <c r="TSV25" s="197"/>
      <c r="TSW25" s="197"/>
      <c r="TSX25" s="197"/>
      <c r="TSY25" s="197"/>
      <c r="TSZ25" s="197"/>
      <c r="TTA25" s="197"/>
      <c r="TTB25" s="197"/>
      <c r="TTC25" s="197"/>
      <c r="TTD25" s="197"/>
      <c r="TTE25" s="197"/>
      <c r="TTF25" s="197"/>
      <c r="TTG25" s="197"/>
      <c r="TTH25" s="197"/>
      <c r="TTI25" s="197"/>
      <c r="TTJ25" s="197"/>
      <c r="TTK25" s="197"/>
      <c r="TTL25" s="197"/>
      <c r="TTM25" s="197"/>
      <c r="TTN25" s="197"/>
      <c r="TTO25" s="197"/>
      <c r="TTP25" s="197"/>
      <c r="TTQ25" s="197"/>
      <c r="TTR25" s="197"/>
      <c r="TTS25" s="197"/>
      <c r="TTT25" s="197"/>
      <c r="TTU25" s="197"/>
      <c r="TTV25" s="197"/>
      <c r="TTW25" s="197"/>
      <c r="TTX25" s="197"/>
      <c r="TTY25" s="197"/>
      <c r="TTZ25" s="197"/>
      <c r="TUA25" s="197"/>
      <c r="TUB25" s="197"/>
      <c r="TUC25" s="197"/>
      <c r="TUD25" s="197"/>
      <c r="TUE25" s="197"/>
      <c r="TUF25" s="197"/>
      <c r="TUG25" s="197"/>
      <c r="TUH25" s="197"/>
      <c r="TUI25" s="197"/>
      <c r="TUJ25" s="197"/>
      <c r="TUK25" s="197"/>
      <c r="TUL25" s="197"/>
      <c r="TUM25" s="197"/>
      <c r="TUN25" s="197"/>
      <c r="TUO25" s="197"/>
      <c r="TUP25" s="197"/>
      <c r="TUQ25" s="197"/>
      <c r="TUR25" s="197"/>
      <c r="TUS25" s="197"/>
      <c r="TUT25" s="197"/>
      <c r="TUU25" s="197"/>
      <c r="TUV25" s="197"/>
      <c r="TUW25" s="197"/>
      <c r="TUX25" s="197"/>
      <c r="TUY25" s="197"/>
      <c r="TUZ25" s="197"/>
      <c r="TVA25" s="197"/>
      <c r="TVB25" s="197"/>
      <c r="TVC25" s="197"/>
      <c r="TVD25" s="197"/>
      <c r="TVE25" s="197"/>
      <c r="TVF25" s="197"/>
      <c r="TVG25" s="197"/>
      <c r="TVH25" s="197"/>
      <c r="TVI25" s="197"/>
      <c r="TVJ25" s="197"/>
      <c r="TVK25" s="197"/>
      <c r="TVL25" s="197"/>
      <c r="TVM25" s="197"/>
      <c r="TVN25" s="197"/>
      <c r="TVO25" s="197"/>
      <c r="TVP25" s="197"/>
      <c r="TVQ25" s="197"/>
      <c r="TVR25" s="197"/>
      <c r="TVS25" s="197"/>
      <c r="TVT25" s="197"/>
      <c r="TVU25" s="197"/>
      <c r="TVV25" s="197"/>
      <c r="TVW25" s="197"/>
      <c r="TVX25" s="197"/>
      <c r="TVY25" s="197"/>
      <c r="TVZ25" s="197"/>
      <c r="TWA25" s="197"/>
      <c r="TWB25" s="197"/>
      <c r="TWC25" s="197"/>
      <c r="TWD25" s="197"/>
      <c r="TWE25" s="197"/>
      <c r="TWF25" s="197"/>
      <c r="TWG25" s="197"/>
      <c r="TWH25" s="197"/>
      <c r="TWI25" s="197"/>
      <c r="TWJ25" s="197"/>
      <c r="TWK25" s="197"/>
      <c r="TWL25" s="197"/>
      <c r="TWM25" s="197"/>
      <c r="TWN25" s="197"/>
      <c r="TWO25" s="197"/>
      <c r="TWP25" s="197"/>
      <c r="TWQ25" s="197"/>
      <c r="TWR25" s="197"/>
      <c r="TWS25" s="197"/>
      <c r="TWT25" s="197"/>
      <c r="TWU25" s="197"/>
      <c r="TWV25" s="197"/>
      <c r="TWW25" s="197"/>
      <c r="TWX25" s="197"/>
      <c r="TWY25" s="197"/>
      <c r="TWZ25" s="197"/>
      <c r="TXA25" s="197"/>
      <c r="TXB25" s="197"/>
      <c r="TXC25" s="197"/>
      <c r="TXD25" s="197"/>
      <c r="TXE25" s="197"/>
      <c r="TXF25" s="197"/>
      <c r="TXG25" s="197"/>
      <c r="TXH25" s="197"/>
      <c r="TXI25" s="197"/>
      <c r="TXJ25" s="197"/>
      <c r="TXK25" s="197"/>
      <c r="TXL25" s="197"/>
      <c r="TXM25" s="197"/>
      <c r="TXN25" s="197"/>
      <c r="TXO25" s="197"/>
      <c r="TXP25" s="197"/>
      <c r="TXQ25" s="197"/>
      <c r="TXR25" s="197"/>
      <c r="TXS25" s="197"/>
      <c r="TXT25" s="197"/>
      <c r="TXU25" s="197"/>
      <c r="TXV25" s="197"/>
      <c r="TXW25" s="197"/>
      <c r="TXX25" s="197"/>
      <c r="TXY25" s="197"/>
      <c r="TXZ25" s="197"/>
      <c r="TYA25" s="197"/>
      <c r="TYB25" s="197"/>
      <c r="TYC25" s="197"/>
      <c r="TYD25" s="197"/>
      <c r="TYE25" s="197"/>
      <c r="TYF25" s="197"/>
      <c r="TYG25" s="197"/>
      <c r="TYH25" s="197"/>
      <c r="TYI25" s="197"/>
      <c r="TYJ25" s="197"/>
      <c r="TYK25" s="197"/>
      <c r="TYL25" s="197"/>
      <c r="TYM25" s="197"/>
      <c r="TYN25" s="197"/>
      <c r="TYO25" s="197"/>
      <c r="TYP25" s="197"/>
      <c r="TYQ25" s="197"/>
      <c r="TYR25" s="197"/>
      <c r="TYS25" s="197"/>
      <c r="TYT25" s="197"/>
      <c r="TYU25" s="197"/>
      <c r="TYV25" s="197"/>
      <c r="TYW25" s="197"/>
      <c r="TYX25" s="197"/>
      <c r="TYY25" s="197"/>
      <c r="TYZ25" s="197"/>
      <c r="TZA25" s="197"/>
      <c r="TZB25" s="197"/>
      <c r="TZC25" s="197"/>
      <c r="TZD25" s="197"/>
      <c r="TZE25" s="197"/>
      <c r="TZF25" s="197"/>
      <c r="TZG25" s="197"/>
      <c r="TZH25" s="197"/>
      <c r="TZI25" s="197"/>
      <c r="TZJ25" s="197"/>
      <c r="TZK25" s="197"/>
      <c r="TZL25" s="197"/>
      <c r="TZM25" s="197"/>
      <c r="TZN25" s="197"/>
      <c r="TZO25" s="197"/>
      <c r="TZP25" s="197"/>
      <c r="TZQ25" s="197"/>
      <c r="TZR25" s="197"/>
      <c r="TZS25" s="197"/>
      <c r="TZT25" s="197"/>
      <c r="TZU25" s="197"/>
      <c r="TZV25" s="197"/>
      <c r="TZW25" s="197"/>
      <c r="TZX25" s="197"/>
      <c r="TZY25" s="197"/>
      <c r="TZZ25" s="197"/>
      <c r="UAA25" s="197"/>
      <c r="UAB25" s="197"/>
      <c r="UAC25" s="197"/>
      <c r="UAD25" s="197"/>
      <c r="UAE25" s="197"/>
      <c r="UAF25" s="197"/>
      <c r="UAG25" s="197"/>
      <c r="UAH25" s="197"/>
      <c r="UAI25" s="197"/>
      <c r="UAJ25" s="197"/>
      <c r="UAK25" s="197"/>
      <c r="UAL25" s="197"/>
      <c r="UAM25" s="197"/>
      <c r="UAN25" s="197"/>
      <c r="UAO25" s="197"/>
      <c r="UAP25" s="197"/>
      <c r="UAQ25" s="197"/>
      <c r="UAR25" s="197"/>
      <c r="UAS25" s="197"/>
      <c r="UAT25" s="197"/>
      <c r="UAU25" s="197"/>
      <c r="UAV25" s="197"/>
      <c r="UAW25" s="197"/>
      <c r="UAX25" s="197"/>
      <c r="UAY25" s="197"/>
      <c r="UAZ25" s="197"/>
      <c r="UBA25" s="197"/>
      <c r="UBB25" s="197"/>
      <c r="UBC25" s="197"/>
      <c r="UBD25" s="197"/>
      <c r="UBE25" s="197"/>
      <c r="UBF25" s="197"/>
      <c r="UBG25" s="197"/>
      <c r="UBH25" s="197"/>
      <c r="UBI25" s="197"/>
      <c r="UBJ25" s="197"/>
      <c r="UBK25" s="197"/>
      <c r="UBL25" s="197"/>
      <c r="UBM25" s="197"/>
      <c r="UBN25" s="197"/>
      <c r="UBO25" s="197"/>
      <c r="UBP25" s="197"/>
      <c r="UBQ25" s="197"/>
      <c r="UBR25" s="197"/>
      <c r="UBS25" s="197"/>
      <c r="UBT25" s="197"/>
      <c r="UBU25" s="197"/>
      <c r="UBV25" s="197"/>
      <c r="UBW25" s="197"/>
      <c r="UBX25" s="197"/>
      <c r="UBY25" s="197"/>
      <c r="UBZ25" s="197"/>
      <c r="UCA25" s="197"/>
      <c r="UCB25" s="197"/>
      <c r="UCC25" s="197"/>
      <c r="UCD25" s="197"/>
      <c r="UCE25" s="197"/>
      <c r="UCF25" s="197"/>
      <c r="UCG25" s="197"/>
      <c r="UCH25" s="197"/>
      <c r="UCI25" s="197"/>
      <c r="UCJ25" s="197"/>
      <c r="UCK25" s="197"/>
      <c r="UCL25" s="197"/>
      <c r="UCM25" s="197"/>
      <c r="UCN25" s="197"/>
      <c r="UCO25" s="197"/>
      <c r="UCP25" s="197"/>
      <c r="UCQ25" s="197"/>
      <c r="UCR25" s="197"/>
      <c r="UCS25" s="197"/>
      <c r="UCT25" s="197"/>
      <c r="UCU25" s="197"/>
      <c r="UCV25" s="197"/>
      <c r="UCW25" s="197"/>
      <c r="UCX25" s="197"/>
      <c r="UCY25" s="197"/>
      <c r="UCZ25" s="197"/>
      <c r="UDA25" s="197"/>
      <c r="UDB25" s="197"/>
      <c r="UDC25" s="197"/>
      <c r="UDD25" s="197"/>
      <c r="UDE25" s="197"/>
      <c r="UDF25" s="197"/>
      <c r="UDG25" s="197"/>
      <c r="UDH25" s="197"/>
      <c r="UDI25" s="197"/>
      <c r="UDJ25" s="197"/>
      <c r="UDK25" s="197"/>
      <c r="UDL25" s="197"/>
      <c r="UDM25" s="197"/>
      <c r="UDN25" s="197"/>
      <c r="UDO25" s="197"/>
      <c r="UDP25" s="197"/>
      <c r="UDQ25" s="197"/>
      <c r="UDR25" s="197"/>
      <c r="UDS25" s="197"/>
      <c r="UDT25" s="197"/>
      <c r="UDU25" s="197"/>
      <c r="UDV25" s="197"/>
      <c r="UDW25" s="197"/>
      <c r="UDX25" s="197"/>
      <c r="UDY25" s="197"/>
      <c r="UDZ25" s="197"/>
      <c r="UEA25" s="197"/>
      <c r="UEB25" s="197"/>
      <c r="UEC25" s="197"/>
      <c r="UED25" s="197"/>
      <c r="UEE25" s="197"/>
      <c r="UEF25" s="197"/>
      <c r="UEG25" s="197"/>
      <c r="UEH25" s="197"/>
      <c r="UEI25" s="197"/>
      <c r="UEJ25" s="197"/>
      <c r="UEK25" s="197"/>
      <c r="UEL25" s="197"/>
      <c r="UEM25" s="197"/>
      <c r="UEN25" s="197"/>
      <c r="UEO25" s="197"/>
      <c r="UEP25" s="197"/>
      <c r="UEQ25" s="197"/>
      <c r="UER25" s="197"/>
      <c r="UES25" s="197"/>
      <c r="UET25" s="197"/>
      <c r="UEU25" s="197"/>
      <c r="UEV25" s="197"/>
      <c r="UEW25" s="197"/>
      <c r="UEX25" s="197"/>
      <c r="UEY25" s="197"/>
      <c r="UEZ25" s="197"/>
      <c r="UFA25" s="197"/>
      <c r="UFB25" s="197"/>
      <c r="UFC25" s="197"/>
      <c r="UFD25" s="197"/>
      <c r="UFE25" s="197"/>
      <c r="UFF25" s="197"/>
      <c r="UFG25" s="197"/>
      <c r="UFH25" s="197"/>
      <c r="UFI25" s="197"/>
      <c r="UFJ25" s="197"/>
      <c r="UFK25" s="197"/>
      <c r="UFL25" s="197"/>
      <c r="UFM25" s="197"/>
      <c r="UFN25" s="197"/>
      <c r="UFO25" s="197"/>
      <c r="UFP25" s="197"/>
      <c r="UFQ25" s="197"/>
      <c r="UFR25" s="197"/>
      <c r="UFS25" s="197"/>
      <c r="UFT25" s="197"/>
      <c r="UFU25" s="197"/>
      <c r="UFV25" s="197"/>
      <c r="UFW25" s="197"/>
      <c r="UFX25" s="197"/>
      <c r="UFY25" s="197"/>
      <c r="UFZ25" s="197"/>
      <c r="UGA25" s="197"/>
      <c r="UGB25" s="197"/>
      <c r="UGC25" s="197"/>
      <c r="UGD25" s="197"/>
      <c r="UGE25" s="197"/>
      <c r="UGF25" s="197"/>
      <c r="UGG25" s="197"/>
      <c r="UGH25" s="197"/>
      <c r="UGI25" s="197"/>
      <c r="UGJ25" s="197"/>
      <c r="UGK25" s="197"/>
      <c r="UGL25" s="197"/>
      <c r="UGM25" s="197"/>
      <c r="UGN25" s="197"/>
      <c r="UGO25" s="197"/>
      <c r="UGP25" s="197"/>
      <c r="UGQ25" s="197"/>
      <c r="UGR25" s="197"/>
      <c r="UGS25" s="197"/>
      <c r="UGT25" s="197"/>
      <c r="UGU25" s="197"/>
      <c r="UGV25" s="197"/>
      <c r="UGW25" s="197"/>
      <c r="UGX25" s="197"/>
      <c r="UGY25" s="197"/>
      <c r="UGZ25" s="197"/>
      <c r="UHA25" s="197"/>
      <c r="UHB25" s="197"/>
      <c r="UHC25" s="197"/>
      <c r="UHD25" s="197"/>
      <c r="UHE25" s="197"/>
      <c r="UHF25" s="197"/>
      <c r="UHG25" s="197"/>
      <c r="UHH25" s="197"/>
      <c r="UHI25" s="197"/>
      <c r="UHJ25" s="197"/>
      <c r="UHK25" s="197"/>
      <c r="UHL25" s="197"/>
      <c r="UHM25" s="197"/>
      <c r="UHN25" s="197"/>
      <c r="UHO25" s="197"/>
      <c r="UHP25" s="197"/>
      <c r="UHQ25" s="197"/>
      <c r="UHR25" s="197"/>
      <c r="UHS25" s="197"/>
      <c r="UHT25" s="197"/>
      <c r="UHU25" s="197"/>
      <c r="UHV25" s="197"/>
      <c r="UHW25" s="197"/>
      <c r="UHX25" s="197"/>
      <c r="UHY25" s="197"/>
      <c r="UHZ25" s="197"/>
      <c r="UIA25" s="197"/>
      <c r="UIB25" s="197"/>
      <c r="UIC25" s="197"/>
      <c r="UID25" s="197"/>
      <c r="UIE25" s="197"/>
      <c r="UIF25" s="197"/>
      <c r="UIG25" s="197"/>
      <c r="UIH25" s="197"/>
      <c r="UII25" s="197"/>
      <c r="UIJ25" s="197"/>
      <c r="UIK25" s="197"/>
      <c r="UIL25" s="197"/>
      <c r="UIM25" s="197"/>
      <c r="UIN25" s="197"/>
      <c r="UIO25" s="197"/>
      <c r="UIP25" s="197"/>
      <c r="UIQ25" s="197"/>
      <c r="UIR25" s="197"/>
      <c r="UIS25" s="197"/>
      <c r="UIT25" s="197"/>
      <c r="UIU25" s="197"/>
      <c r="UIV25" s="197"/>
      <c r="UIW25" s="197"/>
      <c r="UIX25" s="197"/>
      <c r="UIY25" s="197"/>
      <c r="UIZ25" s="197"/>
      <c r="UJA25" s="197"/>
      <c r="UJB25" s="197"/>
      <c r="UJC25" s="197"/>
      <c r="UJD25" s="197"/>
      <c r="UJE25" s="197"/>
      <c r="UJF25" s="197"/>
      <c r="UJG25" s="197"/>
      <c r="UJH25" s="197"/>
      <c r="UJI25" s="197"/>
      <c r="UJJ25" s="197"/>
      <c r="UJK25" s="197"/>
      <c r="UJL25" s="197"/>
      <c r="UJM25" s="197"/>
      <c r="UJN25" s="197"/>
      <c r="UJO25" s="197"/>
      <c r="UJP25" s="197"/>
      <c r="UJQ25" s="197"/>
      <c r="UJR25" s="197"/>
      <c r="UJS25" s="197"/>
      <c r="UJT25" s="197"/>
      <c r="UJU25" s="197"/>
      <c r="UJV25" s="197"/>
      <c r="UJW25" s="197"/>
      <c r="UJX25" s="197"/>
      <c r="UJY25" s="197"/>
      <c r="UJZ25" s="197"/>
      <c r="UKA25" s="197"/>
      <c r="UKB25" s="197"/>
      <c r="UKC25" s="197"/>
      <c r="UKD25" s="197"/>
      <c r="UKE25" s="197"/>
      <c r="UKF25" s="197"/>
      <c r="UKG25" s="197"/>
      <c r="UKH25" s="197"/>
      <c r="UKI25" s="197"/>
      <c r="UKJ25" s="197"/>
      <c r="UKK25" s="197"/>
      <c r="UKL25" s="197"/>
      <c r="UKM25" s="197"/>
      <c r="UKN25" s="197"/>
      <c r="UKO25" s="197"/>
      <c r="UKP25" s="197"/>
      <c r="UKQ25" s="197"/>
      <c r="UKR25" s="197"/>
      <c r="UKS25" s="197"/>
      <c r="UKT25" s="197"/>
      <c r="UKU25" s="197"/>
      <c r="UKV25" s="197"/>
      <c r="UKW25" s="197"/>
      <c r="UKX25" s="197"/>
      <c r="UKY25" s="197"/>
      <c r="UKZ25" s="197"/>
      <c r="ULA25" s="197"/>
      <c r="ULB25" s="197"/>
      <c r="ULC25" s="197"/>
      <c r="ULD25" s="197"/>
      <c r="ULE25" s="197"/>
      <c r="ULF25" s="197"/>
      <c r="ULG25" s="197"/>
      <c r="ULH25" s="197"/>
      <c r="ULI25" s="197"/>
      <c r="ULJ25" s="197"/>
      <c r="ULK25" s="197"/>
      <c r="ULL25" s="197"/>
      <c r="ULM25" s="197"/>
      <c r="ULN25" s="197"/>
      <c r="ULO25" s="197"/>
      <c r="ULP25" s="197"/>
      <c r="ULQ25" s="197"/>
      <c r="ULR25" s="197"/>
      <c r="ULS25" s="197"/>
      <c r="ULT25" s="197"/>
      <c r="ULU25" s="197"/>
      <c r="ULV25" s="197"/>
      <c r="ULW25" s="197"/>
      <c r="ULX25" s="197"/>
      <c r="ULY25" s="197"/>
      <c r="ULZ25" s="197"/>
      <c r="UMA25" s="197"/>
      <c r="UMB25" s="197"/>
      <c r="UMC25" s="197"/>
      <c r="UMD25" s="197"/>
      <c r="UME25" s="197"/>
      <c r="UMF25" s="197"/>
      <c r="UMG25" s="197"/>
      <c r="UMH25" s="197"/>
      <c r="UMI25" s="197"/>
      <c r="UMJ25" s="197"/>
      <c r="UMK25" s="197"/>
      <c r="UML25" s="197"/>
      <c r="UMM25" s="197"/>
      <c r="UMN25" s="197"/>
      <c r="UMO25" s="197"/>
      <c r="UMP25" s="197"/>
      <c r="UMQ25" s="197"/>
      <c r="UMR25" s="197"/>
      <c r="UMS25" s="197"/>
      <c r="UMT25" s="197"/>
      <c r="UMU25" s="197"/>
      <c r="UMV25" s="197"/>
      <c r="UMW25" s="197"/>
      <c r="UMX25" s="197"/>
      <c r="UMY25" s="197"/>
      <c r="UMZ25" s="197"/>
      <c r="UNA25" s="197"/>
      <c r="UNB25" s="197"/>
      <c r="UNC25" s="197"/>
      <c r="UND25" s="197"/>
      <c r="UNE25" s="197"/>
      <c r="UNF25" s="197"/>
      <c r="UNG25" s="197"/>
      <c r="UNH25" s="197"/>
      <c r="UNI25" s="197"/>
      <c r="UNJ25" s="197"/>
      <c r="UNK25" s="197"/>
      <c r="UNL25" s="197"/>
      <c r="UNM25" s="197"/>
      <c r="UNN25" s="197"/>
      <c r="UNO25" s="197"/>
      <c r="UNP25" s="197"/>
      <c r="UNQ25" s="197"/>
      <c r="UNR25" s="197"/>
      <c r="UNS25" s="197"/>
      <c r="UNT25" s="197"/>
      <c r="UNU25" s="197"/>
      <c r="UNV25" s="197"/>
      <c r="UNW25" s="197"/>
      <c r="UNX25" s="197"/>
      <c r="UNY25" s="197"/>
      <c r="UNZ25" s="197"/>
      <c r="UOA25" s="197"/>
      <c r="UOB25" s="197"/>
      <c r="UOC25" s="197"/>
      <c r="UOD25" s="197"/>
      <c r="UOE25" s="197"/>
      <c r="UOF25" s="197"/>
      <c r="UOG25" s="197"/>
      <c r="UOH25" s="197"/>
      <c r="UOI25" s="197"/>
      <c r="UOJ25" s="197"/>
      <c r="UOK25" s="197"/>
      <c r="UOL25" s="197"/>
      <c r="UOM25" s="197"/>
      <c r="UON25" s="197"/>
      <c r="UOO25" s="197"/>
      <c r="UOP25" s="197"/>
      <c r="UOQ25" s="197"/>
      <c r="UOR25" s="197"/>
      <c r="UOS25" s="197"/>
      <c r="UOT25" s="197"/>
      <c r="UOU25" s="197"/>
      <c r="UOV25" s="197"/>
      <c r="UOW25" s="197"/>
      <c r="UOX25" s="197"/>
      <c r="UOY25" s="197"/>
      <c r="UOZ25" s="197"/>
      <c r="UPA25" s="197"/>
      <c r="UPB25" s="197"/>
      <c r="UPC25" s="197"/>
      <c r="UPD25" s="197"/>
      <c r="UPE25" s="197"/>
      <c r="UPF25" s="197"/>
      <c r="UPG25" s="197"/>
      <c r="UPH25" s="197"/>
      <c r="UPI25" s="197"/>
      <c r="UPJ25" s="197"/>
      <c r="UPK25" s="197"/>
      <c r="UPL25" s="197"/>
      <c r="UPM25" s="197"/>
      <c r="UPN25" s="197"/>
      <c r="UPO25" s="197"/>
      <c r="UPP25" s="197"/>
      <c r="UPQ25" s="197"/>
      <c r="UPR25" s="197"/>
      <c r="UPS25" s="197"/>
      <c r="UPT25" s="197"/>
      <c r="UPU25" s="197"/>
      <c r="UPV25" s="197"/>
      <c r="UPW25" s="197"/>
      <c r="UPX25" s="197"/>
      <c r="UPY25" s="197"/>
      <c r="UPZ25" s="197"/>
      <c r="UQA25" s="197"/>
      <c r="UQB25" s="197"/>
      <c r="UQC25" s="197"/>
      <c r="UQD25" s="197"/>
      <c r="UQE25" s="197"/>
      <c r="UQF25" s="197"/>
      <c r="UQG25" s="197"/>
      <c r="UQH25" s="197"/>
      <c r="UQI25" s="197"/>
      <c r="UQJ25" s="197"/>
      <c r="UQK25" s="197"/>
      <c r="UQL25" s="197"/>
      <c r="UQM25" s="197"/>
      <c r="UQN25" s="197"/>
      <c r="UQO25" s="197"/>
      <c r="UQP25" s="197"/>
      <c r="UQQ25" s="197"/>
      <c r="UQR25" s="197"/>
      <c r="UQS25" s="197"/>
      <c r="UQT25" s="197"/>
      <c r="UQU25" s="197"/>
      <c r="UQV25" s="197"/>
      <c r="UQW25" s="197"/>
      <c r="UQX25" s="197"/>
      <c r="UQY25" s="197"/>
      <c r="UQZ25" s="197"/>
      <c r="URA25" s="197"/>
      <c r="URB25" s="197"/>
      <c r="URC25" s="197"/>
      <c r="URD25" s="197"/>
      <c r="URE25" s="197"/>
      <c r="URF25" s="197"/>
      <c r="URG25" s="197"/>
      <c r="URH25" s="197"/>
      <c r="URI25" s="197"/>
      <c r="URJ25" s="197"/>
      <c r="URK25" s="197"/>
      <c r="URL25" s="197"/>
      <c r="URM25" s="197"/>
      <c r="URN25" s="197"/>
      <c r="URO25" s="197"/>
      <c r="URP25" s="197"/>
      <c r="URQ25" s="197"/>
      <c r="URR25" s="197"/>
      <c r="URS25" s="197"/>
      <c r="URT25" s="197"/>
      <c r="URU25" s="197"/>
      <c r="URV25" s="197"/>
      <c r="URW25" s="197"/>
      <c r="URX25" s="197"/>
      <c r="URY25" s="197"/>
      <c r="URZ25" s="197"/>
      <c r="USA25" s="197"/>
      <c r="USB25" s="197"/>
      <c r="USC25" s="197"/>
      <c r="USD25" s="197"/>
      <c r="USE25" s="197"/>
      <c r="USF25" s="197"/>
      <c r="USG25" s="197"/>
      <c r="USH25" s="197"/>
      <c r="USI25" s="197"/>
      <c r="USJ25" s="197"/>
      <c r="USK25" s="197"/>
      <c r="USL25" s="197"/>
      <c r="USM25" s="197"/>
      <c r="USN25" s="197"/>
      <c r="USO25" s="197"/>
      <c r="USP25" s="197"/>
      <c r="USQ25" s="197"/>
      <c r="USR25" s="197"/>
      <c r="USS25" s="197"/>
      <c r="UST25" s="197"/>
      <c r="USU25" s="197"/>
      <c r="USV25" s="197"/>
      <c r="USW25" s="197"/>
      <c r="USX25" s="197"/>
      <c r="USY25" s="197"/>
      <c r="USZ25" s="197"/>
      <c r="UTA25" s="197"/>
      <c r="UTB25" s="197"/>
      <c r="UTC25" s="197"/>
      <c r="UTD25" s="197"/>
      <c r="UTE25" s="197"/>
      <c r="UTF25" s="197"/>
      <c r="UTG25" s="197"/>
      <c r="UTH25" s="197"/>
      <c r="UTI25" s="197"/>
      <c r="UTJ25" s="197"/>
      <c r="UTK25" s="197"/>
      <c r="UTL25" s="197"/>
      <c r="UTM25" s="197"/>
      <c r="UTN25" s="197"/>
      <c r="UTO25" s="197"/>
      <c r="UTP25" s="197"/>
      <c r="UTQ25" s="197"/>
      <c r="UTR25" s="197"/>
      <c r="UTS25" s="197"/>
      <c r="UTT25" s="197"/>
      <c r="UTU25" s="197"/>
      <c r="UTV25" s="197"/>
      <c r="UTW25" s="197"/>
      <c r="UTX25" s="197"/>
      <c r="UTY25" s="197"/>
      <c r="UTZ25" s="197"/>
      <c r="UUA25" s="197"/>
      <c r="UUB25" s="197"/>
      <c r="UUC25" s="197"/>
      <c r="UUD25" s="197"/>
      <c r="UUE25" s="197"/>
      <c r="UUF25" s="197"/>
      <c r="UUG25" s="197"/>
      <c r="UUH25" s="197"/>
      <c r="UUI25" s="197"/>
      <c r="UUJ25" s="197"/>
      <c r="UUK25" s="197"/>
      <c r="UUL25" s="197"/>
      <c r="UUM25" s="197"/>
      <c r="UUN25" s="197"/>
      <c r="UUO25" s="197"/>
      <c r="UUP25" s="197"/>
      <c r="UUQ25" s="197"/>
      <c r="UUR25" s="197"/>
      <c r="UUS25" s="197"/>
      <c r="UUT25" s="197"/>
      <c r="UUU25" s="197"/>
      <c r="UUV25" s="197"/>
      <c r="UUW25" s="197"/>
      <c r="UUX25" s="197"/>
      <c r="UUY25" s="197"/>
      <c r="UUZ25" s="197"/>
      <c r="UVA25" s="197"/>
      <c r="UVB25" s="197"/>
      <c r="UVC25" s="197"/>
      <c r="UVD25" s="197"/>
      <c r="UVE25" s="197"/>
      <c r="UVF25" s="197"/>
      <c r="UVG25" s="197"/>
      <c r="UVH25" s="197"/>
      <c r="UVI25" s="197"/>
      <c r="UVJ25" s="197"/>
      <c r="UVK25" s="197"/>
      <c r="UVL25" s="197"/>
      <c r="UVM25" s="197"/>
      <c r="UVN25" s="197"/>
      <c r="UVO25" s="197"/>
      <c r="UVP25" s="197"/>
      <c r="UVQ25" s="197"/>
      <c r="UVR25" s="197"/>
      <c r="UVS25" s="197"/>
      <c r="UVT25" s="197"/>
      <c r="UVU25" s="197"/>
      <c r="UVV25" s="197"/>
      <c r="UVW25" s="197"/>
      <c r="UVX25" s="197"/>
      <c r="UVY25" s="197"/>
      <c r="UVZ25" s="197"/>
      <c r="UWA25" s="197"/>
      <c r="UWB25" s="197"/>
      <c r="UWC25" s="197"/>
      <c r="UWD25" s="197"/>
      <c r="UWE25" s="197"/>
      <c r="UWF25" s="197"/>
      <c r="UWG25" s="197"/>
      <c r="UWH25" s="197"/>
      <c r="UWI25" s="197"/>
      <c r="UWJ25" s="197"/>
      <c r="UWK25" s="197"/>
      <c r="UWL25" s="197"/>
      <c r="UWM25" s="197"/>
      <c r="UWN25" s="197"/>
      <c r="UWO25" s="197"/>
      <c r="UWP25" s="197"/>
      <c r="UWQ25" s="197"/>
      <c r="UWR25" s="197"/>
      <c r="UWS25" s="197"/>
      <c r="UWT25" s="197"/>
      <c r="UWU25" s="197"/>
      <c r="UWV25" s="197"/>
      <c r="UWW25" s="197"/>
      <c r="UWX25" s="197"/>
      <c r="UWY25" s="197"/>
      <c r="UWZ25" s="197"/>
      <c r="UXA25" s="197"/>
      <c r="UXB25" s="197"/>
      <c r="UXC25" s="197"/>
      <c r="UXD25" s="197"/>
      <c r="UXE25" s="197"/>
      <c r="UXF25" s="197"/>
      <c r="UXG25" s="197"/>
      <c r="UXH25" s="197"/>
      <c r="UXI25" s="197"/>
      <c r="UXJ25" s="197"/>
      <c r="UXK25" s="197"/>
      <c r="UXL25" s="197"/>
      <c r="UXM25" s="197"/>
      <c r="UXN25" s="197"/>
      <c r="UXO25" s="197"/>
      <c r="UXP25" s="197"/>
      <c r="UXQ25" s="197"/>
      <c r="UXR25" s="197"/>
      <c r="UXS25" s="197"/>
      <c r="UXT25" s="197"/>
      <c r="UXU25" s="197"/>
      <c r="UXV25" s="197"/>
      <c r="UXW25" s="197"/>
      <c r="UXX25" s="197"/>
      <c r="UXY25" s="197"/>
      <c r="UXZ25" s="197"/>
      <c r="UYA25" s="197"/>
      <c r="UYB25" s="197"/>
      <c r="UYC25" s="197"/>
      <c r="UYD25" s="197"/>
      <c r="UYE25" s="197"/>
      <c r="UYF25" s="197"/>
      <c r="UYG25" s="197"/>
      <c r="UYH25" s="197"/>
      <c r="UYI25" s="197"/>
      <c r="UYJ25" s="197"/>
      <c r="UYK25" s="197"/>
      <c r="UYL25" s="197"/>
      <c r="UYM25" s="197"/>
      <c r="UYN25" s="197"/>
      <c r="UYO25" s="197"/>
      <c r="UYP25" s="197"/>
      <c r="UYQ25" s="197"/>
      <c r="UYR25" s="197"/>
      <c r="UYS25" s="197"/>
      <c r="UYT25" s="197"/>
      <c r="UYU25" s="197"/>
      <c r="UYV25" s="197"/>
      <c r="UYW25" s="197"/>
      <c r="UYX25" s="197"/>
      <c r="UYY25" s="197"/>
      <c r="UYZ25" s="197"/>
      <c r="UZA25" s="197"/>
      <c r="UZB25" s="197"/>
      <c r="UZC25" s="197"/>
      <c r="UZD25" s="197"/>
      <c r="UZE25" s="197"/>
      <c r="UZF25" s="197"/>
      <c r="UZG25" s="197"/>
      <c r="UZH25" s="197"/>
      <c r="UZI25" s="197"/>
      <c r="UZJ25" s="197"/>
      <c r="UZK25" s="197"/>
      <c r="UZL25" s="197"/>
      <c r="UZM25" s="197"/>
      <c r="UZN25" s="197"/>
      <c r="UZO25" s="197"/>
      <c r="UZP25" s="197"/>
      <c r="UZQ25" s="197"/>
      <c r="UZR25" s="197"/>
      <c r="UZS25" s="197"/>
      <c r="UZT25" s="197"/>
      <c r="UZU25" s="197"/>
      <c r="UZV25" s="197"/>
      <c r="UZW25" s="197"/>
      <c r="UZX25" s="197"/>
      <c r="UZY25" s="197"/>
      <c r="UZZ25" s="197"/>
      <c r="VAA25" s="197"/>
      <c r="VAB25" s="197"/>
      <c r="VAC25" s="197"/>
      <c r="VAD25" s="197"/>
      <c r="VAE25" s="197"/>
      <c r="VAF25" s="197"/>
      <c r="VAG25" s="197"/>
      <c r="VAH25" s="197"/>
      <c r="VAI25" s="197"/>
      <c r="VAJ25" s="197"/>
      <c r="VAK25" s="197"/>
      <c r="VAL25" s="197"/>
      <c r="VAM25" s="197"/>
      <c r="VAN25" s="197"/>
      <c r="VAO25" s="197"/>
      <c r="VAP25" s="197"/>
      <c r="VAQ25" s="197"/>
      <c r="VAR25" s="197"/>
      <c r="VAS25" s="197"/>
      <c r="VAT25" s="197"/>
      <c r="VAU25" s="197"/>
      <c r="VAV25" s="197"/>
      <c r="VAW25" s="197"/>
      <c r="VAX25" s="197"/>
      <c r="VAY25" s="197"/>
      <c r="VAZ25" s="197"/>
      <c r="VBA25" s="197"/>
      <c r="VBB25" s="197"/>
      <c r="VBC25" s="197"/>
      <c r="VBD25" s="197"/>
      <c r="VBE25" s="197"/>
      <c r="VBF25" s="197"/>
      <c r="VBG25" s="197"/>
      <c r="VBH25" s="197"/>
      <c r="VBI25" s="197"/>
      <c r="VBJ25" s="197"/>
      <c r="VBK25" s="197"/>
      <c r="VBL25" s="197"/>
      <c r="VBM25" s="197"/>
      <c r="VBN25" s="197"/>
      <c r="VBO25" s="197"/>
      <c r="VBP25" s="197"/>
      <c r="VBQ25" s="197"/>
      <c r="VBR25" s="197"/>
      <c r="VBS25" s="197"/>
      <c r="VBT25" s="197"/>
      <c r="VBU25" s="197"/>
      <c r="VBV25" s="197"/>
      <c r="VBW25" s="197"/>
      <c r="VBX25" s="197"/>
      <c r="VBY25" s="197"/>
      <c r="VBZ25" s="197"/>
      <c r="VCA25" s="197"/>
      <c r="VCB25" s="197"/>
      <c r="VCC25" s="197"/>
      <c r="VCD25" s="197"/>
      <c r="VCE25" s="197"/>
      <c r="VCF25" s="197"/>
      <c r="VCG25" s="197"/>
      <c r="VCH25" s="197"/>
      <c r="VCI25" s="197"/>
      <c r="VCJ25" s="197"/>
      <c r="VCK25" s="197"/>
      <c r="VCL25" s="197"/>
      <c r="VCM25" s="197"/>
      <c r="VCN25" s="197"/>
      <c r="VCO25" s="197"/>
      <c r="VCP25" s="197"/>
      <c r="VCQ25" s="197"/>
      <c r="VCR25" s="197"/>
      <c r="VCS25" s="197"/>
      <c r="VCT25" s="197"/>
      <c r="VCU25" s="197"/>
      <c r="VCV25" s="197"/>
      <c r="VCW25" s="197"/>
      <c r="VCX25" s="197"/>
      <c r="VCY25" s="197"/>
      <c r="VCZ25" s="197"/>
      <c r="VDA25" s="197"/>
      <c r="VDB25" s="197"/>
      <c r="VDC25" s="197"/>
      <c r="VDD25" s="197"/>
      <c r="VDE25" s="197"/>
      <c r="VDF25" s="197"/>
      <c r="VDG25" s="197"/>
      <c r="VDH25" s="197"/>
      <c r="VDI25" s="197"/>
      <c r="VDJ25" s="197"/>
      <c r="VDK25" s="197"/>
      <c r="VDL25" s="197"/>
      <c r="VDM25" s="197"/>
      <c r="VDN25" s="197"/>
      <c r="VDO25" s="197"/>
      <c r="VDP25" s="197"/>
      <c r="VDQ25" s="197"/>
      <c r="VDR25" s="197"/>
      <c r="VDS25" s="197"/>
      <c r="VDT25" s="197"/>
      <c r="VDU25" s="197"/>
      <c r="VDV25" s="197"/>
      <c r="VDW25" s="197"/>
      <c r="VDX25" s="197"/>
      <c r="VDY25" s="197"/>
      <c r="VDZ25" s="197"/>
      <c r="VEA25" s="197"/>
      <c r="VEB25" s="197"/>
      <c r="VEC25" s="197"/>
      <c r="VED25" s="197"/>
      <c r="VEE25" s="197"/>
      <c r="VEF25" s="197"/>
      <c r="VEG25" s="197"/>
      <c r="VEH25" s="197"/>
      <c r="VEI25" s="197"/>
      <c r="VEJ25" s="197"/>
      <c r="VEK25" s="197"/>
      <c r="VEL25" s="197"/>
      <c r="VEM25" s="197"/>
      <c r="VEN25" s="197"/>
      <c r="VEO25" s="197"/>
      <c r="VEP25" s="197"/>
      <c r="VEQ25" s="197"/>
      <c r="VER25" s="197"/>
      <c r="VES25" s="197"/>
      <c r="VET25" s="197"/>
      <c r="VEU25" s="197"/>
      <c r="VEV25" s="197"/>
      <c r="VEW25" s="197"/>
      <c r="VEX25" s="197"/>
      <c r="VEY25" s="197"/>
      <c r="VEZ25" s="197"/>
      <c r="VFA25" s="197"/>
      <c r="VFB25" s="197"/>
      <c r="VFC25" s="197"/>
      <c r="VFD25" s="197"/>
      <c r="VFE25" s="197"/>
      <c r="VFF25" s="197"/>
      <c r="VFG25" s="197"/>
      <c r="VFH25" s="197"/>
      <c r="VFI25" s="197"/>
      <c r="VFJ25" s="197"/>
      <c r="VFK25" s="197"/>
      <c r="VFL25" s="197"/>
      <c r="VFM25" s="197"/>
      <c r="VFN25" s="197"/>
      <c r="VFO25" s="197"/>
      <c r="VFP25" s="197"/>
      <c r="VFQ25" s="197"/>
      <c r="VFR25" s="197"/>
      <c r="VFS25" s="197"/>
      <c r="VFT25" s="197"/>
      <c r="VFU25" s="197"/>
      <c r="VFV25" s="197"/>
      <c r="VFW25" s="197"/>
      <c r="VFX25" s="197"/>
      <c r="VFY25" s="197"/>
      <c r="VFZ25" s="197"/>
      <c r="VGA25" s="197"/>
      <c r="VGB25" s="197"/>
      <c r="VGC25" s="197"/>
      <c r="VGD25" s="197"/>
      <c r="VGE25" s="197"/>
      <c r="VGF25" s="197"/>
      <c r="VGG25" s="197"/>
      <c r="VGH25" s="197"/>
      <c r="VGI25" s="197"/>
      <c r="VGJ25" s="197"/>
      <c r="VGK25" s="197"/>
      <c r="VGL25" s="197"/>
      <c r="VGM25" s="197"/>
      <c r="VGN25" s="197"/>
      <c r="VGO25" s="197"/>
      <c r="VGP25" s="197"/>
      <c r="VGQ25" s="197"/>
      <c r="VGR25" s="197"/>
      <c r="VGS25" s="197"/>
      <c r="VGT25" s="197"/>
      <c r="VGU25" s="197"/>
      <c r="VGV25" s="197"/>
      <c r="VGW25" s="197"/>
      <c r="VGX25" s="197"/>
      <c r="VGY25" s="197"/>
      <c r="VGZ25" s="197"/>
      <c r="VHA25" s="197"/>
      <c r="VHB25" s="197"/>
      <c r="VHC25" s="197"/>
      <c r="VHD25" s="197"/>
      <c r="VHE25" s="197"/>
      <c r="VHF25" s="197"/>
      <c r="VHG25" s="197"/>
      <c r="VHH25" s="197"/>
      <c r="VHI25" s="197"/>
      <c r="VHJ25" s="197"/>
      <c r="VHK25" s="197"/>
      <c r="VHL25" s="197"/>
      <c r="VHM25" s="197"/>
      <c r="VHN25" s="197"/>
      <c r="VHO25" s="197"/>
      <c r="VHP25" s="197"/>
      <c r="VHQ25" s="197"/>
      <c r="VHR25" s="197"/>
      <c r="VHS25" s="197"/>
      <c r="VHT25" s="197"/>
      <c r="VHU25" s="197"/>
      <c r="VHV25" s="197"/>
      <c r="VHW25" s="197"/>
      <c r="VHX25" s="197"/>
      <c r="VHY25" s="197"/>
      <c r="VHZ25" s="197"/>
      <c r="VIA25" s="197"/>
      <c r="VIB25" s="197"/>
      <c r="VIC25" s="197"/>
      <c r="VID25" s="197"/>
      <c r="VIE25" s="197"/>
      <c r="VIF25" s="197"/>
      <c r="VIG25" s="197"/>
      <c r="VIH25" s="197"/>
      <c r="VII25" s="197"/>
      <c r="VIJ25" s="197"/>
      <c r="VIK25" s="197"/>
      <c r="VIL25" s="197"/>
      <c r="VIM25" s="197"/>
      <c r="VIN25" s="197"/>
      <c r="VIO25" s="197"/>
      <c r="VIP25" s="197"/>
      <c r="VIQ25" s="197"/>
      <c r="VIR25" s="197"/>
      <c r="VIS25" s="197"/>
      <c r="VIT25" s="197"/>
      <c r="VIU25" s="197"/>
      <c r="VIV25" s="197"/>
      <c r="VIW25" s="197"/>
      <c r="VIX25" s="197"/>
      <c r="VIY25" s="197"/>
      <c r="VIZ25" s="197"/>
      <c r="VJA25" s="197"/>
      <c r="VJB25" s="197"/>
      <c r="VJC25" s="197"/>
      <c r="VJD25" s="197"/>
      <c r="VJE25" s="197"/>
      <c r="VJF25" s="197"/>
      <c r="VJG25" s="197"/>
      <c r="VJH25" s="197"/>
      <c r="VJI25" s="197"/>
      <c r="VJJ25" s="197"/>
      <c r="VJK25" s="197"/>
      <c r="VJL25" s="197"/>
      <c r="VJM25" s="197"/>
      <c r="VJN25" s="197"/>
      <c r="VJO25" s="197"/>
      <c r="VJP25" s="197"/>
      <c r="VJQ25" s="197"/>
      <c r="VJR25" s="197"/>
      <c r="VJS25" s="197"/>
      <c r="VJT25" s="197"/>
      <c r="VJU25" s="197"/>
      <c r="VJV25" s="197"/>
      <c r="VJW25" s="197"/>
      <c r="VJX25" s="197"/>
      <c r="VJY25" s="197"/>
      <c r="VJZ25" s="197"/>
      <c r="VKA25" s="197"/>
      <c r="VKB25" s="197"/>
      <c r="VKC25" s="197"/>
      <c r="VKD25" s="197"/>
      <c r="VKE25" s="197"/>
      <c r="VKF25" s="197"/>
      <c r="VKG25" s="197"/>
      <c r="VKH25" s="197"/>
      <c r="VKI25" s="197"/>
      <c r="VKJ25" s="197"/>
      <c r="VKK25" s="197"/>
      <c r="VKL25" s="197"/>
      <c r="VKM25" s="197"/>
      <c r="VKN25" s="197"/>
      <c r="VKO25" s="197"/>
      <c r="VKP25" s="197"/>
      <c r="VKQ25" s="197"/>
      <c r="VKR25" s="197"/>
      <c r="VKS25" s="197"/>
      <c r="VKT25" s="197"/>
      <c r="VKU25" s="197"/>
      <c r="VKV25" s="197"/>
      <c r="VKW25" s="197"/>
      <c r="VKX25" s="197"/>
      <c r="VKY25" s="197"/>
      <c r="VKZ25" s="197"/>
      <c r="VLA25" s="197"/>
      <c r="VLB25" s="197"/>
      <c r="VLC25" s="197"/>
      <c r="VLD25" s="197"/>
      <c r="VLE25" s="197"/>
      <c r="VLF25" s="197"/>
      <c r="VLG25" s="197"/>
      <c r="VLH25" s="197"/>
      <c r="VLI25" s="197"/>
      <c r="VLJ25" s="197"/>
      <c r="VLK25" s="197"/>
      <c r="VLL25" s="197"/>
      <c r="VLM25" s="197"/>
      <c r="VLN25" s="197"/>
      <c r="VLO25" s="197"/>
      <c r="VLP25" s="197"/>
      <c r="VLQ25" s="197"/>
      <c r="VLR25" s="197"/>
      <c r="VLS25" s="197"/>
      <c r="VLT25" s="197"/>
      <c r="VLU25" s="197"/>
      <c r="VLV25" s="197"/>
      <c r="VLW25" s="197"/>
      <c r="VLX25" s="197"/>
      <c r="VLY25" s="197"/>
      <c r="VLZ25" s="197"/>
      <c r="VMA25" s="197"/>
      <c r="VMB25" s="197"/>
      <c r="VMC25" s="197"/>
      <c r="VMD25" s="197"/>
      <c r="VME25" s="197"/>
      <c r="VMF25" s="197"/>
      <c r="VMG25" s="197"/>
      <c r="VMH25" s="197"/>
      <c r="VMI25" s="197"/>
      <c r="VMJ25" s="197"/>
      <c r="VMK25" s="197"/>
      <c r="VML25" s="197"/>
      <c r="VMM25" s="197"/>
      <c r="VMN25" s="197"/>
      <c r="VMO25" s="197"/>
      <c r="VMP25" s="197"/>
      <c r="VMQ25" s="197"/>
      <c r="VMR25" s="197"/>
      <c r="VMS25" s="197"/>
      <c r="VMT25" s="197"/>
      <c r="VMU25" s="197"/>
      <c r="VMV25" s="197"/>
      <c r="VMW25" s="197"/>
      <c r="VMX25" s="197"/>
      <c r="VMY25" s="197"/>
      <c r="VMZ25" s="197"/>
      <c r="VNA25" s="197"/>
      <c r="VNB25" s="197"/>
      <c r="VNC25" s="197"/>
      <c r="VND25" s="197"/>
      <c r="VNE25" s="197"/>
      <c r="VNF25" s="197"/>
      <c r="VNG25" s="197"/>
      <c r="VNH25" s="197"/>
      <c r="VNI25" s="197"/>
      <c r="VNJ25" s="197"/>
      <c r="VNK25" s="197"/>
      <c r="VNL25" s="197"/>
      <c r="VNM25" s="197"/>
      <c r="VNN25" s="197"/>
      <c r="VNO25" s="197"/>
      <c r="VNP25" s="197"/>
      <c r="VNQ25" s="197"/>
      <c r="VNR25" s="197"/>
      <c r="VNS25" s="197"/>
      <c r="VNT25" s="197"/>
      <c r="VNU25" s="197"/>
      <c r="VNV25" s="197"/>
      <c r="VNW25" s="197"/>
      <c r="VNX25" s="197"/>
      <c r="VNY25" s="197"/>
      <c r="VNZ25" s="197"/>
      <c r="VOA25" s="197"/>
      <c r="VOB25" s="197"/>
      <c r="VOC25" s="197"/>
      <c r="VOD25" s="197"/>
      <c r="VOE25" s="197"/>
      <c r="VOF25" s="197"/>
      <c r="VOG25" s="197"/>
      <c r="VOH25" s="197"/>
      <c r="VOI25" s="197"/>
      <c r="VOJ25" s="197"/>
      <c r="VOK25" s="197"/>
      <c r="VOL25" s="197"/>
      <c r="VOM25" s="197"/>
      <c r="VON25" s="197"/>
      <c r="VOO25" s="197"/>
      <c r="VOP25" s="197"/>
      <c r="VOQ25" s="197"/>
      <c r="VOR25" s="197"/>
      <c r="VOS25" s="197"/>
      <c r="VOT25" s="197"/>
      <c r="VOU25" s="197"/>
      <c r="VOV25" s="197"/>
      <c r="VOW25" s="197"/>
      <c r="VOX25" s="197"/>
      <c r="VOY25" s="197"/>
      <c r="VOZ25" s="197"/>
      <c r="VPA25" s="197"/>
      <c r="VPB25" s="197"/>
      <c r="VPC25" s="197"/>
      <c r="VPD25" s="197"/>
      <c r="VPE25" s="197"/>
      <c r="VPF25" s="197"/>
      <c r="VPG25" s="197"/>
      <c r="VPH25" s="197"/>
      <c r="VPI25" s="197"/>
      <c r="VPJ25" s="197"/>
      <c r="VPK25" s="197"/>
      <c r="VPL25" s="197"/>
      <c r="VPM25" s="197"/>
      <c r="VPN25" s="197"/>
      <c r="VPO25" s="197"/>
      <c r="VPP25" s="197"/>
      <c r="VPQ25" s="197"/>
      <c r="VPR25" s="197"/>
      <c r="VPS25" s="197"/>
      <c r="VPT25" s="197"/>
      <c r="VPU25" s="197"/>
      <c r="VPV25" s="197"/>
      <c r="VPW25" s="197"/>
      <c r="VPX25" s="197"/>
      <c r="VPY25" s="197"/>
      <c r="VPZ25" s="197"/>
      <c r="VQA25" s="197"/>
      <c r="VQB25" s="197"/>
      <c r="VQC25" s="197"/>
      <c r="VQD25" s="197"/>
      <c r="VQE25" s="197"/>
      <c r="VQF25" s="197"/>
      <c r="VQG25" s="197"/>
      <c r="VQH25" s="197"/>
      <c r="VQI25" s="197"/>
      <c r="VQJ25" s="197"/>
      <c r="VQK25" s="197"/>
      <c r="VQL25" s="197"/>
      <c r="VQM25" s="197"/>
      <c r="VQN25" s="197"/>
      <c r="VQO25" s="197"/>
      <c r="VQP25" s="197"/>
      <c r="VQQ25" s="197"/>
      <c r="VQR25" s="197"/>
      <c r="VQS25" s="197"/>
      <c r="VQT25" s="197"/>
      <c r="VQU25" s="197"/>
      <c r="VQV25" s="197"/>
      <c r="VQW25" s="197"/>
      <c r="VQX25" s="197"/>
      <c r="VQY25" s="197"/>
      <c r="VQZ25" s="197"/>
      <c r="VRA25" s="197"/>
      <c r="VRB25" s="197"/>
      <c r="VRC25" s="197"/>
      <c r="VRD25" s="197"/>
      <c r="VRE25" s="197"/>
      <c r="VRF25" s="197"/>
      <c r="VRG25" s="197"/>
      <c r="VRH25" s="197"/>
      <c r="VRI25" s="197"/>
      <c r="VRJ25" s="197"/>
      <c r="VRK25" s="197"/>
      <c r="VRL25" s="197"/>
      <c r="VRM25" s="197"/>
      <c r="VRN25" s="197"/>
      <c r="VRO25" s="197"/>
      <c r="VRP25" s="197"/>
      <c r="VRQ25" s="197"/>
      <c r="VRR25" s="197"/>
      <c r="VRS25" s="197"/>
      <c r="VRT25" s="197"/>
      <c r="VRU25" s="197"/>
      <c r="VRV25" s="197"/>
      <c r="VRW25" s="197"/>
      <c r="VRX25" s="197"/>
      <c r="VRY25" s="197"/>
      <c r="VRZ25" s="197"/>
      <c r="VSA25" s="197"/>
      <c r="VSB25" s="197"/>
      <c r="VSC25" s="197"/>
      <c r="VSD25" s="197"/>
      <c r="VSE25" s="197"/>
      <c r="VSF25" s="197"/>
      <c r="VSG25" s="197"/>
      <c r="VSH25" s="197"/>
      <c r="VSI25" s="197"/>
      <c r="VSJ25" s="197"/>
      <c r="VSK25" s="197"/>
      <c r="VSL25" s="197"/>
      <c r="VSM25" s="197"/>
      <c r="VSN25" s="197"/>
      <c r="VSO25" s="197"/>
      <c r="VSP25" s="197"/>
      <c r="VSQ25" s="197"/>
      <c r="VSR25" s="197"/>
      <c r="VSS25" s="197"/>
      <c r="VST25" s="197"/>
      <c r="VSU25" s="197"/>
      <c r="VSV25" s="197"/>
      <c r="VSW25" s="197"/>
      <c r="VSX25" s="197"/>
      <c r="VSY25" s="197"/>
      <c r="VSZ25" s="197"/>
      <c r="VTA25" s="197"/>
      <c r="VTB25" s="197"/>
      <c r="VTC25" s="197"/>
      <c r="VTD25" s="197"/>
      <c r="VTE25" s="197"/>
      <c r="VTF25" s="197"/>
      <c r="VTG25" s="197"/>
      <c r="VTH25" s="197"/>
      <c r="VTI25" s="197"/>
      <c r="VTJ25" s="197"/>
      <c r="VTK25" s="197"/>
      <c r="VTL25" s="197"/>
      <c r="VTM25" s="197"/>
      <c r="VTN25" s="197"/>
      <c r="VTO25" s="197"/>
      <c r="VTP25" s="197"/>
      <c r="VTQ25" s="197"/>
      <c r="VTR25" s="197"/>
      <c r="VTS25" s="197"/>
      <c r="VTT25" s="197"/>
      <c r="VTU25" s="197"/>
      <c r="VTV25" s="197"/>
      <c r="VTW25" s="197"/>
      <c r="VTX25" s="197"/>
      <c r="VTY25" s="197"/>
      <c r="VTZ25" s="197"/>
      <c r="VUA25" s="197"/>
      <c r="VUB25" s="197"/>
      <c r="VUC25" s="197"/>
      <c r="VUD25" s="197"/>
      <c r="VUE25" s="197"/>
      <c r="VUF25" s="197"/>
      <c r="VUG25" s="197"/>
      <c r="VUH25" s="197"/>
      <c r="VUI25" s="197"/>
      <c r="VUJ25" s="197"/>
      <c r="VUK25" s="197"/>
      <c r="VUL25" s="197"/>
      <c r="VUM25" s="197"/>
      <c r="VUN25" s="197"/>
      <c r="VUO25" s="197"/>
      <c r="VUP25" s="197"/>
      <c r="VUQ25" s="197"/>
      <c r="VUR25" s="197"/>
      <c r="VUS25" s="197"/>
      <c r="VUT25" s="197"/>
      <c r="VUU25" s="197"/>
      <c r="VUV25" s="197"/>
      <c r="VUW25" s="197"/>
      <c r="VUX25" s="197"/>
      <c r="VUY25" s="197"/>
      <c r="VUZ25" s="197"/>
      <c r="VVA25" s="197"/>
      <c r="VVB25" s="197"/>
      <c r="VVC25" s="197"/>
      <c r="VVD25" s="197"/>
      <c r="VVE25" s="197"/>
      <c r="VVF25" s="197"/>
      <c r="VVG25" s="197"/>
      <c r="VVH25" s="197"/>
      <c r="VVI25" s="197"/>
      <c r="VVJ25" s="197"/>
      <c r="VVK25" s="197"/>
      <c r="VVL25" s="197"/>
      <c r="VVM25" s="197"/>
      <c r="VVN25" s="197"/>
      <c r="VVO25" s="197"/>
      <c r="VVP25" s="197"/>
      <c r="VVQ25" s="197"/>
      <c r="VVR25" s="197"/>
      <c r="VVS25" s="197"/>
      <c r="VVT25" s="197"/>
      <c r="VVU25" s="197"/>
      <c r="VVV25" s="197"/>
      <c r="VVW25" s="197"/>
      <c r="VVX25" s="197"/>
      <c r="VVY25" s="197"/>
      <c r="VVZ25" s="197"/>
      <c r="VWA25" s="197"/>
      <c r="VWB25" s="197"/>
      <c r="VWC25" s="197"/>
      <c r="VWD25" s="197"/>
      <c r="VWE25" s="197"/>
      <c r="VWF25" s="197"/>
      <c r="VWG25" s="197"/>
      <c r="VWH25" s="197"/>
      <c r="VWI25" s="197"/>
      <c r="VWJ25" s="197"/>
      <c r="VWK25" s="197"/>
      <c r="VWL25" s="197"/>
      <c r="VWM25" s="197"/>
      <c r="VWN25" s="197"/>
      <c r="VWO25" s="197"/>
      <c r="VWP25" s="197"/>
      <c r="VWQ25" s="197"/>
      <c r="VWR25" s="197"/>
      <c r="VWS25" s="197"/>
      <c r="VWT25" s="197"/>
      <c r="VWU25" s="197"/>
      <c r="VWV25" s="197"/>
      <c r="VWW25" s="197"/>
      <c r="VWX25" s="197"/>
      <c r="VWY25" s="197"/>
      <c r="VWZ25" s="197"/>
      <c r="VXA25" s="197"/>
      <c r="VXB25" s="197"/>
      <c r="VXC25" s="197"/>
      <c r="VXD25" s="197"/>
      <c r="VXE25" s="197"/>
      <c r="VXF25" s="197"/>
      <c r="VXG25" s="197"/>
      <c r="VXH25" s="197"/>
      <c r="VXI25" s="197"/>
      <c r="VXJ25" s="197"/>
      <c r="VXK25" s="197"/>
      <c r="VXL25" s="197"/>
      <c r="VXM25" s="197"/>
      <c r="VXN25" s="197"/>
      <c r="VXO25" s="197"/>
      <c r="VXP25" s="197"/>
      <c r="VXQ25" s="197"/>
      <c r="VXR25" s="197"/>
      <c r="VXS25" s="197"/>
      <c r="VXT25" s="197"/>
      <c r="VXU25" s="197"/>
      <c r="VXV25" s="197"/>
      <c r="VXW25" s="197"/>
      <c r="VXX25" s="197"/>
      <c r="VXY25" s="197"/>
      <c r="VXZ25" s="197"/>
      <c r="VYA25" s="197"/>
      <c r="VYB25" s="197"/>
      <c r="VYC25" s="197"/>
      <c r="VYD25" s="197"/>
      <c r="VYE25" s="197"/>
      <c r="VYF25" s="197"/>
      <c r="VYG25" s="197"/>
      <c r="VYH25" s="197"/>
      <c r="VYI25" s="197"/>
      <c r="VYJ25" s="197"/>
      <c r="VYK25" s="197"/>
      <c r="VYL25" s="197"/>
      <c r="VYM25" s="197"/>
      <c r="VYN25" s="197"/>
      <c r="VYO25" s="197"/>
      <c r="VYP25" s="197"/>
      <c r="VYQ25" s="197"/>
      <c r="VYR25" s="197"/>
      <c r="VYS25" s="197"/>
      <c r="VYT25" s="197"/>
      <c r="VYU25" s="197"/>
      <c r="VYV25" s="197"/>
      <c r="VYW25" s="197"/>
      <c r="VYX25" s="197"/>
      <c r="VYY25" s="197"/>
      <c r="VYZ25" s="197"/>
      <c r="VZA25" s="197"/>
      <c r="VZB25" s="197"/>
      <c r="VZC25" s="197"/>
      <c r="VZD25" s="197"/>
      <c r="VZE25" s="197"/>
      <c r="VZF25" s="197"/>
      <c r="VZG25" s="197"/>
      <c r="VZH25" s="197"/>
      <c r="VZI25" s="197"/>
      <c r="VZJ25" s="197"/>
      <c r="VZK25" s="197"/>
      <c r="VZL25" s="197"/>
      <c r="VZM25" s="197"/>
      <c r="VZN25" s="197"/>
      <c r="VZO25" s="197"/>
      <c r="VZP25" s="197"/>
      <c r="VZQ25" s="197"/>
      <c r="VZR25" s="197"/>
      <c r="VZS25" s="197"/>
      <c r="VZT25" s="197"/>
      <c r="VZU25" s="197"/>
      <c r="VZV25" s="197"/>
      <c r="VZW25" s="197"/>
      <c r="VZX25" s="197"/>
      <c r="VZY25" s="197"/>
      <c r="VZZ25" s="197"/>
      <c r="WAA25" s="197"/>
      <c r="WAB25" s="197"/>
      <c r="WAC25" s="197"/>
      <c r="WAD25" s="197"/>
      <c r="WAE25" s="197"/>
      <c r="WAF25" s="197"/>
      <c r="WAG25" s="197"/>
      <c r="WAH25" s="197"/>
      <c r="WAI25" s="197"/>
      <c r="WAJ25" s="197"/>
      <c r="WAK25" s="197"/>
      <c r="WAL25" s="197"/>
      <c r="WAM25" s="197"/>
      <c r="WAN25" s="197"/>
      <c r="WAO25" s="197"/>
      <c r="WAP25" s="197"/>
      <c r="WAQ25" s="197"/>
      <c r="WAR25" s="197"/>
      <c r="WAS25" s="197"/>
      <c r="WAT25" s="197"/>
      <c r="WAU25" s="197"/>
      <c r="WAV25" s="197"/>
      <c r="WAW25" s="197"/>
      <c r="WAX25" s="197"/>
      <c r="WAY25" s="197"/>
      <c r="WAZ25" s="197"/>
      <c r="WBA25" s="197"/>
      <c r="WBB25" s="197"/>
      <c r="WBC25" s="197"/>
      <c r="WBD25" s="197"/>
      <c r="WBE25" s="197"/>
      <c r="WBF25" s="197"/>
      <c r="WBG25" s="197"/>
      <c r="WBH25" s="197"/>
      <c r="WBI25" s="197"/>
      <c r="WBJ25" s="197"/>
      <c r="WBK25" s="197"/>
      <c r="WBL25" s="197"/>
      <c r="WBM25" s="197"/>
      <c r="WBN25" s="197"/>
      <c r="WBO25" s="197"/>
      <c r="WBP25" s="197"/>
      <c r="WBQ25" s="197"/>
      <c r="WBR25" s="197"/>
      <c r="WBS25" s="197"/>
      <c r="WBT25" s="197"/>
      <c r="WBU25" s="197"/>
      <c r="WBV25" s="197"/>
      <c r="WBW25" s="197"/>
      <c r="WBX25" s="197"/>
      <c r="WBY25" s="197"/>
      <c r="WBZ25" s="197"/>
      <c r="WCA25" s="197"/>
      <c r="WCB25" s="197"/>
      <c r="WCC25" s="197"/>
      <c r="WCD25" s="197"/>
      <c r="WCE25" s="197"/>
      <c r="WCF25" s="197"/>
      <c r="WCG25" s="197"/>
      <c r="WCH25" s="197"/>
      <c r="WCI25" s="197"/>
      <c r="WCJ25" s="197"/>
      <c r="WCK25" s="197"/>
      <c r="WCL25" s="197"/>
      <c r="WCM25" s="197"/>
      <c r="WCN25" s="197"/>
      <c r="WCO25" s="197"/>
      <c r="WCP25" s="197"/>
      <c r="WCQ25" s="197"/>
      <c r="WCR25" s="197"/>
      <c r="WCS25" s="197"/>
      <c r="WCT25" s="197"/>
      <c r="WCU25" s="197"/>
      <c r="WCV25" s="197"/>
      <c r="WCW25" s="197"/>
      <c r="WCX25" s="197"/>
      <c r="WCY25" s="197"/>
      <c r="WCZ25" s="197"/>
      <c r="WDA25" s="197"/>
      <c r="WDB25" s="197"/>
      <c r="WDC25" s="197"/>
      <c r="WDD25" s="197"/>
      <c r="WDE25" s="197"/>
      <c r="WDF25" s="197"/>
      <c r="WDG25" s="197"/>
      <c r="WDH25" s="197"/>
      <c r="WDI25" s="197"/>
      <c r="WDJ25" s="197"/>
      <c r="WDK25" s="197"/>
      <c r="WDL25" s="197"/>
      <c r="WDM25" s="197"/>
      <c r="WDN25" s="197"/>
      <c r="WDO25" s="197"/>
      <c r="WDP25" s="197"/>
      <c r="WDQ25" s="197"/>
      <c r="WDR25" s="197"/>
      <c r="WDS25" s="197"/>
      <c r="WDT25" s="197"/>
      <c r="WDU25" s="197"/>
      <c r="WDV25" s="197"/>
      <c r="WDW25" s="197"/>
      <c r="WDX25" s="197"/>
      <c r="WDY25" s="197"/>
      <c r="WDZ25" s="197"/>
      <c r="WEA25" s="197"/>
      <c r="WEB25" s="197"/>
      <c r="WEC25" s="197"/>
      <c r="WED25" s="197"/>
      <c r="WEE25" s="197"/>
      <c r="WEF25" s="197"/>
      <c r="WEG25" s="197"/>
      <c r="WEH25" s="197"/>
      <c r="WEI25" s="197"/>
      <c r="WEJ25" s="197"/>
      <c r="WEK25" s="197"/>
      <c r="WEL25" s="197"/>
      <c r="WEM25" s="197"/>
      <c r="WEN25" s="197"/>
      <c r="WEO25" s="197"/>
      <c r="WEP25" s="197"/>
      <c r="WEQ25" s="197"/>
      <c r="WER25" s="197"/>
      <c r="WES25" s="197"/>
      <c r="WET25" s="197"/>
      <c r="WEU25" s="197"/>
      <c r="WEV25" s="197"/>
      <c r="WEW25" s="197"/>
      <c r="WEX25" s="197"/>
      <c r="WEY25" s="197"/>
      <c r="WEZ25" s="197"/>
      <c r="WFA25" s="197"/>
      <c r="WFB25" s="197"/>
      <c r="WFC25" s="197"/>
      <c r="WFD25" s="197"/>
      <c r="WFE25" s="197"/>
      <c r="WFF25" s="197"/>
      <c r="WFG25" s="197"/>
      <c r="WFH25" s="197"/>
      <c r="WFI25" s="197"/>
      <c r="WFJ25" s="197"/>
      <c r="WFK25" s="197"/>
      <c r="WFL25" s="197"/>
      <c r="WFM25" s="197"/>
      <c r="WFN25" s="197"/>
      <c r="WFO25" s="197"/>
      <c r="WFP25" s="197"/>
      <c r="WFQ25" s="197"/>
      <c r="WFR25" s="197"/>
      <c r="WFS25" s="197"/>
      <c r="WFT25" s="197"/>
      <c r="WFU25" s="197"/>
      <c r="WFV25" s="197"/>
      <c r="WFW25" s="197"/>
      <c r="WFX25" s="197"/>
      <c r="WFY25" s="197"/>
      <c r="WFZ25" s="197"/>
      <c r="WGA25" s="197"/>
      <c r="WGB25" s="197"/>
      <c r="WGC25" s="197"/>
      <c r="WGD25" s="197"/>
      <c r="WGE25" s="197"/>
      <c r="WGF25" s="197"/>
      <c r="WGG25" s="197"/>
      <c r="WGH25" s="197"/>
      <c r="WGI25" s="197"/>
      <c r="WGJ25" s="197"/>
      <c r="WGK25" s="197"/>
      <c r="WGL25" s="197"/>
      <c r="WGM25" s="197"/>
      <c r="WGN25" s="197"/>
      <c r="WGO25" s="197"/>
      <c r="WGP25" s="197"/>
      <c r="WGQ25" s="197"/>
      <c r="WGR25" s="197"/>
      <c r="WGS25" s="197"/>
      <c r="WGT25" s="197"/>
      <c r="WGU25" s="197"/>
      <c r="WGV25" s="197"/>
      <c r="WGW25" s="197"/>
      <c r="WGX25" s="197"/>
      <c r="WGY25" s="197"/>
      <c r="WGZ25" s="197"/>
      <c r="WHA25" s="197"/>
      <c r="WHB25" s="197"/>
      <c r="WHC25" s="197"/>
      <c r="WHD25" s="197"/>
      <c r="WHE25" s="197"/>
      <c r="WHF25" s="197"/>
      <c r="WHG25" s="197"/>
      <c r="WHH25" s="197"/>
      <c r="WHI25" s="197"/>
      <c r="WHJ25" s="197"/>
      <c r="WHK25" s="197"/>
      <c r="WHL25" s="197"/>
      <c r="WHM25" s="197"/>
      <c r="WHN25" s="197"/>
      <c r="WHO25" s="197"/>
      <c r="WHP25" s="197"/>
      <c r="WHQ25" s="197"/>
      <c r="WHR25" s="197"/>
      <c r="WHS25" s="197"/>
      <c r="WHT25" s="197"/>
      <c r="WHU25" s="197"/>
      <c r="WHV25" s="197"/>
      <c r="WHW25" s="197"/>
      <c r="WHX25" s="197"/>
      <c r="WHY25" s="197"/>
      <c r="WHZ25" s="197"/>
      <c r="WIA25" s="197"/>
      <c r="WIB25" s="197"/>
      <c r="WIC25" s="197"/>
      <c r="WID25" s="197"/>
      <c r="WIE25" s="197"/>
      <c r="WIF25" s="197"/>
      <c r="WIG25" s="197"/>
      <c r="WIH25" s="197"/>
      <c r="WII25" s="197"/>
      <c r="WIJ25" s="197"/>
      <c r="WIK25" s="197"/>
      <c r="WIL25" s="197"/>
      <c r="WIM25" s="197"/>
      <c r="WIN25" s="197"/>
      <c r="WIO25" s="197"/>
      <c r="WIP25" s="197"/>
      <c r="WIQ25" s="197"/>
      <c r="WIR25" s="197"/>
      <c r="WIS25" s="197"/>
      <c r="WIT25" s="197"/>
      <c r="WIU25" s="197"/>
      <c r="WIV25" s="197"/>
      <c r="WIW25" s="197"/>
      <c r="WIX25" s="197"/>
      <c r="WIY25" s="197"/>
      <c r="WIZ25" s="197"/>
      <c r="WJA25" s="197"/>
      <c r="WJB25" s="197"/>
      <c r="WJC25" s="197"/>
      <c r="WJD25" s="197"/>
      <c r="WJE25" s="197"/>
      <c r="WJF25" s="197"/>
      <c r="WJG25" s="197"/>
      <c r="WJH25" s="197"/>
      <c r="WJI25" s="197"/>
      <c r="WJJ25" s="197"/>
      <c r="WJK25" s="197"/>
      <c r="WJL25" s="197"/>
      <c r="WJM25" s="197"/>
      <c r="WJN25" s="197"/>
      <c r="WJO25" s="197"/>
      <c r="WJP25" s="197"/>
      <c r="WJQ25" s="197"/>
      <c r="WJR25" s="197"/>
      <c r="WJS25" s="197"/>
      <c r="WJT25" s="197"/>
      <c r="WJU25" s="197"/>
      <c r="WJV25" s="197"/>
      <c r="WJW25" s="197"/>
      <c r="WJX25" s="197"/>
      <c r="WJY25" s="197"/>
      <c r="WJZ25" s="197"/>
      <c r="WKA25" s="197"/>
      <c r="WKB25" s="197"/>
      <c r="WKC25" s="197"/>
      <c r="WKD25" s="197"/>
      <c r="WKE25" s="197"/>
      <c r="WKF25" s="197"/>
      <c r="WKG25" s="197"/>
      <c r="WKH25" s="197"/>
      <c r="WKI25" s="197"/>
      <c r="WKJ25" s="197"/>
      <c r="WKK25" s="197"/>
      <c r="WKL25" s="197"/>
      <c r="WKM25" s="197"/>
      <c r="WKN25" s="197"/>
      <c r="WKO25" s="197"/>
      <c r="WKP25" s="197"/>
      <c r="WKQ25" s="197"/>
      <c r="WKR25" s="197"/>
      <c r="WKS25" s="197"/>
      <c r="WKT25" s="197"/>
      <c r="WKU25" s="197"/>
      <c r="WKV25" s="197"/>
      <c r="WKW25" s="197"/>
      <c r="WKX25" s="197"/>
      <c r="WKY25" s="197"/>
      <c r="WKZ25" s="197"/>
      <c r="WLA25" s="197"/>
      <c r="WLB25" s="197"/>
      <c r="WLC25" s="197"/>
      <c r="WLD25" s="197"/>
      <c r="WLE25" s="197"/>
      <c r="WLF25" s="197"/>
      <c r="WLG25" s="197"/>
      <c r="WLH25" s="197"/>
      <c r="WLI25" s="197"/>
      <c r="WLJ25" s="197"/>
      <c r="WLK25" s="197"/>
      <c r="WLL25" s="197"/>
      <c r="WLM25" s="197"/>
      <c r="WLN25" s="197"/>
      <c r="WLO25" s="197"/>
      <c r="WLP25" s="197"/>
      <c r="WLQ25" s="197"/>
      <c r="WLR25" s="197"/>
      <c r="WLS25" s="197"/>
      <c r="WLT25" s="197"/>
      <c r="WLU25" s="197"/>
      <c r="WLV25" s="197"/>
      <c r="WLW25" s="197"/>
      <c r="WLX25" s="197"/>
      <c r="WLY25" s="197"/>
      <c r="WLZ25" s="197"/>
      <c r="WMA25" s="197"/>
      <c r="WMB25" s="197"/>
      <c r="WMC25" s="197"/>
      <c r="WMD25" s="197"/>
      <c r="WME25" s="197"/>
      <c r="WMF25" s="197"/>
      <c r="WMG25" s="197"/>
      <c r="WMH25" s="197"/>
      <c r="WMI25" s="197"/>
      <c r="WMJ25" s="197"/>
      <c r="WMK25" s="197"/>
      <c r="WML25" s="197"/>
      <c r="WMM25" s="197"/>
      <c r="WMN25" s="197"/>
      <c r="WMO25" s="197"/>
      <c r="WMP25" s="197"/>
      <c r="WMQ25" s="197"/>
      <c r="WMR25" s="197"/>
      <c r="WMS25" s="197"/>
      <c r="WMT25" s="197"/>
      <c r="WMU25" s="197"/>
      <c r="WMV25" s="197"/>
      <c r="WMW25" s="197"/>
      <c r="WMX25" s="197"/>
      <c r="WMY25" s="197"/>
      <c r="WMZ25" s="197"/>
      <c r="WNA25" s="197"/>
      <c r="WNB25" s="197"/>
      <c r="WNC25" s="197"/>
      <c r="WND25" s="197"/>
      <c r="WNE25" s="197"/>
      <c r="WNF25" s="197"/>
      <c r="WNG25" s="197"/>
      <c r="WNH25" s="197"/>
      <c r="WNI25" s="197"/>
      <c r="WNJ25" s="197"/>
      <c r="WNK25" s="197"/>
      <c r="WNL25" s="197"/>
      <c r="WNM25" s="197"/>
      <c r="WNN25" s="197"/>
      <c r="WNO25" s="197"/>
      <c r="WNP25" s="197"/>
      <c r="WNQ25" s="197"/>
      <c r="WNR25" s="197"/>
      <c r="WNS25" s="197"/>
      <c r="WNT25" s="197"/>
      <c r="WNU25" s="197"/>
      <c r="WNV25" s="197"/>
      <c r="WNW25" s="197"/>
      <c r="WNX25" s="197"/>
      <c r="WNY25" s="197"/>
      <c r="WNZ25" s="197"/>
      <c r="WOA25" s="197"/>
      <c r="WOB25" s="197"/>
      <c r="WOC25" s="197"/>
      <c r="WOD25" s="197"/>
      <c r="WOE25" s="197"/>
      <c r="WOF25" s="197"/>
      <c r="WOG25" s="197"/>
      <c r="WOH25" s="197"/>
      <c r="WOI25" s="197"/>
      <c r="WOJ25" s="197"/>
      <c r="WOK25" s="197"/>
      <c r="WOL25" s="197"/>
      <c r="WOM25" s="197"/>
      <c r="WON25" s="197"/>
      <c r="WOO25" s="197"/>
      <c r="WOP25" s="197"/>
      <c r="WOQ25" s="197"/>
      <c r="WOR25" s="197"/>
      <c r="WOS25" s="197"/>
      <c r="WOT25" s="197"/>
      <c r="WOU25" s="197"/>
      <c r="WOV25" s="197"/>
      <c r="WOW25" s="197"/>
      <c r="WOX25" s="197"/>
      <c r="WOY25" s="197"/>
      <c r="WOZ25" s="197"/>
      <c r="WPA25" s="197"/>
      <c r="WPB25" s="197"/>
      <c r="WPC25" s="197"/>
      <c r="WPD25" s="197"/>
      <c r="WPE25" s="197"/>
      <c r="WPF25" s="197"/>
      <c r="WPG25" s="197"/>
      <c r="WPH25" s="197"/>
      <c r="WPI25" s="197"/>
      <c r="WPJ25" s="197"/>
      <c r="WPK25" s="197"/>
      <c r="WPL25" s="197"/>
      <c r="WPM25" s="197"/>
      <c r="WPN25" s="197"/>
      <c r="WPO25" s="197"/>
      <c r="WPP25" s="197"/>
      <c r="WPQ25" s="197"/>
      <c r="WPR25" s="197"/>
      <c r="WPS25" s="197"/>
      <c r="WPT25" s="197"/>
      <c r="WPU25" s="197"/>
      <c r="WPV25" s="197"/>
      <c r="WPW25" s="197"/>
      <c r="WPX25" s="197"/>
      <c r="WPY25" s="197"/>
      <c r="WPZ25" s="197"/>
      <c r="WQA25" s="197"/>
      <c r="WQB25" s="197"/>
      <c r="WQC25" s="197"/>
      <c r="WQD25" s="197"/>
      <c r="WQE25" s="197"/>
      <c r="WQF25" s="197"/>
      <c r="WQG25" s="197"/>
      <c r="WQH25" s="197"/>
      <c r="WQI25" s="197"/>
      <c r="WQJ25" s="197"/>
      <c r="WQK25" s="197"/>
      <c r="WQL25" s="197"/>
      <c r="WQM25" s="197"/>
      <c r="WQN25" s="197"/>
      <c r="WQO25" s="197"/>
      <c r="WQP25" s="197"/>
      <c r="WQQ25" s="197"/>
      <c r="WQR25" s="197"/>
      <c r="WQS25" s="197"/>
      <c r="WQT25" s="197"/>
      <c r="WQU25" s="197"/>
      <c r="WQV25" s="197"/>
      <c r="WQW25" s="197"/>
      <c r="WQX25" s="197"/>
      <c r="WQY25" s="197"/>
      <c r="WQZ25" s="197"/>
      <c r="WRA25" s="197"/>
      <c r="WRB25" s="197"/>
      <c r="WRC25" s="197"/>
      <c r="WRD25" s="197"/>
      <c r="WRE25" s="197"/>
      <c r="WRF25" s="197"/>
      <c r="WRG25" s="197"/>
      <c r="WRH25" s="197"/>
      <c r="WRI25" s="197"/>
      <c r="WRJ25" s="197"/>
      <c r="WRK25" s="197"/>
      <c r="WRL25" s="197"/>
      <c r="WRM25" s="197"/>
      <c r="WRN25" s="197"/>
      <c r="WRO25" s="197"/>
      <c r="WRP25" s="197"/>
      <c r="WRQ25" s="197"/>
      <c r="WRR25" s="197"/>
      <c r="WRS25" s="197"/>
      <c r="WRT25" s="197"/>
      <c r="WRU25" s="197"/>
      <c r="WRV25" s="197"/>
      <c r="WRW25" s="197"/>
      <c r="WRX25" s="197"/>
      <c r="WRY25" s="197"/>
      <c r="WRZ25" s="197"/>
      <c r="WSA25" s="197"/>
      <c r="WSB25" s="197"/>
      <c r="WSC25" s="197"/>
      <c r="WSD25" s="197"/>
      <c r="WSE25" s="197"/>
      <c r="WSF25" s="197"/>
      <c r="WSG25" s="197"/>
      <c r="WSH25" s="197"/>
      <c r="WSI25" s="197"/>
      <c r="WSJ25" s="197"/>
      <c r="WSK25" s="197"/>
      <c r="WSL25" s="197"/>
      <c r="WSM25" s="197"/>
      <c r="WSN25" s="197"/>
      <c r="WSO25" s="197"/>
      <c r="WSP25" s="197"/>
      <c r="WSQ25" s="197"/>
      <c r="WSR25" s="197"/>
      <c r="WSS25" s="197"/>
      <c r="WST25" s="197"/>
      <c r="WSU25" s="197"/>
      <c r="WSV25" s="197"/>
      <c r="WSW25" s="197"/>
      <c r="WSX25" s="197"/>
      <c r="WSY25" s="197"/>
      <c r="WSZ25" s="197"/>
      <c r="WTA25" s="197"/>
      <c r="WTB25" s="197"/>
      <c r="WTC25" s="197"/>
      <c r="WTD25" s="197"/>
      <c r="WTE25" s="197"/>
      <c r="WTF25" s="197"/>
      <c r="WTG25" s="197"/>
      <c r="WTH25" s="197"/>
      <c r="WTI25" s="197"/>
      <c r="WTJ25" s="197"/>
      <c r="WTK25" s="197"/>
      <c r="WTL25" s="197"/>
      <c r="WTM25" s="197"/>
      <c r="WTN25" s="197"/>
      <c r="WTO25" s="197"/>
      <c r="WTP25" s="197"/>
      <c r="WTQ25" s="197"/>
      <c r="WTR25" s="197"/>
      <c r="WTS25" s="197"/>
      <c r="WTT25" s="197"/>
      <c r="WTU25" s="197"/>
      <c r="WTV25" s="197"/>
      <c r="WTW25" s="197"/>
      <c r="WTX25" s="197"/>
      <c r="WTY25" s="197"/>
      <c r="WTZ25" s="197"/>
      <c r="WUA25" s="197"/>
      <c r="WUB25" s="197"/>
      <c r="WUC25" s="197"/>
      <c r="WUD25" s="197"/>
      <c r="WUE25" s="197"/>
      <c r="WUF25" s="197"/>
      <c r="WUG25" s="197"/>
      <c r="WUH25" s="197"/>
      <c r="WUI25" s="197"/>
      <c r="WUJ25" s="197"/>
      <c r="WUK25" s="197"/>
      <c r="WUL25" s="197"/>
      <c r="WUM25" s="197"/>
      <c r="WUN25" s="197"/>
      <c r="WUO25" s="197"/>
      <c r="WUP25" s="197"/>
      <c r="WUQ25" s="197"/>
      <c r="WUR25" s="197"/>
      <c r="WUS25" s="197"/>
      <c r="WUT25" s="197"/>
      <c r="WUU25" s="197"/>
      <c r="WUV25" s="197"/>
      <c r="WUW25" s="197"/>
      <c r="WUX25" s="197"/>
      <c r="WUY25" s="197"/>
      <c r="WUZ25" s="197"/>
      <c r="WVA25" s="197"/>
      <c r="WVB25" s="197"/>
      <c r="WVC25" s="197"/>
      <c r="WVD25" s="197"/>
      <c r="WVE25" s="197"/>
      <c r="WVF25" s="197"/>
      <c r="WVG25" s="197"/>
      <c r="WVH25" s="197"/>
      <c r="WVI25" s="197"/>
      <c r="WVJ25" s="197"/>
      <c r="WVK25" s="197"/>
      <c r="WVL25" s="197"/>
      <c r="WVM25" s="197"/>
      <c r="WVN25" s="197"/>
      <c r="WVO25" s="197"/>
      <c r="WVP25" s="197"/>
      <c r="WVQ25" s="197"/>
      <c r="WVR25" s="197"/>
      <c r="WVS25" s="197"/>
      <c r="WVT25" s="197"/>
      <c r="WVU25" s="197"/>
      <c r="WVV25" s="197"/>
      <c r="WVW25" s="197"/>
      <c r="WVX25" s="197"/>
      <c r="WVY25" s="197"/>
      <c r="WVZ25" s="197"/>
      <c r="WWA25" s="197"/>
      <c r="WWB25" s="197"/>
      <c r="WWC25" s="197"/>
      <c r="WWD25" s="197"/>
      <c r="WWE25" s="197"/>
      <c r="WWF25" s="197"/>
      <c r="WWG25" s="197"/>
      <c r="WWH25" s="197"/>
      <c r="WWI25" s="197"/>
      <c r="WWJ25" s="197"/>
      <c r="WWK25" s="197"/>
      <c r="WWL25" s="197"/>
      <c r="WWM25" s="197"/>
      <c r="WWN25" s="197"/>
      <c r="WWO25" s="197"/>
      <c r="WWP25" s="197"/>
      <c r="WWQ25" s="197"/>
      <c r="WWR25" s="197"/>
      <c r="WWS25" s="197"/>
      <c r="WWT25" s="197"/>
      <c r="WWU25" s="197"/>
      <c r="WWV25" s="197"/>
      <c r="WWW25" s="197"/>
      <c r="WWX25" s="197"/>
      <c r="WWY25" s="197"/>
      <c r="WWZ25" s="197"/>
      <c r="WXA25" s="197"/>
      <c r="WXB25" s="197"/>
      <c r="WXC25" s="197"/>
      <c r="WXD25" s="197"/>
      <c r="WXE25" s="197"/>
      <c r="WXF25" s="197"/>
      <c r="WXG25" s="197"/>
      <c r="WXH25" s="197"/>
      <c r="WXI25" s="197"/>
      <c r="WXJ25" s="197"/>
      <c r="WXK25" s="197"/>
      <c r="WXL25" s="197"/>
      <c r="WXM25" s="197"/>
      <c r="WXN25" s="197"/>
      <c r="WXO25" s="197"/>
      <c r="WXP25" s="197"/>
      <c r="WXQ25" s="197"/>
      <c r="WXR25" s="197"/>
      <c r="WXS25" s="197"/>
      <c r="WXT25" s="197"/>
      <c r="WXU25" s="197"/>
      <c r="WXV25" s="197"/>
      <c r="WXW25" s="197"/>
      <c r="WXX25" s="197"/>
      <c r="WXY25" s="197"/>
      <c r="WXZ25" s="197"/>
      <c r="WYA25" s="197"/>
      <c r="WYB25" s="197"/>
      <c r="WYC25" s="197"/>
      <c r="WYD25" s="197"/>
      <c r="WYE25" s="197"/>
      <c r="WYF25" s="197"/>
      <c r="WYG25" s="197"/>
      <c r="WYH25" s="197"/>
      <c r="WYI25" s="197"/>
      <c r="WYJ25" s="197"/>
      <c r="WYK25" s="197"/>
      <c r="WYL25" s="197"/>
      <c r="WYM25" s="197"/>
      <c r="WYN25" s="197"/>
      <c r="WYO25" s="197"/>
      <c r="WYP25" s="197"/>
      <c r="WYQ25" s="197"/>
      <c r="WYR25" s="197"/>
      <c r="WYS25" s="197"/>
      <c r="WYT25" s="197"/>
      <c r="WYU25" s="197"/>
      <c r="WYV25" s="197"/>
      <c r="WYW25" s="197"/>
      <c r="WYX25" s="197"/>
      <c r="WYY25" s="197"/>
      <c r="WYZ25" s="197"/>
      <c r="WZA25" s="197"/>
      <c r="WZB25" s="197"/>
      <c r="WZC25" s="197"/>
      <c r="WZD25" s="197"/>
      <c r="WZE25" s="197"/>
      <c r="WZF25" s="197"/>
      <c r="WZG25" s="197"/>
      <c r="WZH25" s="197"/>
      <c r="WZI25" s="197"/>
      <c r="WZJ25" s="197"/>
      <c r="WZK25" s="197"/>
      <c r="WZL25" s="197"/>
      <c r="WZM25" s="197"/>
      <c r="WZN25" s="197"/>
      <c r="WZO25" s="197"/>
      <c r="WZP25" s="197"/>
      <c r="WZQ25" s="197"/>
      <c r="WZR25" s="197"/>
      <c r="WZS25" s="197"/>
      <c r="WZT25" s="197"/>
      <c r="WZU25" s="197"/>
      <c r="WZV25" s="197"/>
      <c r="WZW25" s="197"/>
      <c r="WZX25" s="197"/>
      <c r="WZY25" s="197"/>
      <c r="WZZ25" s="197"/>
      <c r="XAA25" s="197"/>
      <c r="XAB25" s="197"/>
      <c r="XAC25" s="197"/>
      <c r="XAD25" s="197"/>
      <c r="XAE25" s="197"/>
      <c r="XAF25" s="197"/>
      <c r="XAG25" s="197"/>
      <c r="XAH25" s="197"/>
      <c r="XAI25" s="197"/>
      <c r="XAJ25" s="197"/>
      <c r="XAK25" s="197"/>
      <c r="XAL25" s="197"/>
      <c r="XAM25" s="197"/>
      <c r="XAN25" s="197"/>
      <c r="XAO25" s="197"/>
      <c r="XAP25" s="197"/>
      <c r="XAQ25" s="197"/>
      <c r="XAR25" s="197"/>
      <c r="XAS25" s="197"/>
      <c r="XAT25" s="197"/>
      <c r="XAU25" s="197"/>
      <c r="XAV25" s="197"/>
      <c r="XAW25" s="197"/>
      <c r="XAX25" s="197"/>
      <c r="XAY25" s="197"/>
      <c r="XAZ25" s="197"/>
      <c r="XBA25" s="197"/>
      <c r="XBB25" s="197"/>
      <c r="XBC25" s="197"/>
      <c r="XBD25" s="197"/>
      <c r="XBE25" s="197"/>
      <c r="XBF25" s="197"/>
      <c r="XBG25" s="197"/>
      <c r="XBH25" s="197"/>
      <c r="XBI25" s="197"/>
      <c r="XBJ25" s="197"/>
      <c r="XBK25" s="197"/>
      <c r="XBL25" s="197"/>
      <c r="XBM25" s="197"/>
      <c r="XBN25" s="197"/>
      <c r="XBO25" s="197"/>
      <c r="XBP25" s="197"/>
      <c r="XBQ25" s="197"/>
      <c r="XBR25" s="197"/>
      <c r="XBS25" s="197"/>
      <c r="XBT25" s="197"/>
      <c r="XBU25" s="197"/>
      <c r="XBV25" s="197"/>
      <c r="XBW25" s="197"/>
      <c r="XBX25" s="197"/>
      <c r="XBY25" s="197"/>
      <c r="XBZ25" s="197"/>
      <c r="XCA25" s="197"/>
      <c r="XCB25" s="197"/>
      <c r="XCC25" s="197"/>
      <c r="XCD25" s="197"/>
      <c r="XCE25" s="197"/>
      <c r="XCF25" s="197"/>
      <c r="XCG25" s="197"/>
      <c r="XCH25" s="197"/>
      <c r="XCI25" s="197"/>
      <c r="XCJ25" s="197"/>
      <c r="XCK25" s="197"/>
      <c r="XCL25" s="197"/>
      <c r="XCM25" s="197"/>
      <c r="XCN25" s="197"/>
      <c r="XCO25" s="197"/>
      <c r="XCP25" s="197"/>
      <c r="XCQ25" s="197"/>
      <c r="XCR25" s="197"/>
      <c r="XCS25" s="197"/>
      <c r="XCT25" s="197"/>
      <c r="XCU25" s="197"/>
      <c r="XCV25" s="197"/>
      <c r="XCW25" s="197"/>
      <c r="XCX25" s="197"/>
      <c r="XCY25" s="197"/>
      <c r="XCZ25" s="197"/>
      <c r="XDA25" s="197"/>
      <c r="XDB25" s="197"/>
      <c r="XDC25" s="197"/>
      <c r="XDD25" s="197"/>
      <c r="XDE25" s="197"/>
      <c r="XDF25" s="197"/>
      <c r="XDG25" s="197"/>
      <c r="XDH25" s="197"/>
      <c r="XDI25" s="197"/>
      <c r="XDJ25" s="197"/>
      <c r="XDK25" s="197"/>
      <c r="XDL25" s="197"/>
      <c r="XDM25" s="197"/>
      <c r="XDN25" s="197"/>
      <c r="XDO25" s="197"/>
      <c r="XDP25" s="197"/>
      <c r="XDQ25" s="197"/>
      <c r="XDR25" s="197"/>
      <c r="XDS25" s="197"/>
      <c r="XDT25" s="197"/>
      <c r="XDU25" s="197"/>
      <c r="XDV25" s="197"/>
      <c r="XDW25" s="197"/>
      <c r="XDX25" s="197"/>
      <c r="XDY25" s="197"/>
      <c r="XDZ25" s="197"/>
      <c r="XEA25" s="197"/>
      <c r="XEB25" s="197"/>
      <c r="XEC25" s="197"/>
      <c r="XED25" s="197"/>
      <c r="XEE25" s="197"/>
      <c r="XEF25" s="197"/>
      <c r="XEG25" s="197"/>
      <c r="XEH25" s="197"/>
      <c r="XEI25" s="197"/>
      <c r="XEJ25" s="197"/>
      <c r="XEK25" s="197"/>
      <c r="XEL25" s="197"/>
      <c r="XEM25" s="197"/>
      <c r="XEN25" s="197"/>
      <c r="XEO25" s="197"/>
      <c r="XEP25" s="197"/>
      <c r="XEQ25" s="197"/>
      <c r="XER25" s="197"/>
      <c r="XES25" s="197"/>
      <c r="XET25" s="197"/>
      <c r="XEU25" s="197"/>
      <c r="XEV25" s="197"/>
      <c r="XEW25" s="197"/>
      <c r="XEX25" s="197"/>
      <c r="XEY25" s="197"/>
      <c r="XEZ25" s="197"/>
      <c r="XFA25" s="197"/>
      <c r="XFB25" s="197"/>
      <c r="XFC25" s="197"/>
    </row>
    <row r="26" spans="1:16383" s="185" customFormat="1" ht="24.5" customHeight="1" thickTop="1" thickBot="1">
      <c r="B26" s="10">
        <v>17</v>
      </c>
      <c r="C26" s="66">
        <v>26</v>
      </c>
      <c r="D26" s="155" t="s">
        <v>90</v>
      </c>
      <c r="E26" s="2" t="s">
        <v>49</v>
      </c>
      <c r="F26" s="2"/>
      <c r="G26" s="2" t="s">
        <v>62</v>
      </c>
      <c r="H26" s="2"/>
      <c r="I26" s="2"/>
      <c r="J26" s="186" t="s">
        <v>568</v>
      </c>
      <c r="K26" s="186" t="s">
        <v>383</v>
      </c>
      <c r="L26" s="160" t="s">
        <v>574</v>
      </c>
      <c r="M26" s="37" t="str" cm="1">
        <f t="array" ref="M26">ToPascal($J26,"","") &amp;"Contoller.ts"</f>
        <v>DocumentSubmitContoller.ts</v>
      </c>
      <c r="N26" s="37" t="str" cm="1">
        <f t="array" ref="N26">ToCamel($J26,"","")</f>
        <v>documentSubmit</v>
      </c>
      <c r="O26" s="37" t="str" cm="1">
        <f t="array" ref="O26">ToCamel($J26,"","") &amp;"Repo.ts"</f>
        <v>documentSubmitRepo.ts</v>
      </c>
      <c r="P26" s="21" t="s">
        <v>302</v>
      </c>
      <c r="Q26" s="155" t="s">
        <v>709</v>
      </c>
      <c r="R26" s="103" t="s">
        <v>382</v>
      </c>
      <c r="S26" s="155" t="s">
        <v>445</v>
      </c>
      <c r="T26" s="2"/>
      <c r="U26" s="21" t="s">
        <v>406</v>
      </c>
      <c r="V26" s="27" t="str" cm="1">
        <f t="array" ref="V26">S26&amp;IF(ISBLANK(S26),ToCamel($U26,"",""),ToPascal($U26,"",""))</f>
        <v>submitDocument</v>
      </c>
      <c r="W26" s="27" t="str" cm="1">
        <f t="array" ref="W26">IF(AB26="post","I" &amp;ToPascal(V26,"","")&amp;"Req","")</f>
        <v>ISubmitDocumentReq</v>
      </c>
      <c r="X26" s="27" t="str" cm="1">
        <f t="array" ref="X26">"I" &amp;ToPascal(V26,"","")&amp;"Res"</f>
        <v>ISubmitDocumentRes</v>
      </c>
      <c r="Y26" s="103" t="s">
        <v>499</v>
      </c>
      <c r="Z26" s="156" t="s">
        <v>582</v>
      </c>
      <c r="AA26" s="155" t="s">
        <v>291</v>
      </c>
      <c r="AB26" s="155" t="s">
        <v>285</v>
      </c>
      <c r="AC26" s="109" t="s">
        <v>295</v>
      </c>
      <c r="AD26" s="110"/>
      <c r="AE26" s="160"/>
      <c r="AF26" s="14"/>
      <c r="AG26" s="14"/>
      <c r="AH26" s="14"/>
      <c r="AI26" s="14"/>
      <c r="AJ26" s="198"/>
      <c r="AK26" s="200"/>
      <c r="AL26" s="92" t="s">
        <v>596</v>
      </c>
      <c r="AM26" s="58" t="s">
        <v>596</v>
      </c>
      <c r="AN26" s="126" t="s">
        <v>596</v>
      </c>
      <c r="AO26" s="52" t="s">
        <v>54</v>
      </c>
      <c r="AP26" s="126"/>
      <c r="AQ26" s="126"/>
      <c r="AR26" s="126"/>
      <c r="AS26" s="66"/>
      <c r="AT26" s="67"/>
      <c r="AU26" s="67"/>
      <c r="AV26" s="188" t="s">
        <v>596</v>
      </c>
    </row>
    <row r="27" spans="1:16383" ht="24.5" customHeight="1" thickTop="1">
      <c r="B27" s="10">
        <v>92</v>
      </c>
      <c r="C27" s="10">
        <v>28</v>
      </c>
      <c r="D27" s="2" t="s">
        <v>141</v>
      </c>
      <c r="E27" s="2" t="s">
        <v>50</v>
      </c>
      <c r="F27" s="2"/>
      <c r="G27" s="2" t="s">
        <v>57</v>
      </c>
      <c r="H27" s="2"/>
      <c r="I27" s="2"/>
      <c r="J27" s="128" t="s">
        <v>404</v>
      </c>
      <c r="K27" s="343" t="s">
        <v>592</v>
      </c>
      <c r="L27" s="393" t="s">
        <v>604</v>
      </c>
      <c r="M27" s="53"/>
      <c r="N27" s="37" t="str" cm="1">
        <f t="array" ref="N27">ToCamel($J27,"","")</f>
        <v>company</v>
      </c>
      <c r="O27" s="53"/>
      <c r="P27" s="21"/>
      <c r="Q27" s="2"/>
      <c r="R27" s="398" t="s">
        <v>258</v>
      </c>
      <c r="S27" s="367" t="s">
        <v>223</v>
      </c>
      <c r="T27" s="367"/>
      <c r="U27" s="356" t="s">
        <v>659</v>
      </c>
      <c r="V27" s="356" t="str" cm="1">
        <f t="array" ref="V27">S27&amp;IF(ISBLANK(S27),ToCamel($U27,"",""),ToPascal($U27,"",""))</f>
        <v>getCompanyDetail</v>
      </c>
      <c r="W27" s="356" t="str" cm="1">
        <f t="array" ref="W27">IF(AB27="post","I" &amp;ToPascal(V27,"","")&amp;"Req","")</f>
        <v/>
      </c>
      <c r="X27" s="356" t="str" cm="1">
        <f t="array" ref="X27">"I" &amp;ToPascal(V27,"","")&amp;"Res"</f>
        <v>IGetCompanyDetailRes</v>
      </c>
      <c r="Y27" s="356" t="s">
        <v>613</v>
      </c>
      <c r="Z27" s="395"/>
      <c r="AA27" s="375" t="s">
        <v>217</v>
      </c>
      <c r="AB27" s="375" t="s">
        <v>223</v>
      </c>
      <c r="AC27" s="376" t="s">
        <v>42</v>
      </c>
      <c r="AD27" s="377" t="s">
        <v>802</v>
      </c>
      <c r="AE27" s="379"/>
      <c r="AF27" s="348" t="s">
        <v>735</v>
      </c>
      <c r="AG27" s="14"/>
      <c r="AH27" s="179"/>
      <c r="AI27" s="179"/>
      <c r="AJ27" s="199" t="s">
        <v>42</v>
      </c>
      <c r="AK27" s="200"/>
      <c r="AL27" s="49" t="s">
        <v>596</v>
      </c>
      <c r="AM27" s="49" t="s">
        <v>838</v>
      </c>
      <c r="AN27" s="126" t="s">
        <v>596</v>
      </c>
      <c r="AO27" s="3" t="s">
        <v>187</v>
      </c>
      <c r="AP27" s="126"/>
      <c r="AQ27" s="126"/>
      <c r="AR27" s="126"/>
      <c r="AS27" s="10"/>
      <c r="AT27" s="13"/>
      <c r="AU27" s="13"/>
      <c r="AV27" s="183" t="s">
        <v>596</v>
      </c>
    </row>
    <row r="28" spans="1:16383" ht="17.5" customHeight="1">
      <c r="B28" s="10">
        <v>14</v>
      </c>
      <c r="C28" s="10">
        <v>43</v>
      </c>
      <c r="D28" s="2" t="s">
        <v>90</v>
      </c>
      <c r="E28" s="2" t="s">
        <v>46</v>
      </c>
      <c r="F28" s="2"/>
      <c r="G28" s="2" t="s">
        <v>50</v>
      </c>
      <c r="H28" s="2"/>
      <c r="I28" s="2"/>
      <c r="J28" s="128" t="s">
        <v>404</v>
      </c>
      <c r="K28" s="344"/>
      <c r="L28" s="394"/>
      <c r="M28" s="53"/>
      <c r="N28" s="37" t="str" cm="1">
        <f t="array" ref="N28">ToCamel($J28,"","")</f>
        <v>company</v>
      </c>
      <c r="O28" s="53"/>
      <c r="P28" s="21"/>
      <c r="Q28" s="2" t="s">
        <v>491</v>
      </c>
      <c r="R28" s="357"/>
      <c r="S28" s="368"/>
      <c r="T28" s="368"/>
      <c r="U28" s="357"/>
      <c r="V28" s="357"/>
      <c r="W28" s="357"/>
      <c r="X28" s="357"/>
      <c r="Y28" s="357"/>
      <c r="Z28" s="396"/>
      <c r="AA28" s="368"/>
      <c r="AB28" s="368"/>
      <c r="AC28" s="376"/>
      <c r="AD28" s="378"/>
      <c r="AE28" s="380"/>
      <c r="AF28" s="349"/>
      <c r="AG28" s="14"/>
      <c r="AH28" s="14"/>
      <c r="AI28" s="10"/>
      <c r="AJ28" s="181"/>
      <c r="AK28" s="189"/>
      <c r="AL28" s="10"/>
      <c r="AM28" s="65"/>
      <c r="AN28" s="126" t="s">
        <v>596</v>
      </c>
      <c r="AO28" s="3" t="s">
        <v>52</v>
      </c>
      <c r="AP28" s="126"/>
      <c r="AQ28" s="126"/>
      <c r="AR28" s="126"/>
      <c r="AS28" s="10"/>
      <c r="AT28" s="13"/>
      <c r="AU28" s="13"/>
      <c r="AV28" s="14"/>
    </row>
    <row r="29" spans="1:16383" ht="24.5" customHeight="1" thickBot="1">
      <c r="B29" s="10">
        <v>68</v>
      </c>
      <c r="C29" s="10">
        <v>9</v>
      </c>
      <c r="D29" s="2" t="s">
        <v>141</v>
      </c>
      <c r="E29" s="2" t="s">
        <v>26</v>
      </c>
      <c r="F29" s="2"/>
      <c r="G29" s="2" t="s">
        <v>109</v>
      </c>
      <c r="H29" s="2" t="s">
        <v>110</v>
      </c>
      <c r="I29" s="2" t="s">
        <v>111</v>
      </c>
      <c r="J29" s="128" t="s">
        <v>404</v>
      </c>
      <c r="K29" s="344"/>
      <c r="L29" s="394"/>
      <c r="M29" s="53"/>
      <c r="N29" s="37" t="str" cm="1">
        <f t="array" ref="N29">ToCamel($J29,"","")</f>
        <v>company</v>
      </c>
      <c r="O29" s="53"/>
      <c r="P29" s="21"/>
      <c r="Q29" s="98"/>
      <c r="R29" s="21" t="s">
        <v>661</v>
      </c>
      <c r="S29" s="25" t="s">
        <v>423</v>
      </c>
      <c r="T29" s="25"/>
      <c r="U29" s="27" t="s">
        <v>663</v>
      </c>
      <c r="V29" s="27" t="str" cm="1">
        <f t="array" ref="V29">S29&amp;IF(ISBLANK(S29),ToCamel($U29,"",""),ToPascal($U29,"",""))</f>
        <v>checkCompanyEmail</v>
      </c>
      <c r="W29" s="132" t="str" cm="1">
        <f t="array" ref="W29">IF(AB29="post","I" &amp;ToPascal(V29,"","")&amp;"Req","")</f>
        <v>ICheckCompanyEmailReq</v>
      </c>
      <c r="X29" s="132" t="str" cm="1">
        <f t="array" ref="X29">"I" &amp;ToPascal(V29,"","")&amp;"Res"</f>
        <v>ICheckCompanyEmailRes</v>
      </c>
      <c r="Y29" s="21" t="s">
        <v>667</v>
      </c>
      <c r="Z29" s="137" t="s">
        <v>573</v>
      </c>
      <c r="AA29" s="134" t="s">
        <v>217</v>
      </c>
      <c r="AB29" s="134" t="s">
        <v>222</v>
      </c>
      <c r="AC29" s="109" t="s">
        <v>596</v>
      </c>
      <c r="AD29" s="106" t="s">
        <v>797</v>
      </c>
      <c r="AE29" s="157"/>
      <c r="AF29" s="346"/>
      <c r="AG29" s="14"/>
      <c r="AH29" s="179"/>
      <c r="AI29" s="179"/>
      <c r="AJ29" s="181" t="s">
        <v>42</v>
      </c>
      <c r="AK29" s="187"/>
      <c r="AL29" s="49" t="s">
        <v>596</v>
      </c>
      <c r="AM29" s="49" t="s">
        <v>839</v>
      </c>
      <c r="AN29" s="126" t="s">
        <v>596</v>
      </c>
      <c r="AO29" s="3" t="s">
        <v>6</v>
      </c>
      <c r="AP29" s="126"/>
      <c r="AQ29" s="126"/>
      <c r="AR29" s="126"/>
      <c r="AS29" s="10"/>
      <c r="AT29" s="13"/>
      <c r="AU29" s="13"/>
      <c r="AV29" s="183" t="s">
        <v>596</v>
      </c>
    </row>
    <row r="30" spans="1:16383" ht="24.5" customHeight="1" thickTop="1" thickBot="1">
      <c r="B30" s="10">
        <v>66</v>
      </c>
      <c r="C30" s="10">
        <v>27</v>
      </c>
      <c r="D30" s="2" t="s">
        <v>141</v>
      </c>
      <c r="E30" s="2" t="s">
        <v>26</v>
      </c>
      <c r="F30" s="2"/>
      <c r="G30" s="2" t="s">
        <v>33</v>
      </c>
      <c r="H30" s="2"/>
      <c r="I30" s="2"/>
      <c r="J30" s="128" t="s">
        <v>404</v>
      </c>
      <c r="K30" s="344"/>
      <c r="L30" s="394"/>
      <c r="M30" s="53"/>
      <c r="N30" s="37" t="str" cm="1">
        <f t="array" ref="N30">ToCamel($J30,"","")</f>
        <v>company</v>
      </c>
      <c r="O30" s="53"/>
      <c r="P30" s="21"/>
      <c r="Q30" s="98"/>
      <c r="R30" s="21" t="s">
        <v>317</v>
      </c>
      <c r="S30" s="2" t="s">
        <v>425</v>
      </c>
      <c r="T30" s="2"/>
      <c r="U30" s="21" t="s">
        <v>404</v>
      </c>
      <c r="V30" s="27" t="str" cm="1">
        <f t="array" ref="V30">S30&amp;IF(ISBLANK(S30),ToCamel($U30,"",""),ToPascal($U30,"",""))</f>
        <v>createCompany</v>
      </c>
      <c r="W30" s="27" t="str" cm="1">
        <f t="array" ref="W30">IF(AB30="post","I" &amp;ToPascal(V30,"","")&amp;"Req","")</f>
        <v>ICreateCompanyReq</v>
      </c>
      <c r="X30" s="27" t="str" cm="1">
        <f t="array" ref="X30">"I" &amp;ToPascal(V30,"","")&amp;"Res"</f>
        <v>ICreateCompanyRes</v>
      </c>
      <c r="Y30" s="21" t="s">
        <v>318</v>
      </c>
      <c r="Z30" s="144" t="s">
        <v>798</v>
      </c>
      <c r="AA30" s="2" t="s">
        <v>287</v>
      </c>
      <c r="AB30" s="2" t="s">
        <v>222</v>
      </c>
      <c r="AC30" s="109" t="s">
        <v>42</v>
      </c>
      <c r="AD30" s="106" t="s">
        <v>594</v>
      </c>
      <c r="AE30" s="157"/>
      <c r="AF30" s="346"/>
      <c r="AG30" s="14"/>
      <c r="AH30" s="179"/>
      <c r="AI30" s="179"/>
      <c r="AJ30" s="14" t="s">
        <v>42</v>
      </c>
      <c r="AK30" s="187"/>
      <c r="AL30" s="49" t="s">
        <v>596</v>
      </c>
      <c r="AM30" s="49" t="s">
        <v>840</v>
      </c>
      <c r="AN30" s="126" t="s">
        <v>596</v>
      </c>
      <c r="AO30" s="3" t="s">
        <v>149</v>
      </c>
      <c r="AP30" s="126"/>
      <c r="AQ30" s="126"/>
      <c r="AR30" s="126"/>
      <c r="AS30" s="10"/>
      <c r="AT30" s="13"/>
      <c r="AU30" s="13"/>
      <c r="AV30" s="183" t="s">
        <v>596</v>
      </c>
    </row>
    <row r="31" spans="1:16383" ht="24.5" customHeight="1" thickTop="1" thickBot="1">
      <c r="B31" s="10">
        <v>65</v>
      </c>
      <c r="C31" s="63">
        <v>6</v>
      </c>
      <c r="D31" s="135" t="s">
        <v>141</v>
      </c>
      <c r="E31" s="2" t="s">
        <v>26</v>
      </c>
      <c r="F31" s="2"/>
      <c r="G31" s="2" t="s">
        <v>147</v>
      </c>
      <c r="H31" s="2"/>
      <c r="I31" s="2"/>
      <c r="J31" s="127" t="s">
        <v>404</v>
      </c>
      <c r="K31" s="344"/>
      <c r="L31" s="394"/>
      <c r="M31" s="46" t="str" cm="1">
        <f t="array" ref="M31">ToPascal($J31,"","") &amp;"Contoller.ts"</f>
        <v>CompanyContoller.ts</v>
      </c>
      <c r="N31" s="37" t="str" cm="1">
        <f t="array" ref="N31">ToCamel($J31,"","")</f>
        <v>company</v>
      </c>
      <c r="O31" s="46" t="str" cm="1">
        <f t="array" ref="O31">ToCamel($J31,"","") &amp;"Repo.ts"</f>
        <v>companyRepo.ts</v>
      </c>
      <c r="P31" s="21"/>
      <c r="Q31" s="98"/>
      <c r="R31" s="133" t="s">
        <v>660</v>
      </c>
      <c r="S31" s="136" t="s">
        <v>223</v>
      </c>
      <c r="T31" s="134"/>
      <c r="U31" s="132" t="s">
        <v>607</v>
      </c>
      <c r="V31" s="132" t="str" cm="1">
        <f t="array" ref="V31">S31&amp;IF(ISBLANK(S31),ToCamel($U31,"",""),ToPascal($U31,"",""))</f>
        <v>getTokenForCompany</v>
      </c>
      <c r="W31" s="132" t="str" cm="1">
        <f t="array" ref="W31">IF(AB31="post","I" &amp;ToPascal(V31,"","")&amp;"Req","")</f>
        <v>IGetTokenForCompanyReq</v>
      </c>
      <c r="X31" s="132" t="str" cm="1">
        <f t="array" ref="X31">"I" &amp;ToPascal(V31,"","")&amp;"Res"</f>
        <v>IGetTokenForCompanyRes</v>
      </c>
      <c r="Y31" s="154" t="s">
        <v>608</v>
      </c>
      <c r="Z31" s="150" t="s">
        <v>598</v>
      </c>
      <c r="AA31" s="136" t="s">
        <v>217</v>
      </c>
      <c r="AB31" s="136" t="s">
        <v>222</v>
      </c>
      <c r="AC31" s="109" t="s">
        <v>42</v>
      </c>
      <c r="AD31" s="46" t="s">
        <v>599</v>
      </c>
      <c r="AE31" s="36"/>
      <c r="AF31" s="346"/>
      <c r="AG31" s="14"/>
      <c r="AH31" s="179"/>
      <c r="AI31" s="179"/>
      <c r="AJ31" s="181" t="s">
        <v>42</v>
      </c>
      <c r="AK31" s="187"/>
      <c r="AL31" s="99" t="s">
        <v>596</v>
      </c>
      <c r="AM31" s="49" t="s">
        <v>841</v>
      </c>
      <c r="AN31" s="126" t="s">
        <v>596</v>
      </c>
      <c r="AO31" s="153" t="s">
        <v>25</v>
      </c>
      <c r="AP31" s="126"/>
      <c r="AQ31" s="126"/>
      <c r="AR31" s="126"/>
      <c r="AS31" s="63"/>
      <c r="AT31" s="65"/>
      <c r="AU31" s="65"/>
      <c r="AV31" s="191" t="s">
        <v>596</v>
      </c>
    </row>
    <row r="32" spans="1:16383" ht="24.5" customHeight="1" thickTop="1" thickBot="1">
      <c r="B32" s="10">
        <v>68</v>
      </c>
      <c r="C32" s="10">
        <v>9</v>
      </c>
      <c r="D32" s="2" t="s">
        <v>141</v>
      </c>
      <c r="E32" s="2" t="s">
        <v>26</v>
      </c>
      <c r="F32" s="2"/>
      <c r="G32" s="2" t="s">
        <v>109</v>
      </c>
      <c r="H32" s="2" t="s">
        <v>110</v>
      </c>
      <c r="I32" s="2" t="s">
        <v>111</v>
      </c>
      <c r="J32" s="128" t="s">
        <v>404</v>
      </c>
      <c r="K32" s="344"/>
      <c r="L32" s="394"/>
      <c r="M32" s="53"/>
      <c r="N32" s="37" t="str" cm="1">
        <f t="array" ref="N32">ToCamel($J32,"","")</f>
        <v>company</v>
      </c>
      <c r="O32" s="53"/>
      <c r="P32" s="21"/>
      <c r="Q32" s="98"/>
      <c r="R32" s="21" t="s">
        <v>662</v>
      </c>
      <c r="S32" s="134" t="s">
        <v>427</v>
      </c>
      <c r="T32" s="134"/>
      <c r="U32" s="132" t="s">
        <v>611</v>
      </c>
      <c r="V32" s="132" t="str" cm="1">
        <f t="array" ref="V32">S32&amp;IF(ISBLANK(S32),ToCamel($U32,"",""),ToPascal($U32,"",""))</f>
        <v>requestPasswordOfCompany</v>
      </c>
      <c r="W32" s="132" t="str" cm="1">
        <f t="array" ref="W32">IF(AB32="post","I" &amp;ToPascal(V32,"","")&amp;"Req","")</f>
        <v>IRequestPasswordOfCompanyReq</v>
      </c>
      <c r="X32" s="132" t="str" cm="1">
        <f t="array" ref="X32">"I" &amp;ToPascal(V32,"","")&amp;"Res"</f>
        <v>IRequestPasswordOfCompanyRes</v>
      </c>
      <c r="Y32" s="132" t="s">
        <v>609</v>
      </c>
      <c r="Z32" s="137" t="s">
        <v>656</v>
      </c>
      <c r="AA32" s="134" t="s">
        <v>217</v>
      </c>
      <c r="AB32" s="134" t="s">
        <v>222</v>
      </c>
      <c r="AC32" s="109" t="s">
        <v>295</v>
      </c>
      <c r="AD32" s="108" t="s">
        <v>799</v>
      </c>
      <c r="AE32" s="157" t="s">
        <v>656</v>
      </c>
      <c r="AF32" s="346"/>
      <c r="AG32" s="14"/>
      <c r="AH32" s="179"/>
      <c r="AI32" s="179"/>
      <c r="AJ32" s="181" t="s">
        <v>42</v>
      </c>
      <c r="AK32" s="187"/>
      <c r="AL32" s="49" t="s">
        <v>596</v>
      </c>
      <c r="AM32" s="49" t="s">
        <v>842</v>
      </c>
      <c r="AN32" s="126" t="s">
        <v>596</v>
      </c>
      <c r="AO32" s="3" t="s">
        <v>36</v>
      </c>
      <c r="AP32" s="126"/>
      <c r="AQ32" s="126"/>
      <c r="AR32" s="126"/>
      <c r="AS32" s="10"/>
      <c r="AT32" s="13"/>
      <c r="AU32" s="13"/>
      <c r="AV32" s="183" t="s">
        <v>596</v>
      </c>
    </row>
    <row r="33" spans="2:48" ht="24.5" customHeight="1" thickTop="1" thickBot="1">
      <c r="B33" s="10">
        <v>69</v>
      </c>
      <c r="C33" s="10">
        <v>11</v>
      </c>
      <c r="D33" s="2" t="s">
        <v>141</v>
      </c>
      <c r="E33" s="2" t="s">
        <v>26</v>
      </c>
      <c r="F33" s="2"/>
      <c r="G33" s="2" t="s">
        <v>109</v>
      </c>
      <c r="H33" s="2" t="s">
        <v>110</v>
      </c>
      <c r="I33" s="2" t="s">
        <v>104</v>
      </c>
      <c r="J33" s="128" t="s">
        <v>404</v>
      </c>
      <c r="K33" s="344"/>
      <c r="L33" s="394"/>
      <c r="M33" s="53"/>
      <c r="N33" s="37" t="str" cm="1">
        <f t="array" ref="N33">ToCamel($J33,"","")</f>
        <v>company</v>
      </c>
      <c r="O33" s="53"/>
      <c r="P33" s="21"/>
      <c r="Q33" s="98"/>
      <c r="R33" s="21" t="s">
        <v>664</v>
      </c>
      <c r="S33" s="134" t="s">
        <v>490</v>
      </c>
      <c r="T33" s="134"/>
      <c r="U33" s="132" t="s">
        <v>612</v>
      </c>
      <c r="V33" s="132" t="str" cm="1">
        <f t="array" ref="V33">S33&amp;IF(ISBLANK(S33),ToCamel($U33,"",""),ToPascal($U33,"",""))</f>
        <v>updatePasswordOfCompanyForRequest</v>
      </c>
      <c r="W33" s="132" t="str" cm="1">
        <f t="array" ref="W33">IF(AB33="post","I" &amp;ToPascal(V33,"","")&amp;"Req","")</f>
        <v>IUpdatePasswordOfCompanyForRequestReq</v>
      </c>
      <c r="X33" s="132" t="str" cm="1">
        <f t="array" ref="X33">"I" &amp;ToPascal(V33,"","")&amp;"Res"</f>
        <v>IUpdatePasswordOfCompanyForRequestRes</v>
      </c>
      <c r="Y33" s="132" t="s">
        <v>610</v>
      </c>
      <c r="Z33" s="137" t="s">
        <v>588</v>
      </c>
      <c r="AA33" s="134" t="s">
        <v>219</v>
      </c>
      <c r="AB33" s="134" t="s">
        <v>222</v>
      </c>
      <c r="AC33" s="109" t="s">
        <v>295</v>
      </c>
      <c r="AD33" s="108" t="s">
        <v>799</v>
      </c>
      <c r="AE33" s="157" t="s">
        <v>656</v>
      </c>
      <c r="AF33" s="346"/>
      <c r="AG33" s="14"/>
      <c r="AH33" s="179"/>
      <c r="AI33" s="179"/>
      <c r="AJ33" s="181" t="s">
        <v>42</v>
      </c>
      <c r="AK33" s="187"/>
      <c r="AL33" s="49" t="s">
        <v>596</v>
      </c>
      <c r="AM33" s="49" t="s">
        <v>843</v>
      </c>
      <c r="AN33" s="126" t="s">
        <v>596</v>
      </c>
      <c r="AO33" s="3" t="s">
        <v>150</v>
      </c>
      <c r="AP33" s="126"/>
      <c r="AQ33" s="126"/>
      <c r="AR33" s="126"/>
      <c r="AS33" s="10"/>
      <c r="AT33" s="13"/>
      <c r="AU33" s="13"/>
      <c r="AV33" s="183" t="s">
        <v>596</v>
      </c>
    </row>
    <row r="34" spans="2:48" ht="24.5" customHeight="1" thickTop="1" thickBot="1">
      <c r="B34" s="10">
        <v>94</v>
      </c>
      <c r="C34" s="10">
        <v>30</v>
      </c>
      <c r="D34" s="2" t="s">
        <v>141</v>
      </c>
      <c r="E34" s="2" t="s">
        <v>50</v>
      </c>
      <c r="F34" s="2"/>
      <c r="G34" s="2" t="s">
        <v>178</v>
      </c>
      <c r="H34" s="2"/>
      <c r="I34" s="2"/>
      <c r="J34" s="128" t="s">
        <v>404</v>
      </c>
      <c r="K34" s="344"/>
      <c r="L34" s="394"/>
      <c r="M34" s="53"/>
      <c r="N34" s="37" t="str" cm="1">
        <f t="array" ref="N34">ToCamel($J34,"","")</f>
        <v>company</v>
      </c>
      <c r="O34" s="53"/>
      <c r="P34" s="21"/>
      <c r="Q34" s="98"/>
      <c r="R34" s="21" t="s">
        <v>665</v>
      </c>
      <c r="S34" s="2" t="s">
        <v>428</v>
      </c>
      <c r="T34" s="2"/>
      <c r="U34" s="21" t="s">
        <v>404</v>
      </c>
      <c r="V34" s="27" t="str" cm="1">
        <f t="array" ref="V34">S34&amp;IF(ISBLANK(S34),ToCamel($U34,"",""),ToPascal($U34,"",""))</f>
        <v>saveCompany</v>
      </c>
      <c r="W34" s="27" t="str" cm="1">
        <f t="array" ref="W34">IF(AB34="post","I" &amp;ToPascal(V34,"","")&amp;"Req","")</f>
        <v>ISaveCompanyReq</v>
      </c>
      <c r="X34" s="27" t="str" cm="1">
        <f t="array" ref="X34">"I" &amp;ToPascal(V34,"","")&amp;"Res"</f>
        <v>ISaveCompanyRes</v>
      </c>
      <c r="Y34" s="21" t="s">
        <v>515</v>
      </c>
      <c r="Z34" s="144" t="s">
        <v>837</v>
      </c>
      <c r="AA34" s="2" t="s">
        <v>291</v>
      </c>
      <c r="AB34" s="2" t="s">
        <v>285</v>
      </c>
      <c r="AC34" s="109" t="s">
        <v>295</v>
      </c>
      <c r="AD34" s="46" t="s">
        <v>800</v>
      </c>
      <c r="AE34" s="157"/>
      <c r="AF34" s="346"/>
      <c r="AG34" s="229" t="s">
        <v>737</v>
      </c>
      <c r="AH34" s="179"/>
      <c r="AI34" s="179"/>
      <c r="AJ34" s="14" t="s">
        <v>42</v>
      </c>
      <c r="AK34" s="187"/>
      <c r="AL34" s="230" t="s">
        <v>596</v>
      </c>
      <c r="AM34" s="49" t="s">
        <v>844</v>
      </c>
      <c r="AN34" s="126" t="s">
        <v>596</v>
      </c>
      <c r="AO34" s="3" t="s">
        <v>188</v>
      </c>
      <c r="AP34" s="126"/>
      <c r="AQ34" s="126"/>
      <c r="AR34" s="126"/>
      <c r="AS34" s="10"/>
      <c r="AT34" s="13"/>
      <c r="AU34" s="13"/>
      <c r="AV34" s="183" t="s">
        <v>596</v>
      </c>
    </row>
    <row r="35" spans="2:48" ht="24.5" customHeight="1" thickTop="1">
      <c r="B35" s="10">
        <v>69</v>
      </c>
      <c r="C35" s="10">
        <v>11</v>
      </c>
      <c r="D35" s="2" t="s">
        <v>141</v>
      </c>
      <c r="E35" s="2" t="s">
        <v>26</v>
      </c>
      <c r="F35" s="2"/>
      <c r="G35" s="2" t="s">
        <v>109</v>
      </c>
      <c r="H35" s="2" t="s">
        <v>110</v>
      </c>
      <c r="I35" s="2" t="s">
        <v>104</v>
      </c>
      <c r="J35" s="128" t="s">
        <v>404</v>
      </c>
      <c r="K35" s="344"/>
      <c r="L35" s="394"/>
      <c r="M35" s="53"/>
      <c r="N35" s="37" t="str" cm="1">
        <f t="array" ref="N35">ToCamel($J35,"","")</f>
        <v>company</v>
      </c>
      <c r="O35" s="53"/>
      <c r="P35" s="21"/>
      <c r="Q35" s="98"/>
      <c r="R35" s="21" t="s">
        <v>668</v>
      </c>
      <c r="S35" s="134" t="s">
        <v>490</v>
      </c>
      <c r="T35" s="134"/>
      <c r="U35" s="132" t="s">
        <v>637</v>
      </c>
      <c r="V35" s="132" t="str" cm="1">
        <f t="array" ref="V35">S35&amp;IF(ISBLANK(S35),ToCamel($U35,"",""),ToPascal($U35,"",""))</f>
        <v>updatePasswordConfirmForCompany</v>
      </c>
      <c r="W35" s="132" t="str" cm="1">
        <f t="array" ref="W35">IF(AB35="post","I" &amp;ToPascal(V35,"","")&amp;"Req","")</f>
        <v>IUpdatePasswordConfirmForCompanyReq</v>
      </c>
      <c r="X35" s="132" t="str" cm="1">
        <f t="array" ref="X35">"I" &amp;ToPascal(V35,"","")&amp;"Res"</f>
        <v>IUpdatePasswordConfirmForCompanyRes</v>
      </c>
      <c r="Y35" s="132" t="s">
        <v>616</v>
      </c>
      <c r="Z35" s="144" t="s">
        <v>638</v>
      </c>
      <c r="AA35" s="134" t="s">
        <v>219</v>
      </c>
      <c r="AB35" s="134" t="s">
        <v>222</v>
      </c>
      <c r="AC35" s="109" t="s">
        <v>295</v>
      </c>
      <c r="AD35" s="108" t="s">
        <v>799</v>
      </c>
      <c r="AE35" s="157" t="s">
        <v>656</v>
      </c>
      <c r="AF35" s="346"/>
      <c r="AG35" s="14"/>
      <c r="AH35" s="179"/>
      <c r="AI35" s="179"/>
      <c r="AJ35" s="181" t="s">
        <v>42</v>
      </c>
      <c r="AK35" s="192"/>
      <c r="AL35" s="49" t="s">
        <v>596</v>
      </c>
      <c r="AM35" s="49" t="s">
        <v>845</v>
      </c>
      <c r="AN35" s="126" t="s">
        <v>596</v>
      </c>
      <c r="AO35" s="3" t="s">
        <v>150</v>
      </c>
      <c r="AP35" s="126"/>
      <c r="AQ35" s="126"/>
      <c r="AR35" s="126"/>
      <c r="AS35" s="10"/>
      <c r="AT35" s="13"/>
      <c r="AU35" s="13"/>
      <c r="AV35" s="183" t="s">
        <v>596</v>
      </c>
    </row>
    <row r="36" spans="2:48" ht="58" customHeight="1">
      <c r="B36" s="10">
        <v>98</v>
      </c>
      <c r="C36" s="10">
        <v>17</v>
      </c>
      <c r="D36" s="2" t="s">
        <v>141</v>
      </c>
      <c r="E36" s="2" t="s">
        <v>191</v>
      </c>
      <c r="F36" s="2"/>
      <c r="G36" s="2" t="s">
        <v>192</v>
      </c>
      <c r="H36" s="2"/>
      <c r="I36" s="2"/>
      <c r="J36" s="128" t="s">
        <v>404</v>
      </c>
      <c r="K36" s="344"/>
      <c r="L36" s="394"/>
      <c r="M36" s="53"/>
      <c r="N36" s="37" t="str" cm="1">
        <f t="array" ref="N36">ToCamel($J36,"","")</f>
        <v>company</v>
      </c>
      <c r="O36" s="53"/>
      <c r="P36" s="21"/>
      <c r="Q36" s="2" t="s">
        <v>491</v>
      </c>
      <c r="R36" s="157" t="s">
        <v>323</v>
      </c>
      <c r="S36" s="3" t="s">
        <v>425</v>
      </c>
      <c r="T36" s="3"/>
      <c r="U36" s="157" t="s">
        <v>433</v>
      </c>
      <c r="V36" s="27" t="str" cm="1">
        <f t="array" ref="V36">S36&amp;IF(ISBLANK(S36),ToCamel($U36,"",""),ToPascal($U36,"",""))</f>
        <v>createCompanyUser</v>
      </c>
      <c r="W36" s="27" t="str" cm="1">
        <f t="array" ref="W36">IF(AB36="post","I" &amp;ToPascal(V36,"","")&amp;"Req","")</f>
        <v>ICreateCompanyUserReq</v>
      </c>
      <c r="X36" s="27" t="str" cm="1">
        <f t="array" ref="X36">"I" &amp;ToPascal(V36,"","")&amp;"Res"</f>
        <v>ICreateCompanyUserRes</v>
      </c>
      <c r="Y36" s="21" t="s">
        <v>324</v>
      </c>
      <c r="Z36" s="3" t="s">
        <v>420</v>
      </c>
      <c r="AA36" s="2" t="s">
        <v>291</v>
      </c>
      <c r="AB36" s="2" t="s">
        <v>285</v>
      </c>
      <c r="AC36" s="109" t="s">
        <v>295</v>
      </c>
      <c r="AD36" s="109"/>
      <c r="AE36" s="157"/>
      <c r="AF36" s="349"/>
      <c r="AG36" s="14"/>
      <c r="AH36" s="14"/>
      <c r="AI36" s="10"/>
      <c r="AJ36" s="181"/>
      <c r="AK36" s="181"/>
      <c r="AL36" s="10"/>
      <c r="AM36" s="65"/>
      <c r="AN36" s="126" t="s">
        <v>596</v>
      </c>
      <c r="AO36" s="3" t="s">
        <v>195</v>
      </c>
      <c r="AP36" s="126"/>
      <c r="AQ36" s="126"/>
      <c r="AR36" s="126"/>
      <c r="AS36" s="10"/>
      <c r="AT36" s="13"/>
      <c r="AU36" s="13"/>
      <c r="AV36" s="181"/>
    </row>
    <row r="37" spans="2:48" ht="17" customHeight="1">
      <c r="B37" s="10">
        <v>95</v>
      </c>
      <c r="C37" s="10">
        <v>18</v>
      </c>
      <c r="D37" s="2" t="s">
        <v>141</v>
      </c>
      <c r="E37" s="2" t="s">
        <v>191</v>
      </c>
      <c r="F37" s="2"/>
      <c r="G37" s="2" t="s">
        <v>56</v>
      </c>
      <c r="H37" s="2"/>
      <c r="I37" s="2"/>
      <c r="J37" s="128" t="s">
        <v>404</v>
      </c>
      <c r="K37" s="344"/>
      <c r="L37" s="394"/>
      <c r="M37" s="53"/>
      <c r="N37" s="37" t="str" cm="1">
        <f t="array" ref="N37">ToCamel($J37,"","")</f>
        <v>company</v>
      </c>
      <c r="O37" s="53"/>
      <c r="P37" s="21"/>
      <c r="Q37" s="2" t="s">
        <v>491</v>
      </c>
      <c r="R37" s="21" t="s">
        <v>319</v>
      </c>
      <c r="S37" s="2" t="s">
        <v>223</v>
      </c>
      <c r="T37" s="2" t="s">
        <v>115</v>
      </c>
      <c r="U37" s="21" t="s">
        <v>433</v>
      </c>
      <c r="V37" s="27" t="str" cm="1">
        <f t="array" ref="V37">S37&amp;IF(ISBLANK(S37),ToCamel($U37,"",""),ToPascal($U37,"",""))</f>
        <v>getCompanyUser</v>
      </c>
      <c r="W37" s="27" t="str" cm="1">
        <f t="array" ref="W37">IF(AB37="post","I" &amp;ToPascal(V37,"","")&amp;"Req","")</f>
        <v/>
      </c>
      <c r="X37" s="27" t="str" cm="1">
        <f t="array" ref="X37">"I" &amp;ToPascal(V37,"","")&amp;"Res"</f>
        <v>IGetCompanyUserRes</v>
      </c>
      <c r="Y37" s="21" t="s">
        <v>322</v>
      </c>
      <c r="Z37" s="2"/>
      <c r="AA37" s="2" t="s">
        <v>217</v>
      </c>
      <c r="AB37" s="2" t="s">
        <v>223</v>
      </c>
      <c r="AC37" s="109" t="s">
        <v>295</v>
      </c>
      <c r="AD37" s="109"/>
      <c r="AE37" s="157"/>
      <c r="AF37" s="349"/>
      <c r="AG37" s="14"/>
      <c r="AH37" s="14"/>
      <c r="AI37" s="10"/>
      <c r="AJ37" s="181"/>
      <c r="AK37" s="181"/>
      <c r="AL37" s="10"/>
      <c r="AM37" s="13"/>
      <c r="AN37" s="126" t="s">
        <v>596</v>
      </c>
      <c r="AO37" s="3" t="s">
        <v>194</v>
      </c>
      <c r="AP37" s="126"/>
      <c r="AQ37" s="126"/>
      <c r="AR37" s="126"/>
      <c r="AS37" s="10"/>
      <c r="AT37" s="13"/>
      <c r="AU37" s="13"/>
      <c r="AV37" s="181"/>
    </row>
    <row r="38" spans="2:48" ht="17" customHeight="1">
      <c r="B38" s="10">
        <v>96</v>
      </c>
      <c r="C38" s="10">
        <v>19</v>
      </c>
      <c r="D38" s="2" t="s">
        <v>141</v>
      </c>
      <c r="E38" s="2" t="s">
        <v>191</v>
      </c>
      <c r="F38" s="2"/>
      <c r="G38" s="2" t="s">
        <v>73</v>
      </c>
      <c r="H38" s="2"/>
      <c r="I38" s="2"/>
      <c r="J38" s="128" t="s">
        <v>404</v>
      </c>
      <c r="K38" s="344"/>
      <c r="L38" s="394"/>
      <c r="M38" s="53"/>
      <c r="N38" s="37" t="str" cm="1">
        <f t="array" ref="N38">ToCamel($J38,"","")</f>
        <v>company</v>
      </c>
      <c r="O38" s="53"/>
      <c r="P38" s="21"/>
      <c r="Q38" s="2" t="s">
        <v>491</v>
      </c>
      <c r="R38" s="21" t="s">
        <v>320</v>
      </c>
      <c r="S38" s="2" t="s">
        <v>434</v>
      </c>
      <c r="T38" s="2"/>
      <c r="U38" s="21" t="s">
        <v>433</v>
      </c>
      <c r="V38" s="27" t="str" cm="1">
        <f t="array" ref="V38">S38&amp;IF(ISBLANK(S38),ToCamel($U38,"",""),ToPascal($U38,"",""))</f>
        <v>deleteCompanyUser</v>
      </c>
      <c r="W38" s="27" t="str" cm="1">
        <f t="array" ref="W38">IF(AB38="post","I" &amp;ToPascal(V38,"","")&amp;"Req","")</f>
        <v/>
      </c>
      <c r="X38" s="27" t="str" cm="1">
        <f t="array" ref="X38">"I" &amp;ToPascal(V38,"","")&amp;"Res"</f>
        <v>IDeleteCompanyUserRes</v>
      </c>
      <c r="Y38" s="21" t="s">
        <v>439</v>
      </c>
      <c r="Z38" s="2" t="s">
        <v>440</v>
      </c>
      <c r="AA38" s="2" t="s">
        <v>300</v>
      </c>
      <c r="AB38" s="2" t="s">
        <v>301</v>
      </c>
      <c r="AC38" s="109" t="s">
        <v>295</v>
      </c>
      <c r="AD38" s="109"/>
      <c r="AE38" s="157"/>
      <c r="AF38" s="349"/>
      <c r="AG38" s="14"/>
      <c r="AH38" s="14"/>
      <c r="AI38" s="10"/>
      <c r="AJ38" s="181"/>
      <c r="AK38" s="181"/>
      <c r="AL38" s="10"/>
      <c r="AM38" s="13"/>
      <c r="AN38" s="126" t="s">
        <v>596</v>
      </c>
      <c r="AO38" s="3" t="s">
        <v>194</v>
      </c>
      <c r="AP38" s="126"/>
      <c r="AQ38" s="126"/>
      <c r="AR38" s="126"/>
      <c r="AS38" s="10"/>
      <c r="AT38" s="13"/>
      <c r="AU38" s="13"/>
      <c r="AV38" s="181"/>
    </row>
    <row r="39" spans="2:48" ht="29" customHeight="1">
      <c r="B39" s="10">
        <v>97</v>
      </c>
      <c r="C39" s="10">
        <v>20</v>
      </c>
      <c r="D39" s="2" t="s">
        <v>141</v>
      </c>
      <c r="E39" s="2" t="s">
        <v>191</v>
      </c>
      <c r="F39" s="2"/>
      <c r="G39" s="2" t="s">
        <v>193</v>
      </c>
      <c r="H39" s="2" t="s">
        <v>104</v>
      </c>
      <c r="I39" s="2"/>
      <c r="J39" s="128" t="s">
        <v>404</v>
      </c>
      <c r="K39" s="344"/>
      <c r="L39" s="394"/>
      <c r="M39" s="53"/>
      <c r="N39" s="37" t="str" cm="1">
        <f t="array" ref="N39">ToCamel($J39,"","")</f>
        <v>company</v>
      </c>
      <c r="O39" s="53"/>
      <c r="P39" s="21"/>
      <c r="Q39" s="2" t="s">
        <v>491</v>
      </c>
      <c r="R39" s="21" t="s">
        <v>321</v>
      </c>
      <c r="S39" s="2" t="s">
        <v>428</v>
      </c>
      <c r="T39" s="2"/>
      <c r="U39" s="21" t="s">
        <v>435</v>
      </c>
      <c r="V39" s="27" t="str" cm="1">
        <f t="array" ref="V39">S39&amp;IF(ISBLANK(S39),ToCamel($U39,"",""),ToPascal($U39,"",""))</f>
        <v>saveCompanyUserGroup</v>
      </c>
      <c r="W39" s="27" t="str" cm="1">
        <f t="array" ref="W39">IF(AB39="post","I" &amp;ToPascal(V39,"","")&amp;"Req","")</f>
        <v>ISaveCompanyUserGroupReq</v>
      </c>
      <c r="X39" s="27" t="str" cm="1">
        <f t="array" ref="X39">"I" &amp;ToPascal(V39,"","")&amp;"Res"</f>
        <v>ISaveCompanyUserGroupRes</v>
      </c>
      <c r="Y39" s="21" t="s">
        <v>437</v>
      </c>
      <c r="Z39" s="3" t="s">
        <v>438</v>
      </c>
      <c r="AA39" s="2" t="s">
        <v>291</v>
      </c>
      <c r="AB39" s="2" t="s">
        <v>285</v>
      </c>
      <c r="AC39" s="109" t="s">
        <v>295</v>
      </c>
      <c r="AD39" s="109"/>
      <c r="AE39" s="157"/>
      <c r="AF39" s="349"/>
      <c r="AG39" s="14"/>
      <c r="AH39" s="14"/>
      <c r="AI39" s="10"/>
      <c r="AJ39" s="181"/>
      <c r="AK39" s="181"/>
      <c r="AL39" s="10"/>
      <c r="AM39" s="13"/>
      <c r="AN39" s="126" t="s">
        <v>596</v>
      </c>
      <c r="AO39" s="3" t="s">
        <v>194</v>
      </c>
      <c r="AP39" s="126"/>
      <c r="AQ39" s="126"/>
      <c r="AR39" s="126"/>
      <c r="AS39" s="10"/>
      <c r="AT39" s="13"/>
      <c r="AU39" s="13"/>
      <c r="AV39" s="181"/>
    </row>
    <row r="40" spans="2:48" ht="17.5" customHeight="1">
      <c r="B40" s="10">
        <v>110</v>
      </c>
      <c r="C40" s="10">
        <v>118</v>
      </c>
      <c r="D40" s="2" t="s">
        <v>141</v>
      </c>
      <c r="E40" s="2" t="s">
        <v>93</v>
      </c>
      <c r="F40" s="2" t="s">
        <v>92</v>
      </c>
      <c r="G40" s="2" t="s">
        <v>178</v>
      </c>
      <c r="H40" s="2"/>
      <c r="I40" s="2"/>
      <c r="J40" s="128" t="s">
        <v>404</v>
      </c>
      <c r="K40" s="344"/>
      <c r="L40" s="394"/>
      <c r="M40" s="53"/>
      <c r="N40" s="37" t="str" cm="1">
        <f t="array" ref="N40">ToCamel($J40,"","")</f>
        <v>company</v>
      </c>
      <c r="O40" s="53"/>
      <c r="P40" s="21"/>
      <c r="Q40" s="2" t="s">
        <v>491</v>
      </c>
      <c r="R40" s="21" t="s">
        <v>397</v>
      </c>
      <c r="S40" s="134" t="s">
        <v>490</v>
      </c>
      <c r="T40" s="2"/>
      <c r="U40" s="21" t="s">
        <v>404</v>
      </c>
      <c r="V40" s="50" t="str" cm="1">
        <f t="array" ref="V40">S40&amp;IF(ISBLANK(S40),ToCamel($U40,"",""),ToPascal($U40,"",""))</f>
        <v>updateCompany</v>
      </c>
      <c r="W40" s="27" t="str" cm="1">
        <f t="array" ref="W40">IF(AB40="post","I" &amp;ToPascal(V40,"","")&amp;"Req","")</f>
        <v>IUpdateCompanyReq</v>
      </c>
      <c r="X40" s="27" t="str" cm="1">
        <f t="array" ref="X40">"I" &amp;ToPascal(V40,"","")&amp;"Res"</f>
        <v>IUpdateCompanyRes</v>
      </c>
      <c r="Y40" s="132" t="s">
        <v>614</v>
      </c>
      <c r="Z40" s="137"/>
      <c r="AA40" s="134" t="s">
        <v>291</v>
      </c>
      <c r="AB40" s="134" t="s">
        <v>285</v>
      </c>
      <c r="AC40" s="109" t="s">
        <v>295</v>
      </c>
      <c r="AD40" s="108"/>
      <c r="AE40" s="159"/>
      <c r="AF40" s="349"/>
      <c r="AG40" s="14"/>
      <c r="AH40" s="14"/>
      <c r="AI40" s="10"/>
      <c r="AJ40" s="181" t="s">
        <v>42</v>
      </c>
      <c r="AK40" s="181"/>
      <c r="AL40" s="10"/>
      <c r="AM40" s="13"/>
      <c r="AN40" s="126" t="s">
        <v>596</v>
      </c>
      <c r="AO40" s="51" t="s">
        <v>107</v>
      </c>
      <c r="AP40" s="126"/>
      <c r="AQ40" s="126"/>
      <c r="AR40" s="126"/>
      <c r="AS40" s="10"/>
      <c r="AT40" s="13"/>
      <c r="AU40" s="13"/>
      <c r="AV40" s="183" t="s">
        <v>596</v>
      </c>
    </row>
    <row r="41" spans="2:48" ht="17.5" customHeight="1">
      <c r="B41" s="10">
        <v>109</v>
      </c>
      <c r="C41" s="61">
        <v>117</v>
      </c>
      <c r="D41" s="134" t="s">
        <v>141</v>
      </c>
      <c r="E41" s="2" t="s">
        <v>93</v>
      </c>
      <c r="F41" s="2" t="s">
        <v>92</v>
      </c>
      <c r="G41" s="2" t="s">
        <v>57</v>
      </c>
      <c r="H41" s="2"/>
      <c r="I41" s="2"/>
      <c r="J41" s="128" t="s">
        <v>404</v>
      </c>
      <c r="K41" s="344"/>
      <c r="L41" s="394"/>
      <c r="M41" s="53"/>
      <c r="N41" s="37" t="str" cm="1">
        <f t="array" ref="N41">ToCamel($J41,"","")</f>
        <v>company</v>
      </c>
      <c r="O41" s="53"/>
      <c r="P41" s="21"/>
      <c r="Q41" s="134" t="s">
        <v>491</v>
      </c>
      <c r="R41" s="154" t="s">
        <v>393</v>
      </c>
      <c r="S41" s="134" t="s">
        <v>223</v>
      </c>
      <c r="T41" s="2"/>
      <c r="U41" s="21" t="s">
        <v>404</v>
      </c>
      <c r="V41" s="27" t="str" cm="1">
        <f t="array" ref="V41">S41&amp;IF(ISBLANK(S41),ToCamel($U41,"",""),ToPascal($U41,"",""))</f>
        <v>getCompany</v>
      </c>
      <c r="W41" s="27"/>
      <c r="X41" s="27" t="str" cm="1">
        <f t="array" ref="X41">"I" &amp;ToPascal(V41,"","")&amp;"Res"</f>
        <v>IGetCompanyRes</v>
      </c>
      <c r="Y41" s="132" t="s">
        <v>613</v>
      </c>
      <c r="Z41" s="137"/>
      <c r="AA41" s="134" t="s">
        <v>217</v>
      </c>
      <c r="AB41" s="134" t="s">
        <v>223</v>
      </c>
      <c r="AC41" s="109" t="s">
        <v>295</v>
      </c>
      <c r="AD41" s="108"/>
      <c r="AE41" s="159"/>
      <c r="AF41" s="349"/>
      <c r="AG41" s="14"/>
      <c r="AH41" s="14"/>
      <c r="AI41" s="10"/>
      <c r="AJ41" s="181"/>
      <c r="AK41" s="181"/>
      <c r="AL41" s="61"/>
      <c r="AM41" s="62"/>
      <c r="AN41" s="126" t="s">
        <v>596</v>
      </c>
      <c r="AO41" s="51" t="s">
        <v>94</v>
      </c>
      <c r="AP41" s="126"/>
      <c r="AQ41" s="126"/>
      <c r="AR41" s="126"/>
      <c r="AS41" s="61"/>
      <c r="AT41" s="62"/>
      <c r="AU41" s="62"/>
      <c r="AV41" s="184"/>
    </row>
    <row r="42" spans="2:48" s="185" customFormat="1" ht="24.5" customHeight="1" thickBot="1">
      <c r="B42" s="10">
        <v>111</v>
      </c>
      <c r="C42" s="66">
        <v>119</v>
      </c>
      <c r="D42" s="155" t="s">
        <v>141</v>
      </c>
      <c r="E42" s="2" t="s">
        <v>93</v>
      </c>
      <c r="F42" s="2" t="s">
        <v>92</v>
      </c>
      <c r="G42" s="2" t="s">
        <v>203</v>
      </c>
      <c r="H42" s="2" t="s">
        <v>202</v>
      </c>
      <c r="I42" s="2"/>
      <c r="J42" s="186" t="s">
        <v>404</v>
      </c>
      <c r="K42" s="344"/>
      <c r="L42" s="394"/>
      <c r="M42" s="53"/>
      <c r="N42" s="37" t="str" cm="1">
        <f t="array" ref="N42">ToCamel($J42,"","")</f>
        <v>company</v>
      </c>
      <c r="O42" s="53"/>
      <c r="P42" s="21"/>
      <c r="Q42" s="98"/>
      <c r="R42" s="103" t="s">
        <v>775</v>
      </c>
      <c r="S42" s="104" t="s">
        <v>428</v>
      </c>
      <c r="T42" s="25"/>
      <c r="U42" s="27" t="s">
        <v>670</v>
      </c>
      <c r="V42" s="90" t="str" cm="1">
        <f t="array" ref="V42">S42&amp;IF(ISBLANK(S42),ToCamel($U42,"",""),ToPascal($U42,"",""))</f>
        <v>saveCompanyLogo</v>
      </c>
      <c r="W42" s="27" t="str" cm="1">
        <f t="array" ref="W42">IF(AB42="post","I" &amp;ToPascal(V42,"","")&amp;"Req","")</f>
        <v>ISaveCompanyLogoReq</v>
      </c>
      <c r="X42" s="27" t="str" cm="1">
        <f t="array" ref="X42">"I" &amp;ToPascal(V42,"","")&amp;"Res"</f>
        <v>ISaveCompanyLogoRes</v>
      </c>
      <c r="Y42" s="103" t="s">
        <v>671</v>
      </c>
      <c r="Z42" s="156" t="s">
        <v>768</v>
      </c>
      <c r="AA42" s="155" t="s">
        <v>291</v>
      </c>
      <c r="AB42" s="155" t="s">
        <v>285</v>
      </c>
      <c r="AC42" s="109" t="s">
        <v>295</v>
      </c>
      <c r="AD42" s="46" t="s">
        <v>801</v>
      </c>
      <c r="AE42" s="160"/>
      <c r="AF42" s="347"/>
      <c r="AG42" s="14"/>
      <c r="AH42" s="179"/>
      <c r="AI42" s="179"/>
      <c r="AJ42" s="181" t="s">
        <v>42</v>
      </c>
      <c r="AK42" s="187"/>
      <c r="AL42" s="88" t="s">
        <v>596</v>
      </c>
      <c r="AM42" s="49" t="s">
        <v>846</v>
      </c>
      <c r="AN42" s="126" t="s">
        <v>596</v>
      </c>
      <c r="AO42" s="52" t="s">
        <v>107</v>
      </c>
      <c r="AP42" s="126"/>
      <c r="AQ42" s="223" t="s">
        <v>769</v>
      </c>
      <c r="AR42" s="126"/>
      <c r="AS42" s="66"/>
      <c r="AT42" s="67"/>
      <c r="AU42" s="67"/>
      <c r="AV42" s="188" t="s">
        <v>596</v>
      </c>
    </row>
    <row r="43" spans="2:48" ht="17.5" customHeight="1" thickTop="1">
      <c r="B43" s="10">
        <v>102</v>
      </c>
      <c r="C43" s="10">
        <v>31</v>
      </c>
      <c r="D43" s="2" t="s">
        <v>141</v>
      </c>
      <c r="E43" s="2" t="s">
        <v>193</v>
      </c>
      <c r="F43" s="2"/>
      <c r="G43" s="2" t="s">
        <v>57</v>
      </c>
      <c r="H43" s="2"/>
      <c r="I43" s="2"/>
      <c r="J43" s="128" t="s">
        <v>405</v>
      </c>
      <c r="K43" s="350" t="s">
        <v>193</v>
      </c>
      <c r="L43" s="397" t="s">
        <v>386</v>
      </c>
      <c r="M43" s="37" t="str" cm="1">
        <f t="array" ref="M43">ToPascal($J43,"","") &amp;"Contoller.ts"</f>
        <v>GroupContoller.ts</v>
      </c>
      <c r="N43" s="37" t="str" cm="1">
        <f t="array" ref="N43">ToCamel($J43,"","")</f>
        <v>group</v>
      </c>
      <c r="O43" s="37" t="str" cm="1">
        <f t="array" ref="O43">ToCamel($J43,"","") &amp;"Repo.ts"</f>
        <v>groupRepo.ts</v>
      </c>
      <c r="P43" s="21"/>
      <c r="Q43" s="2" t="s">
        <v>491</v>
      </c>
      <c r="R43" s="133" t="s">
        <v>363</v>
      </c>
      <c r="S43" s="2" t="s">
        <v>223</v>
      </c>
      <c r="T43" s="2"/>
      <c r="U43" s="21" t="s">
        <v>405</v>
      </c>
      <c r="V43" s="27" t="str" cm="1">
        <f t="array" ref="V43">S43&amp;IF(ISBLANK(S43),ToCamel($U43,"",""),ToPascal($U43,"",""))</f>
        <v>getGroup</v>
      </c>
      <c r="W43" s="27" t="str" cm="1">
        <f t="array" ref="W43">IF(AB43="post","I" &amp;ToPascal(V43,"","")&amp;"Req","")</f>
        <v/>
      </c>
      <c r="X43" s="27" t="str" cm="1">
        <f t="array" ref="X43">"I" &amp;ToPascal(V43,"","")&amp;"Res"</f>
        <v>IGetGroupRes</v>
      </c>
      <c r="Y43" s="21" t="s">
        <v>385</v>
      </c>
      <c r="Z43" s="2"/>
      <c r="AA43" s="2" t="s">
        <v>217</v>
      </c>
      <c r="AB43" s="2" t="s">
        <v>223</v>
      </c>
      <c r="AC43" s="109" t="s">
        <v>295</v>
      </c>
      <c r="AD43" s="109"/>
      <c r="AE43" s="157"/>
      <c r="AF43" s="14"/>
      <c r="AG43" s="14"/>
      <c r="AH43" s="14"/>
      <c r="AI43" s="10"/>
      <c r="AJ43" s="23"/>
      <c r="AL43" s="10"/>
      <c r="AM43" s="13"/>
      <c r="AN43" s="126" t="s">
        <v>596</v>
      </c>
      <c r="AO43" s="3" t="s">
        <v>198</v>
      </c>
      <c r="AP43" s="126"/>
      <c r="AQ43" s="126"/>
      <c r="AR43" s="126"/>
      <c r="AS43" s="10"/>
      <c r="AT43" s="13"/>
      <c r="AU43" s="13"/>
      <c r="AV43" s="14"/>
    </row>
    <row r="44" spans="2:48" ht="15">
      <c r="B44" s="10">
        <v>99</v>
      </c>
      <c r="C44" s="10">
        <v>32</v>
      </c>
      <c r="D44" s="2" t="s">
        <v>141</v>
      </c>
      <c r="E44" s="2" t="s">
        <v>193</v>
      </c>
      <c r="F44" s="2"/>
      <c r="G44" s="2" t="s">
        <v>56</v>
      </c>
      <c r="H44" s="2"/>
      <c r="I44" s="2"/>
      <c r="J44" s="128" t="s">
        <v>405</v>
      </c>
      <c r="K44" s="344"/>
      <c r="L44" s="354"/>
      <c r="M44" s="150"/>
      <c r="N44" s="37" t="str" cm="1">
        <f t="array" ref="N44">ToCamel($J44,"","")</f>
        <v>group</v>
      </c>
      <c r="O44" s="150"/>
      <c r="P44" s="21"/>
      <c r="Q44" s="2" t="s">
        <v>491</v>
      </c>
      <c r="R44" s="21" t="s">
        <v>360</v>
      </c>
      <c r="S44" s="2" t="s">
        <v>223</v>
      </c>
      <c r="T44" s="2" t="s">
        <v>492</v>
      </c>
      <c r="U44" s="21" t="s">
        <v>449</v>
      </c>
      <c r="V44" s="27" t="str" cm="1">
        <f t="array" ref="V44">S44&amp;IF(ISBLANK(S44),ToCamel($U44,"",""),ToPascal($U44,"",""))</f>
        <v>getGroups</v>
      </c>
      <c r="W44" s="27" t="str" cm="1">
        <f t="array" ref="W44">IF(AB44="post","I" &amp;ToPascal(V44,"","")&amp;"Req","")</f>
        <v/>
      </c>
      <c r="X44" s="27" t="str" cm="1">
        <f t="array" ref="X44">"I" &amp;ToPascal(V44,"","")&amp;"Res"</f>
        <v>IGetGroupsRes</v>
      </c>
      <c r="Y44" s="21" t="s">
        <v>365</v>
      </c>
      <c r="Z44" s="2"/>
      <c r="AA44" s="2" t="s">
        <v>217</v>
      </c>
      <c r="AB44" s="2" t="s">
        <v>223</v>
      </c>
      <c r="AC44" s="109" t="s">
        <v>295</v>
      </c>
      <c r="AD44" s="109"/>
      <c r="AE44" s="157"/>
      <c r="AF44" s="14"/>
      <c r="AG44" s="14"/>
      <c r="AH44" s="14"/>
      <c r="AI44" s="10"/>
      <c r="AJ44" s="23"/>
      <c r="AL44" s="10"/>
      <c r="AM44" s="13"/>
      <c r="AN44" s="126" t="s">
        <v>596</v>
      </c>
      <c r="AO44" s="3" t="s">
        <v>196</v>
      </c>
      <c r="AP44" s="126"/>
      <c r="AQ44" s="126"/>
      <c r="AR44" s="126"/>
      <c r="AS44" s="10"/>
      <c r="AT44" s="13"/>
      <c r="AU44" s="13"/>
      <c r="AV44" s="14"/>
    </row>
    <row r="45" spans="2:48" ht="15">
      <c r="B45" s="10">
        <v>100</v>
      </c>
      <c r="C45" s="10">
        <v>33</v>
      </c>
      <c r="D45" s="2" t="s">
        <v>141</v>
      </c>
      <c r="E45" s="2" t="s">
        <v>193</v>
      </c>
      <c r="F45" s="2"/>
      <c r="G45" s="2" t="s">
        <v>73</v>
      </c>
      <c r="H45" s="2"/>
      <c r="I45" s="2"/>
      <c r="J45" s="128" t="s">
        <v>405</v>
      </c>
      <c r="K45" s="344"/>
      <c r="L45" s="354"/>
      <c r="M45" s="150"/>
      <c r="N45" s="37" t="str" cm="1">
        <f t="array" ref="N45">ToCamel($J45,"","")</f>
        <v>group</v>
      </c>
      <c r="O45" s="150"/>
      <c r="P45" s="21"/>
      <c r="Q45" s="2" t="s">
        <v>491</v>
      </c>
      <c r="R45" s="21" t="s">
        <v>361</v>
      </c>
      <c r="S45" s="2" t="s">
        <v>434</v>
      </c>
      <c r="T45" s="2"/>
      <c r="U45" s="21" t="s">
        <v>405</v>
      </c>
      <c r="V45" s="27" t="str" cm="1">
        <f t="array" ref="V45">S45&amp;IF(ISBLANK(S45),ToCamel($U45,"",""),ToPascal($U45,"",""))</f>
        <v>deleteGroup</v>
      </c>
      <c r="W45" s="27" t="str" cm="1">
        <f t="array" ref="W45">IF(AB45="post","I" &amp;ToPascal(V45,"","")&amp;"Req","")</f>
        <v>IDeleteGroupReq</v>
      </c>
      <c r="X45" s="27" t="str" cm="1">
        <f t="array" ref="X45">"I" &amp;ToPascal(V45,"","")&amp;"Res"</f>
        <v>IDeleteGroupRes</v>
      </c>
      <c r="Y45" s="21" t="s">
        <v>448</v>
      </c>
      <c r="Z45" s="2" t="s">
        <v>446</v>
      </c>
      <c r="AA45" s="2" t="s">
        <v>255</v>
      </c>
      <c r="AB45" s="2" t="s">
        <v>285</v>
      </c>
      <c r="AC45" s="109" t="s">
        <v>295</v>
      </c>
      <c r="AD45" s="109"/>
      <c r="AE45" s="157"/>
      <c r="AF45" s="14"/>
      <c r="AG45" s="14"/>
      <c r="AH45" s="14"/>
      <c r="AI45" s="10"/>
      <c r="AJ45" s="23"/>
      <c r="AL45" s="10"/>
      <c r="AM45" s="13"/>
      <c r="AN45" s="126" t="s">
        <v>596</v>
      </c>
      <c r="AO45" s="3" t="s">
        <v>196</v>
      </c>
      <c r="AP45" s="126"/>
      <c r="AQ45" s="126"/>
      <c r="AR45" s="126"/>
      <c r="AS45" s="10"/>
      <c r="AT45" s="13"/>
      <c r="AU45" s="13"/>
      <c r="AV45" s="14"/>
    </row>
    <row r="46" spans="2:48" ht="15">
      <c r="B46" s="10">
        <v>101</v>
      </c>
      <c r="C46" s="10">
        <v>34</v>
      </c>
      <c r="D46" s="2" t="s">
        <v>141</v>
      </c>
      <c r="E46" s="2" t="s">
        <v>193</v>
      </c>
      <c r="F46" s="2"/>
      <c r="G46" s="2" t="s">
        <v>171</v>
      </c>
      <c r="H46" s="2"/>
      <c r="I46" s="2"/>
      <c r="J46" s="128" t="s">
        <v>405</v>
      </c>
      <c r="K46" s="344"/>
      <c r="L46" s="354"/>
      <c r="M46" s="150"/>
      <c r="N46" s="37" t="str" cm="1">
        <f t="array" ref="N46">ToCamel($J46,"","")</f>
        <v>group</v>
      </c>
      <c r="O46" s="150"/>
      <c r="P46" s="21"/>
      <c r="Q46" s="2" t="s">
        <v>491</v>
      </c>
      <c r="R46" s="21" t="s">
        <v>362</v>
      </c>
      <c r="S46" s="2" t="s">
        <v>432</v>
      </c>
      <c r="T46" s="2"/>
      <c r="U46" s="21" t="s">
        <v>405</v>
      </c>
      <c r="V46" s="27" t="str" cm="1">
        <f t="array" ref="V46">S46&amp;IF(ISBLANK(S46),ToCamel($U46,"",""),ToPascal($U46,"",""))</f>
        <v>addGroup</v>
      </c>
      <c r="W46" s="27" t="str" cm="1">
        <f t="array" ref="W46">IF(AB46="post","I" &amp;ToPascal(V46,"","")&amp;"Req","")</f>
        <v>IAddGroupReq</v>
      </c>
      <c r="X46" s="27" t="str" cm="1">
        <f t="array" ref="X46">"I" &amp;ToPascal(V46,"","")&amp;"Res"</f>
        <v>IAddGroupRes</v>
      </c>
      <c r="Y46" s="21" t="s">
        <v>366</v>
      </c>
      <c r="Z46" s="2"/>
      <c r="AA46" s="2" t="s">
        <v>218</v>
      </c>
      <c r="AB46" s="2" t="s">
        <v>285</v>
      </c>
      <c r="AC46" s="109" t="s">
        <v>295</v>
      </c>
      <c r="AD46" s="109"/>
      <c r="AE46" s="157"/>
      <c r="AF46" s="14"/>
      <c r="AG46" s="14"/>
      <c r="AH46" s="14"/>
      <c r="AI46" s="10"/>
      <c r="AJ46" s="23"/>
      <c r="AL46" s="10"/>
      <c r="AM46" s="13"/>
      <c r="AN46" s="126" t="s">
        <v>596</v>
      </c>
      <c r="AO46" s="3" t="s">
        <v>197</v>
      </c>
      <c r="AP46" s="126"/>
      <c r="AQ46" s="126"/>
      <c r="AR46" s="126"/>
      <c r="AS46" s="10"/>
      <c r="AT46" s="13"/>
      <c r="AU46" s="13"/>
      <c r="AV46" s="14"/>
    </row>
    <row r="47" spans="2:48" ht="15">
      <c r="B47" s="10">
        <v>103</v>
      </c>
      <c r="C47" s="10">
        <v>35</v>
      </c>
      <c r="D47" s="2" t="s">
        <v>141</v>
      </c>
      <c r="E47" s="2" t="s">
        <v>193</v>
      </c>
      <c r="F47" s="2"/>
      <c r="G47" s="2" t="s">
        <v>178</v>
      </c>
      <c r="H47" s="2"/>
      <c r="I47" s="2"/>
      <c r="J47" s="128" t="s">
        <v>405</v>
      </c>
      <c r="K47" s="351"/>
      <c r="L47" s="378"/>
      <c r="M47" s="143"/>
      <c r="N47" s="37" t="str" cm="1">
        <f t="array" ref="N47">ToCamel($J47,"","")</f>
        <v>group</v>
      </c>
      <c r="O47" s="143"/>
      <c r="P47" s="21"/>
      <c r="Q47" s="2" t="s">
        <v>491</v>
      </c>
      <c r="R47" s="21" t="s">
        <v>364</v>
      </c>
      <c r="S47" s="2" t="s">
        <v>428</v>
      </c>
      <c r="T47" s="2"/>
      <c r="U47" s="21" t="s">
        <v>405</v>
      </c>
      <c r="V47" s="27" t="str" cm="1">
        <f t="array" ref="V47">S47&amp;IF(ISBLANK(S47),ToCamel($U47,"",""),ToPascal($U47,"",""))</f>
        <v>saveGroup</v>
      </c>
      <c r="W47" s="27" t="str" cm="1">
        <f t="array" ref="W47">IF(AB47="post","I" &amp;ToPascal(V47,"","")&amp;"Req","")</f>
        <v>ISaveGroupReq</v>
      </c>
      <c r="X47" s="27" t="str" cm="1">
        <f t="array" ref="X47">"I" &amp;ToPascal(V47,"","")&amp;"Res"</f>
        <v>ISaveGroupRes</v>
      </c>
      <c r="Y47" s="21" t="s">
        <v>447</v>
      </c>
      <c r="Z47" s="2" t="s">
        <v>446</v>
      </c>
      <c r="AA47" s="2" t="s">
        <v>291</v>
      </c>
      <c r="AB47" s="2" t="s">
        <v>285</v>
      </c>
      <c r="AC47" s="109" t="s">
        <v>295</v>
      </c>
      <c r="AD47" s="109"/>
      <c r="AE47" s="157"/>
      <c r="AF47" s="14"/>
      <c r="AG47" s="14"/>
      <c r="AH47" s="14"/>
      <c r="AI47" s="10"/>
      <c r="AJ47" s="23"/>
      <c r="AL47" s="10"/>
      <c r="AM47" s="13"/>
      <c r="AN47" s="126" t="s">
        <v>596</v>
      </c>
      <c r="AO47" s="3" t="s">
        <v>198</v>
      </c>
      <c r="AP47" s="126"/>
      <c r="AQ47" s="126"/>
      <c r="AR47" s="126"/>
      <c r="AS47" s="10"/>
      <c r="AT47" s="13"/>
      <c r="AU47" s="13"/>
      <c r="AV47" s="14"/>
    </row>
    <row r="48" spans="2:48" ht="24.5" customHeight="1">
      <c r="B48" s="10">
        <v>7</v>
      </c>
      <c r="C48" s="10">
        <v>36</v>
      </c>
      <c r="D48" s="2" t="s">
        <v>90</v>
      </c>
      <c r="E48" s="2" t="s">
        <v>39</v>
      </c>
      <c r="F48" s="2" t="s">
        <v>46</v>
      </c>
      <c r="G48" s="2" t="s">
        <v>639</v>
      </c>
      <c r="H48" s="2"/>
      <c r="I48" s="2"/>
      <c r="J48" s="9" t="s">
        <v>403</v>
      </c>
      <c r="K48" s="411" t="s">
        <v>46</v>
      </c>
      <c r="L48" s="399" t="s">
        <v>793</v>
      </c>
      <c r="M48" s="255" t="str" cm="1">
        <f t="array" ref="M48">ToPascal($J48,"","") &amp;"Contoller.ts"</f>
        <v>RecruitContoller.ts</v>
      </c>
      <c r="N48" s="37" t="str" cm="1">
        <f t="array" ref="N48">ToCamel($J48,"","")</f>
        <v>recruit</v>
      </c>
      <c r="O48" s="37" t="str" cm="1">
        <f t="array" ref="O48">ToCamel($J48,"","") &amp;"Repo.ts"</f>
        <v>recruitRepo.ts</v>
      </c>
      <c r="P48" s="21" t="s">
        <v>325</v>
      </c>
      <c r="Q48" s="2"/>
      <c r="R48" s="21" t="s">
        <v>330</v>
      </c>
      <c r="S48" s="2" t="s">
        <v>223</v>
      </c>
      <c r="T48" s="2"/>
      <c r="U48" s="21" t="s">
        <v>451</v>
      </c>
      <c r="V48" s="27" t="str" cm="1">
        <f t="array" ref="V48">S48&amp;IF(ISBLANK(S48),ToCamel($U48,"",""),ToPascal($U48,"",""))</f>
        <v>getRecruitsForHome</v>
      </c>
      <c r="W48" s="27" t="str" cm="1">
        <f t="array" ref="W48">IF(AB48="post","I" &amp;ToPascal(V48,"","")&amp;"Req","")</f>
        <v>IGetRecruitsForHomeReq</v>
      </c>
      <c r="X48" s="27" t="str" cm="1">
        <f t="array" ref="X48">"I" &amp;ToPascal(V48,"","")&amp;"Res"</f>
        <v>IGetRecruitsForHomeRes</v>
      </c>
      <c r="Y48" s="21" t="s">
        <v>862</v>
      </c>
      <c r="Z48" s="144" t="s">
        <v>876</v>
      </c>
      <c r="AA48" s="18" t="s">
        <v>283</v>
      </c>
      <c r="AB48" s="2" t="s">
        <v>690</v>
      </c>
      <c r="AC48" s="109" t="s">
        <v>295</v>
      </c>
      <c r="AD48" s="125" t="s">
        <v>874</v>
      </c>
      <c r="AE48" s="157" t="s">
        <v>860</v>
      </c>
      <c r="AF48" s="348" t="s">
        <v>692</v>
      </c>
      <c r="AG48" s="14"/>
      <c r="AH48" s="179"/>
      <c r="AI48" s="10"/>
      <c r="AJ48" s="180" t="s">
        <v>42</v>
      </c>
      <c r="AK48" s="184"/>
      <c r="AL48" s="49" t="s">
        <v>596</v>
      </c>
      <c r="AM48" s="49" t="s">
        <v>875</v>
      </c>
      <c r="AN48" s="126" t="s">
        <v>596</v>
      </c>
      <c r="AO48" s="3" t="s">
        <v>40</v>
      </c>
      <c r="AP48" s="126" t="s">
        <v>729</v>
      </c>
      <c r="AQ48" s="126"/>
      <c r="AR48" s="126"/>
      <c r="AS48" s="10"/>
      <c r="AT48" s="13"/>
      <c r="AU48" s="13"/>
      <c r="AV48" s="183" t="s">
        <v>596</v>
      </c>
    </row>
    <row r="49" spans="1:48" ht="24.5" customHeight="1">
      <c r="B49" s="10">
        <v>9</v>
      </c>
      <c r="C49" s="10">
        <v>37</v>
      </c>
      <c r="D49" s="2" t="s">
        <v>90</v>
      </c>
      <c r="E49" s="2" t="s">
        <v>46</v>
      </c>
      <c r="F49" s="2"/>
      <c r="G49" s="2" t="s">
        <v>48</v>
      </c>
      <c r="H49" s="2"/>
      <c r="I49" s="2"/>
      <c r="J49" s="9" t="s">
        <v>403</v>
      </c>
      <c r="K49" s="412"/>
      <c r="L49" s="394"/>
      <c r="M49" s="256"/>
      <c r="N49" s="37" t="str" cm="1">
        <f t="array" ref="N49">ToCamel($J49,"","")</f>
        <v>recruit</v>
      </c>
      <c r="O49" s="140"/>
      <c r="P49" s="21"/>
      <c r="Q49" s="2"/>
      <c r="R49" s="21" t="s">
        <v>331</v>
      </c>
      <c r="S49" s="2" t="s">
        <v>223</v>
      </c>
      <c r="T49" s="2"/>
      <c r="U49" s="21" t="s">
        <v>452</v>
      </c>
      <c r="V49" s="27" t="str" cm="1">
        <f t="array" ref="V49">S49&amp;IF(ISBLANK(S49),ToCamel($U49,"",""),ToPascal($U49,"",""))</f>
        <v>getAutoCompleteForSearch</v>
      </c>
      <c r="W49" s="27" t="str" cm="1">
        <f t="array" ref="W49">IF(AB49="post","I" &amp;ToPascal(V49,"","")&amp;"Req","")</f>
        <v/>
      </c>
      <c r="X49" s="27" t="str" cm="1">
        <f t="array" ref="X49">"I" &amp;ToPascal(V49,"","")&amp;"Res"</f>
        <v>IGetAutoCompleteForSearchRes</v>
      </c>
      <c r="Y49" s="21" t="s">
        <v>328</v>
      </c>
      <c r="Z49" s="44"/>
      <c r="AA49" s="18" t="s">
        <v>217</v>
      </c>
      <c r="AB49" s="2" t="s">
        <v>301</v>
      </c>
      <c r="AC49" s="120" t="s">
        <v>42</v>
      </c>
      <c r="AD49" s="112"/>
      <c r="AE49" s="157"/>
      <c r="AF49" s="346"/>
      <c r="AG49" s="14"/>
      <c r="AH49" s="14"/>
      <c r="AI49" s="10"/>
      <c r="AJ49" s="195" t="s">
        <v>42</v>
      </c>
      <c r="AK49" s="184"/>
      <c r="AL49" s="49" t="s">
        <v>596</v>
      </c>
      <c r="AM49" s="58" t="s">
        <v>596</v>
      </c>
      <c r="AN49" s="126" t="s">
        <v>596</v>
      </c>
      <c r="AO49" s="3" t="s">
        <v>41</v>
      </c>
      <c r="AP49" s="126"/>
      <c r="AQ49" s="126"/>
      <c r="AR49" s="126"/>
      <c r="AS49" s="10"/>
      <c r="AT49" s="13"/>
      <c r="AU49" s="13"/>
      <c r="AV49" s="183" t="s">
        <v>596</v>
      </c>
    </row>
    <row r="50" spans="1:48" ht="24.5" customHeight="1">
      <c r="B50" s="10">
        <v>10</v>
      </c>
      <c r="C50" s="10">
        <v>38</v>
      </c>
      <c r="D50" s="2" t="s">
        <v>90</v>
      </c>
      <c r="E50" s="2" t="s">
        <v>46</v>
      </c>
      <c r="F50" s="2"/>
      <c r="G50" s="2" t="s">
        <v>47</v>
      </c>
      <c r="H50" s="2"/>
      <c r="I50" s="2"/>
      <c r="J50" s="9" t="s">
        <v>403</v>
      </c>
      <c r="K50" s="412"/>
      <c r="L50" s="394"/>
      <c r="M50" s="256"/>
      <c r="N50" s="37" t="str" cm="1">
        <f t="array" ref="N50">ToCamel($J50,"","")</f>
        <v>recruit</v>
      </c>
      <c r="O50" s="140"/>
      <c r="P50" s="21"/>
      <c r="Q50" s="2"/>
      <c r="R50" s="21" t="s">
        <v>332</v>
      </c>
      <c r="S50" s="2" t="s">
        <v>223</v>
      </c>
      <c r="T50" s="2"/>
      <c r="U50" s="21" t="s">
        <v>453</v>
      </c>
      <c r="V50" s="27" t="str" cm="1">
        <f t="array" ref="V50">S50&amp;IF(ISBLANK(S50),ToCamel($U50,"",""),ToPascal($U50,"",""))</f>
        <v>getAutoCompleteForArea</v>
      </c>
      <c r="W50" s="27" t="str" cm="1">
        <f t="array" ref="W50">IF(AB50="post","I" &amp;ToPascal(V50,"","")&amp;"Req","")</f>
        <v/>
      </c>
      <c r="X50" s="27" t="str" cm="1">
        <f t="array" ref="X50">"I" &amp;ToPascal(V50,"","")&amp;"Res"</f>
        <v>IGetAutoCompleteForAreaRes</v>
      </c>
      <c r="Y50" s="21" t="s">
        <v>329</v>
      </c>
      <c r="Z50" s="44"/>
      <c r="AA50" s="18" t="s">
        <v>217</v>
      </c>
      <c r="AB50" s="2" t="s">
        <v>301</v>
      </c>
      <c r="AC50" s="120" t="s">
        <v>42</v>
      </c>
      <c r="AD50" s="112"/>
      <c r="AE50" s="157"/>
      <c r="AF50" s="346"/>
      <c r="AG50" s="14"/>
      <c r="AH50" s="14"/>
      <c r="AI50" s="10"/>
      <c r="AJ50" s="195" t="s">
        <v>42</v>
      </c>
      <c r="AK50" s="184"/>
      <c r="AL50" s="14" t="s">
        <v>596</v>
      </c>
      <c r="AM50" s="58" t="s">
        <v>596</v>
      </c>
      <c r="AN50" s="126" t="s">
        <v>596</v>
      </c>
      <c r="AO50" s="3" t="s">
        <v>41</v>
      </c>
      <c r="AP50" s="126"/>
      <c r="AQ50" s="126"/>
      <c r="AR50" s="126"/>
      <c r="AS50" s="10"/>
      <c r="AT50" s="13"/>
      <c r="AU50" s="13"/>
      <c r="AV50" s="183" t="s">
        <v>596</v>
      </c>
    </row>
    <row r="51" spans="1:48" ht="24.5" customHeight="1">
      <c r="B51" s="10">
        <v>11</v>
      </c>
      <c r="C51" s="10">
        <v>39</v>
      </c>
      <c r="D51" s="2" t="s">
        <v>90</v>
      </c>
      <c r="E51" s="2" t="s">
        <v>46</v>
      </c>
      <c r="F51" s="2"/>
      <c r="G51" s="2" t="s">
        <v>56</v>
      </c>
      <c r="H51" s="2"/>
      <c r="I51" s="2"/>
      <c r="J51" s="9" t="s">
        <v>403</v>
      </c>
      <c r="K51" s="412"/>
      <c r="L51" s="394"/>
      <c r="M51" s="256"/>
      <c r="N51" s="37" t="str" cm="1">
        <f t="array" ref="N51">ToCamel($J51,"","")</f>
        <v>recruit</v>
      </c>
      <c r="O51" s="140"/>
      <c r="P51" s="21" t="s">
        <v>326</v>
      </c>
      <c r="Q51" s="2"/>
      <c r="R51" s="21" t="s">
        <v>689</v>
      </c>
      <c r="S51" s="2" t="s">
        <v>223</v>
      </c>
      <c r="T51" s="2"/>
      <c r="U51" s="21" t="s">
        <v>450</v>
      </c>
      <c r="V51" s="27" t="str" cm="1">
        <f t="array" ref="V51">S51&amp;IF(ISBLANK(S51),ToCamel($U51,"",""),ToPascal($U51,"",""))</f>
        <v>getRecruits</v>
      </c>
      <c r="W51" s="27" t="str" cm="1">
        <f t="array" ref="W51">IF(AB51="post","I" &amp;ToPascal(V51,"","")&amp;"Req","")</f>
        <v>IGetRecruitsReq</v>
      </c>
      <c r="X51" s="27" t="str" cm="1">
        <f t="array" ref="X51">"I" &amp;ToPascal(V51,"","")&amp;"Res"</f>
        <v>IGetRecruitsRes</v>
      </c>
      <c r="Y51" s="21" t="s">
        <v>858</v>
      </c>
      <c r="Z51" s="144" t="s">
        <v>877</v>
      </c>
      <c r="AA51" s="18" t="s">
        <v>217</v>
      </c>
      <c r="AB51" s="2" t="s">
        <v>690</v>
      </c>
      <c r="AC51" s="120" t="s">
        <v>229</v>
      </c>
      <c r="AD51" s="125" t="s">
        <v>878</v>
      </c>
      <c r="AE51" s="157" t="s">
        <v>860</v>
      </c>
      <c r="AF51" s="346"/>
      <c r="AG51" s="14"/>
      <c r="AH51" s="179"/>
      <c r="AI51" s="10"/>
      <c r="AJ51" s="195" t="s">
        <v>42</v>
      </c>
      <c r="AK51" s="184"/>
      <c r="AL51" s="49" t="s">
        <v>596</v>
      </c>
      <c r="AM51" s="49" t="s">
        <v>861</v>
      </c>
      <c r="AN51" s="126" t="s">
        <v>596</v>
      </c>
      <c r="AO51" s="3" t="s">
        <v>40</v>
      </c>
      <c r="AP51" s="126"/>
      <c r="AQ51" s="126"/>
      <c r="AR51" s="126"/>
      <c r="AS51" s="10"/>
      <c r="AT51" s="13"/>
      <c r="AU51" s="13"/>
      <c r="AV51" s="183" t="s">
        <v>596</v>
      </c>
    </row>
    <row r="52" spans="1:48" ht="24.5" customHeight="1">
      <c r="B52" s="10">
        <v>12</v>
      </c>
      <c r="C52" s="10">
        <v>40</v>
      </c>
      <c r="D52" s="2" t="s">
        <v>90</v>
      </c>
      <c r="E52" s="2" t="s">
        <v>46</v>
      </c>
      <c r="F52" s="2"/>
      <c r="G52" s="2" t="s">
        <v>57</v>
      </c>
      <c r="H52" s="2"/>
      <c r="I52" s="2"/>
      <c r="J52" s="9" t="s">
        <v>403</v>
      </c>
      <c r="K52" s="412"/>
      <c r="L52" s="394"/>
      <c r="M52" s="256"/>
      <c r="N52" s="37" t="str" cm="1">
        <f t="array" ref="N52">ToCamel($J52,"","")</f>
        <v>recruit</v>
      </c>
      <c r="O52" s="40"/>
      <c r="P52" s="29" t="s">
        <v>273</v>
      </c>
      <c r="Q52" s="10"/>
      <c r="R52" s="356" t="s">
        <v>333</v>
      </c>
      <c r="S52" s="367" t="s">
        <v>223</v>
      </c>
      <c r="T52" s="367"/>
      <c r="U52" s="356" t="s">
        <v>403</v>
      </c>
      <c r="V52" s="356" t="str" cm="1">
        <f t="array" ref="V52">S52&amp;IF(ISBLANK(S52),ToCamel($U52,"",""),ToPascal($U52,"",""))</f>
        <v>getRecruit</v>
      </c>
      <c r="W52" s="27" t="str" cm="1">
        <f t="array" ref="W52">IF(AB52="post","I" &amp;ToPascal(V52,"","")&amp;"Req","")</f>
        <v/>
      </c>
      <c r="X52" s="367" t="str" cm="1">
        <f t="array" ref="X52">"I" &amp;ToPascal(V52,"","")&amp;"Res"</f>
        <v>IGetRecruitRes</v>
      </c>
      <c r="Y52" s="356" t="s">
        <v>534</v>
      </c>
      <c r="Z52" s="360"/>
      <c r="AA52" s="372" t="s">
        <v>217</v>
      </c>
      <c r="AB52" s="372" t="s">
        <v>301</v>
      </c>
      <c r="AC52" s="376" t="s">
        <v>229</v>
      </c>
      <c r="AD52" s="125" t="s">
        <v>803</v>
      </c>
      <c r="AE52" s="157"/>
      <c r="AF52" s="346"/>
      <c r="AG52" s="14"/>
      <c r="AH52" s="179"/>
      <c r="AI52" s="10"/>
      <c r="AJ52" s="195" t="s">
        <v>42</v>
      </c>
      <c r="AK52" s="184"/>
      <c r="AL52" s="49" t="s">
        <v>596</v>
      </c>
      <c r="AM52" s="58" t="s">
        <v>596</v>
      </c>
      <c r="AN52" s="126" t="s">
        <v>596</v>
      </c>
      <c r="AO52" s="3" t="s">
        <v>51</v>
      </c>
      <c r="AP52" s="126"/>
      <c r="AQ52" s="126"/>
      <c r="AR52" s="126"/>
      <c r="AS52" s="10"/>
      <c r="AT52" s="13"/>
      <c r="AU52" s="13"/>
      <c r="AV52" s="183" t="s">
        <v>596</v>
      </c>
    </row>
    <row r="53" spans="1:48" s="202" customFormat="1" ht="24.5" customHeight="1">
      <c r="B53" s="10">
        <v>45</v>
      </c>
      <c r="C53" s="10">
        <v>41</v>
      </c>
      <c r="D53" s="5" t="s">
        <v>90</v>
      </c>
      <c r="E53" s="5" t="s">
        <v>93</v>
      </c>
      <c r="F53" s="5" t="s">
        <v>95</v>
      </c>
      <c r="G53" s="6" t="s">
        <v>118</v>
      </c>
      <c r="H53" s="5"/>
      <c r="I53" s="5"/>
      <c r="J53" s="9" t="s">
        <v>403</v>
      </c>
      <c r="K53" s="412"/>
      <c r="L53" s="394"/>
      <c r="M53" s="256"/>
      <c r="N53" s="37" t="str" cm="1">
        <f t="array" ref="N53">ToCamel($J53,"","")</f>
        <v>recruit</v>
      </c>
      <c r="O53" s="140"/>
      <c r="P53" s="22"/>
      <c r="Q53" s="5"/>
      <c r="R53" s="371"/>
      <c r="S53" s="369"/>
      <c r="T53" s="369"/>
      <c r="U53" s="371"/>
      <c r="V53" s="371"/>
      <c r="W53" s="27" t="str" cm="1">
        <f t="array" ref="W53">IF(AB53="post","I" &amp;ToPascal(V53,"","")&amp;"Req","")</f>
        <v/>
      </c>
      <c r="X53" s="369"/>
      <c r="Y53" s="371"/>
      <c r="Z53" s="362"/>
      <c r="AA53" s="373"/>
      <c r="AB53" s="373"/>
      <c r="AC53" s="376"/>
      <c r="AD53" s="114"/>
      <c r="AE53" s="161"/>
      <c r="AF53" s="346"/>
      <c r="AG53" s="201"/>
      <c r="AH53" s="201"/>
      <c r="AI53" s="201"/>
      <c r="AJ53" s="195" t="s">
        <v>42</v>
      </c>
      <c r="AK53" s="184"/>
      <c r="AL53" s="93" t="s">
        <v>596</v>
      </c>
      <c r="AM53" s="59" t="s">
        <v>596</v>
      </c>
      <c r="AN53" s="126" t="s">
        <v>596</v>
      </c>
      <c r="AO53" s="7" t="s">
        <v>117</v>
      </c>
      <c r="AP53" s="126"/>
      <c r="AQ53" s="126"/>
      <c r="AR53" s="126"/>
      <c r="AS53" s="5"/>
      <c r="AT53" s="17"/>
      <c r="AU53" s="17"/>
      <c r="AV53" s="183" t="s">
        <v>596</v>
      </c>
    </row>
    <row r="54" spans="1:48" ht="24.5" customHeight="1">
      <c r="B54" s="10">
        <v>77</v>
      </c>
      <c r="C54" s="10">
        <v>42</v>
      </c>
      <c r="D54" s="2" t="s">
        <v>141</v>
      </c>
      <c r="E54" s="2" t="s">
        <v>39</v>
      </c>
      <c r="F54" s="2" t="s">
        <v>46</v>
      </c>
      <c r="G54" s="2" t="s">
        <v>159</v>
      </c>
      <c r="H54" s="2"/>
      <c r="I54" s="2"/>
      <c r="J54" s="9" t="s">
        <v>403</v>
      </c>
      <c r="K54" s="412"/>
      <c r="L54" s="394"/>
      <c r="M54" s="256"/>
      <c r="N54" s="37" t="str" cm="1">
        <f t="array" ref="N54">ToCamel($J54,"","")</f>
        <v>recruit</v>
      </c>
      <c r="O54" s="40"/>
      <c r="P54" s="30"/>
      <c r="Q54" s="10"/>
      <c r="R54" s="357"/>
      <c r="S54" s="368"/>
      <c r="T54" s="368"/>
      <c r="U54" s="357"/>
      <c r="V54" s="357"/>
      <c r="W54" s="27" t="str" cm="1">
        <f t="array" ref="W54">IF(AB54="post","I" &amp;ToPascal(V54,"","")&amp;"Req","")</f>
        <v/>
      </c>
      <c r="X54" s="368"/>
      <c r="Y54" s="357"/>
      <c r="Z54" s="361"/>
      <c r="AA54" s="388"/>
      <c r="AB54" s="388"/>
      <c r="AC54" s="376"/>
      <c r="AD54" s="115"/>
      <c r="AE54" s="157"/>
      <c r="AF54" s="346"/>
      <c r="AG54" s="14"/>
      <c r="AH54" s="14"/>
      <c r="AI54" s="10"/>
      <c r="AJ54" s="195" t="s">
        <v>42</v>
      </c>
      <c r="AK54" s="184"/>
      <c r="AL54" s="14" t="s">
        <v>596</v>
      </c>
      <c r="AM54" s="58" t="s">
        <v>596</v>
      </c>
      <c r="AN54" s="126" t="s">
        <v>596</v>
      </c>
      <c r="AO54" s="3" t="s">
        <v>151</v>
      </c>
      <c r="AP54" s="126"/>
      <c r="AQ54" s="126"/>
      <c r="AR54" s="126"/>
      <c r="AS54" s="10"/>
      <c r="AT54" s="13"/>
      <c r="AU54" s="13"/>
      <c r="AV54" s="183" t="s">
        <v>596</v>
      </c>
    </row>
    <row r="55" spans="1:48" ht="24.5" customHeight="1">
      <c r="B55" s="10">
        <v>70</v>
      </c>
      <c r="C55" s="10">
        <v>45</v>
      </c>
      <c r="D55" s="2" t="s">
        <v>141</v>
      </c>
      <c r="E55" s="2" t="s">
        <v>39</v>
      </c>
      <c r="F55" s="2" t="s">
        <v>46</v>
      </c>
      <c r="G55" s="2" t="s">
        <v>155</v>
      </c>
      <c r="H55" s="2"/>
      <c r="I55" s="2"/>
      <c r="J55" s="9" t="s">
        <v>403</v>
      </c>
      <c r="K55" s="412"/>
      <c r="L55" s="394"/>
      <c r="M55" s="256"/>
      <c r="N55" s="37" t="str" cm="1">
        <f t="array" ref="N55">ToCamel($J55,"","")</f>
        <v>recruit</v>
      </c>
      <c r="O55" s="140"/>
      <c r="P55" s="21" t="s">
        <v>327</v>
      </c>
      <c r="Q55" s="2"/>
      <c r="R55" s="21" t="s">
        <v>334</v>
      </c>
      <c r="S55" s="2" t="s">
        <v>223</v>
      </c>
      <c r="T55" s="2" t="s">
        <v>492</v>
      </c>
      <c r="U55" s="21" t="s">
        <v>457</v>
      </c>
      <c r="V55" s="27" t="str" cm="1">
        <f t="array" ref="V55">S55&amp;IF(ISBLANK(S55),ToCamel($U55,"",""),ToPascal($U55,"",""))</f>
        <v>getRecruitsForCompany</v>
      </c>
      <c r="W55" s="27" t="str" cm="1">
        <f t="array" ref="W55">IF(AB55="post","I" &amp;ToPascal(V55,"","")&amp;"Req","")</f>
        <v>IGetRecruitsForCompanyReq</v>
      </c>
      <c r="X55" s="27" t="str" cm="1">
        <f t="array" ref="X55">"I" &amp;ToPascal(V55,"","")&amp;"Res"</f>
        <v>IGetRecruitsForCompanyRes</v>
      </c>
      <c r="Y55" s="21" t="s">
        <v>516</v>
      </c>
      <c r="Z55" s="144" t="s">
        <v>822</v>
      </c>
      <c r="AA55" s="18" t="s">
        <v>217</v>
      </c>
      <c r="AB55" s="2" t="s">
        <v>690</v>
      </c>
      <c r="AC55" s="120" t="s">
        <v>229</v>
      </c>
      <c r="AD55" s="125" t="s">
        <v>859</v>
      </c>
      <c r="AE55" s="157"/>
      <c r="AF55" s="346"/>
      <c r="AG55" s="14"/>
      <c r="AH55" s="179"/>
      <c r="AI55" s="10"/>
      <c r="AJ55" s="195" t="s">
        <v>42</v>
      </c>
      <c r="AK55" s="184"/>
      <c r="AL55" s="49" t="s">
        <v>596</v>
      </c>
      <c r="AM55" s="58" t="s">
        <v>596</v>
      </c>
      <c r="AN55" s="126" t="s">
        <v>596</v>
      </c>
      <c r="AO55" s="3" t="s">
        <v>153</v>
      </c>
      <c r="AP55" s="126"/>
      <c r="AQ55" s="126"/>
      <c r="AR55" s="126"/>
      <c r="AS55" s="10"/>
      <c r="AT55" s="13"/>
      <c r="AU55" s="13"/>
      <c r="AV55" s="183" t="s">
        <v>596</v>
      </c>
    </row>
    <row r="56" spans="1:48" ht="24.5" customHeight="1">
      <c r="B56" s="10">
        <v>71</v>
      </c>
      <c r="C56" s="10">
        <v>46</v>
      </c>
      <c r="D56" s="2" t="s">
        <v>141</v>
      </c>
      <c r="E56" s="2" t="s">
        <v>39</v>
      </c>
      <c r="F56" s="2" t="s">
        <v>46</v>
      </c>
      <c r="G56" s="2" t="s">
        <v>73</v>
      </c>
      <c r="H56" s="2"/>
      <c r="I56" s="2"/>
      <c r="J56" s="9" t="s">
        <v>403</v>
      </c>
      <c r="K56" s="412"/>
      <c r="L56" s="394"/>
      <c r="M56" s="256"/>
      <c r="N56" s="37" t="str" cm="1">
        <f t="array" ref="N56">ToCamel($J56,"","")</f>
        <v>recruit</v>
      </c>
      <c r="O56" s="140"/>
      <c r="P56" s="260"/>
      <c r="Q56" s="2"/>
      <c r="R56" s="27" t="s">
        <v>335</v>
      </c>
      <c r="S56" s="2" t="s">
        <v>434</v>
      </c>
      <c r="T56" s="2"/>
      <c r="U56" s="21" t="s">
        <v>454</v>
      </c>
      <c r="V56" s="27" t="str" cm="1">
        <f t="array" ref="V56">S56&amp;IF(ISBLANK(S56),ToCamel($U56,"",""),ToPascal($U56,"",""))</f>
        <v>deleteRecruit</v>
      </c>
      <c r="W56" s="27" t="str" cm="1">
        <f t="array" ref="W56">IF(AB56="post","I" &amp;ToPascal(V56,"","")&amp;"Req","")</f>
        <v>IDeleteRecruitReq</v>
      </c>
      <c r="X56" s="27" t="str" cm="1">
        <f t="array" ref="X56">"I" &amp;ToPascal(V56,"","")&amp;"Res"</f>
        <v>IDeleteRecruitRes</v>
      </c>
      <c r="Y56" s="21" t="s">
        <v>517</v>
      </c>
      <c r="Z56" s="44" t="s">
        <v>823</v>
      </c>
      <c r="AA56" s="18" t="s">
        <v>255</v>
      </c>
      <c r="AB56" s="18" t="s">
        <v>285</v>
      </c>
      <c r="AC56" s="120" t="s">
        <v>229</v>
      </c>
      <c r="AD56" s="46" t="s">
        <v>800</v>
      </c>
      <c r="AE56" s="157"/>
      <c r="AF56" s="346"/>
      <c r="AG56" s="14"/>
      <c r="AH56" s="179"/>
      <c r="AI56" s="10"/>
      <c r="AJ56" s="195" t="s">
        <v>42</v>
      </c>
      <c r="AK56" s="184"/>
      <c r="AL56" s="49" t="s">
        <v>596</v>
      </c>
      <c r="AM56" s="58" t="s">
        <v>596</v>
      </c>
      <c r="AN56" s="126" t="s">
        <v>596</v>
      </c>
      <c r="AO56" s="3" t="s">
        <v>153</v>
      </c>
      <c r="AP56" s="126"/>
      <c r="AQ56" s="126"/>
      <c r="AR56" s="126"/>
      <c r="AS56" s="10"/>
      <c r="AT56" s="13"/>
      <c r="AU56" s="13"/>
      <c r="AV56" s="183" t="s">
        <v>596</v>
      </c>
    </row>
    <row r="57" spans="1:48" ht="24.5" customHeight="1">
      <c r="B57" s="258">
        <v>72</v>
      </c>
      <c r="C57" s="10">
        <v>47</v>
      </c>
      <c r="D57" s="2" t="s">
        <v>141</v>
      </c>
      <c r="E57" s="2" t="s">
        <v>39</v>
      </c>
      <c r="F57" s="2" t="s">
        <v>46</v>
      </c>
      <c r="G57" s="2" t="s">
        <v>164</v>
      </c>
      <c r="H57" s="2"/>
      <c r="I57" s="2"/>
      <c r="J57" s="9" t="s">
        <v>403</v>
      </c>
      <c r="K57" s="412"/>
      <c r="L57" s="394"/>
      <c r="M57" s="256"/>
      <c r="N57" s="37" t="str" cm="1">
        <f t="array" ref="N57">ToCamel($J57,"","")</f>
        <v>recruit</v>
      </c>
      <c r="O57" s="140"/>
      <c r="P57" s="260"/>
      <c r="Q57" s="2"/>
      <c r="R57" s="27" t="s">
        <v>336</v>
      </c>
      <c r="S57" s="2" t="s">
        <v>455</v>
      </c>
      <c r="T57" s="2"/>
      <c r="U57" s="21" t="s">
        <v>454</v>
      </c>
      <c r="V57" s="27" t="str" cm="1">
        <f t="array" ref="V57">S57&amp;IF(ISBLANK(S57),ToCamel($U57,"",""),ToPascal($U57,"",""))</f>
        <v>finishRecruit</v>
      </c>
      <c r="W57" s="27" t="str" cm="1">
        <f t="array" ref="W57">IF(AB57="post","I" &amp;ToPascal(V57,"","")&amp;"Req","")</f>
        <v>IFinishRecruitReq</v>
      </c>
      <c r="X57" s="27" t="str" cm="1">
        <f t="array" ref="X57">"I" &amp;ToPascal(V57,"","")&amp;"Res"</f>
        <v>IFinishRecruitRes</v>
      </c>
      <c r="Y57" s="21" t="s">
        <v>518</v>
      </c>
      <c r="Z57" s="144" t="s">
        <v>823</v>
      </c>
      <c r="AA57" s="18" t="s">
        <v>219</v>
      </c>
      <c r="AB57" s="18" t="s">
        <v>285</v>
      </c>
      <c r="AC57" s="120" t="s">
        <v>229</v>
      </c>
      <c r="AD57" s="46" t="s">
        <v>800</v>
      </c>
      <c r="AE57" s="157"/>
      <c r="AF57" s="346"/>
      <c r="AG57" s="14"/>
      <c r="AH57" s="179"/>
      <c r="AI57" s="10"/>
      <c r="AJ57" s="195" t="s">
        <v>42</v>
      </c>
      <c r="AK57" s="184"/>
      <c r="AL57" s="49" t="s">
        <v>596</v>
      </c>
      <c r="AM57" s="58" t="s">
        <v>596</v>
      </c>
      <c r="AN57" s="126" t="s">
        <v>596</v>
      </c>
      <c r="AO57" s="3" t="s">
        <v>153</v>
      </c>
      <c r="AP57" s="126"/>
      <c r="AQ57" s="126" t="s">
        <v>727</v>
      </c>
      <c r="AR57" s="126"/>
      <c r="AS57" s="10"/>
      <c r="AT57" s="13"/>
      <c r="AU57" s="13"/>
      <c r="AV57" s="183" t="s">
        <v>596</v>
      </c>
    </row>
    <row r="58" spans="1:48" s="170" customFormat="1" ht="24.5" customHeight="1">
      <c r="B58" s="259">
        <v>73</v>
      </c>
      <c r="C58" s="236">
        <v>48</v>
      </c>
      <c r="D58" s="26" t="s">
        <v>141</v>
      </c>
      <c r="E58" s="26" t="s">
        <v>39</v>
      </c>
      <c r="F58" s="26" t="s">
        <v>46</v>
      </c>
      <c r="G58" s="26" t="s">
        <v>156</v>
      </c>
      <c r="H58" s="26"/>
      <c r="I58" s="26"/>
      <c r="J58" s="257" t="s">
        <v>403</v>
      </c>
      <c r="K58" s="412"/>
      <c r="L58" s="394"/>
      <c r="M58" s="256"/>
      <c r="N58" s="239" t="str" cm="1">
        <f t="array" ref="N58">ToCamel($J58,"","")</f>
        <v>recruit</v>
      </c>
      <c r="O58" s="238"/>
      <c r="P58" s="171" t="s">
        <v>244</v>
      </c>
      <c r="Q58" s="236"/>
      <c r="R58" s="241" t="s">
        <v>337</v>
      </c>
      <c r="S58" s="26" t="s">
        <v>432</v>
      </c>
      <c r="T58" s="26"/>
      <c r="U58" s="240" t="s">
        <v>454</v>
      </c>
      <c r="V58" s="241" t="str" cm="1">
        <f t="array" ref="V58">S58&amp;IF(ISBLANK(S58),ToCamel($U58,"",""),ToPascal($U58,"",""))</f>
        <v>addRecruit</v>
      </c>
      <c r="W58" s="241" t="str" cm="1">
        <f t="array" ref="W58">IF(AB58="post","I" &amp;ToPascal(V58,"","")&amp;"Req","")</f>
        <v>IAddRecruitReq</v>
      </c>
      <c r="X58" s="241" t="str" cm="1">
        <f t="array" ref="X58">"I" &amp;ToPascal(V58,"","")&amp;"Res"</f>
        <v>IAddRecruitRes</v>
      </c>
      <c r="Y58" s="240" t="s">
        <v>794</v>
      </c>
      <c r="Z58" s="242" t="s">
        <v>824</v>
      </c>
      <c r="AA58" s="243" t="s">
        <v>218</v>
      </c>
      <c r="AB58" s="243" t="s">
        <v>222</v>
      </c>
      <c r="AC58" s="244" t="s">
        <v>229</v>
      </c>
      <c r="AD58" s="245" t="s">
        <v>825</v>
      </c>
      <c r="AE58" s="246"/>
      <c r="AF58" s="346"/>
      <c r="AG58" s="247"/>
      <c r="AH58" s="248"/>
      <c r="AI58" s="236"/>
      <c r="AJ58" s="249" t="s">
        <v>42</v>
      </c>
      <c r="AK58" s="204"/>
      <c r="AL58" s="230" t="s">
        <v>596</v>
      </c>
      <c r="AM58" s="250" t="s">
        <v>596</v>
      </c>
      <c r="AN58" s="251" t="s">
        <v>596</v>
      </c>
      <c r="AO58" s="252" t="s">
        <v>152</v>
      </c>
      <c r="AP58" s="251"/>
      <c r="AQ58" s="126" t="s">
        <v>792</v>
      </c>
      <c r="AR58" s="251"/>
      <c r="AS58" s="236"/>
      <c r="AT58" s="253"/>
      <c r="AU58" s="253"/>
      <c r="AV58" s="254" t="s">
        <v>596</v>
      </c>
    </row>
    <row r="59" spans="1:48" ht="24.5" customHeight="1">
      <c r="B59" s="258">
        <v>75</v>
      </c>
      <c r="C59" s="61">
        <v>49</v>
      </c>
      <c r="D59" s="134" t="s">
        <v>141</v>
      </c>
      <c r="E59" s="2" t="s">
        <v>39</v>
      </c>
      <c r="F59" s="2" t="s">
        <v>46</v>
      </c>
      <c r="G59" s="2" t="s">
        <v>157</v>
      </c>
      <c r="H59" s="2"/>
      <c r="I59" s="2"/>
      <c r="J59" s="128" t="s">
        <v>403</v>
      </c>
      <c r="K59" s="412"/>
      <c r="L59" s="394"/>
      <c r="M59" s="256"/>
      <c r="N59" s="37" t="str" cm="1">
        <f t="array" ref="N59">ToCamel($J59,"","")</f>
        <v>recruit</v>
      </c>
      <c r="O59" s="41"/>
      <c r="P59" s="23" t="s">
        <v>245</v>
      </c>
      <c r="Q59" s="10"/>
      <c r="R59" s="50" t="s">
        <v>338</v>
      </c>
      <c r="S59" s="134" t="s">
        <v>428</v>
      </c>
      <c r="T59" s="2"/>
      <c r="U59" s="21" t="s">
        <v>454</v>
      </c>
      <c r="V59" s="27" t="str" cm="1">
        <f t="array" ref="V59">S59&amp;IF(ISBLANK(S59),ToCamel($U59,"",""),ToPascal($U59,"",""))</f>
        <v>saveRecruit</v>
      </c>
      <c r="W59" s="27" t="str" cm="1">
        <f t="array" ref="W59">IF(AB59="post","I" &amp;ToPascal(V59,"","")&amp;"Req","")</f>
        <v>ISaveRecruitReq</v>
      </c>
      <c r="X59" s="27" t="str" cm="1">
        <f t="array" ref="X59">"I" &amp;ToPascal(V59,"","")&amp;"Res"</f>
        <v>ISaveRecruitRes</v>
      </c>
      <c r="Y59" s="132" t="s">
        <v>519</v>
      </c>
      <c r="Z59" s="149" t="s">
        <v>826</v>
      </c>
      <c r="AA59" s="147" t="s">
        <v>219</v>
      </c>
      <c r="AB59" s="147" t="s">
        <v>222</v>
      </c>
      <c r="AC59" s="120" t="s">
        <v>229</v>
      </c>
      <c r="AD59" s="46" t="s">
        <v>800</v>
      </c>
      <c r="AE59" s="159"/>
      <c r="AF59" s="346"/>
      <c r="AG59" s="203" t="s">
        <v>693</v>
      </c>
      <c r="AH59" s="179"/>
      <c r="AI59" s="10"/>
      <c r="AJ59" s="196" t="s">
        <v>42</v>
      </c>
      <c r="AK59" s="204"/>
      <c r="AL59" s="101" t="s">
        <v>596</v>
      </c>
      <c r="AM59" s="58" t="s">
        <v>596</v>
      </c>
      <c r="AN59" s="126" t="s">
        <v>596</v>
      </c>
      <c r="AO59" s="51" t="s">
        <v>162</v>
      </c>
      <c r="AP59" s="126"/>
      <c r="AQ59" s="126"/>
      <c r="AR59" s="126"/>
      <c r="AS59" s="61"/>
      <c r="AT59" s="62"/>
      <c r="AU59" s="62"/>
      <c r="AV59" s="193" t="s">
        <v>596</v>
      </c>
    </row>
    <row r="60" spans="1:48" s="185" customFormat="1" ht="24.5" customHeight="1" thickBot="1">
      <c r="A60" s="23"/>
      <c r="B60" s="258">
        <v>76</v>
      </c>
      <c r="C60" s="66">
        <v>50</v>
      </c>
      <c r="D60" s="155" t="s">
        <v>141</v>
      </c>
      <c r="E60" s="2" t="s">
        <v>39</v>
      </c>
      <c r="F60" s="2" t="s">
        <v>46</v>
      </c>
      <c r="G60" s="2" t="s">
        <v>158</v>
      </c>
      <c r="H60" s="2"/>
      <c r="I60" s="2"/>
      <c r="J60" s="186" t="s">
        <v>403</v>
      </c>
      <c r="K60" s="412"/>
      <c r="L60" s="394"/>
      <c r="M60" s="256"/>
      <c r="N60" s="37" t="str" cm="1">
        <f t="array" ref="N60">ToCamel($J60,"","")</f>
        <v>recruit</v>
      </c>
      <c r="O60" s="140"/>
      <c r="P60" s="260"/>
      <c r="Q60" s="2"/>
      <c r="R60" s="50" t="s">
        <v>339</v>
      </c>
      <c r="S60" s="155" t="s">
        <v>456</v>
      </c>
      <c r="T60" s="2"/>
      <c r="U60" s="21" t="s">
        <v>454</v>
      </c>
      <c r="V60" s="27" t="str" cm="1">
        <f t="array" ref="V60">S60&amp;IF(ISBLANK(S60),ToCamel($U60,"",""),ToPascal($U60,"",""))</f>
        <v>copyRecruit</v>
      </c>
      <c r="W60" s="27" t="str" cm="1">
        <f t="array" ref="W60">IF(AB60="post","I" &amp;ToPascal(V60,"","")&amp;"Req","")</f>
        <v>ICopyRecruitReq</v>
      </c>
      <c r="X60" s="27" t="str" cm="1">
        <f t="array" ref="X60">"I" &amp;ToPascal(V60,"","")&amp;"Res"</f>
        <v>ICopyRecruitRes</v>
      </c>
      <c r="Y60" s="103" t="s">
        <v>520</v>
      </c>
      <c r="Z60" s="156" t="s">
        <v>823</v>
      </c>
      <c r="AA60" s="68" t="s">
        <v>218</v>
      </c>
      <c r="AB60" s="68" t="s">
        <v>222</v>
      </c>
      <c r="AC60" s="120" t="s">
        <v>229</v>
      </c>
      <c r="AD60" s="46" t="s">
        <v>800</v>
      </c>
      <c r="AE60" s="160"/>
      <c r="AF60" s="347"/>
      <c r="AG60" s="14"/>
      <c r="AH60" s="14"/>
      <c r="AI60" s="14"/>
      <c r="AJ60" s="198" t="s">
        <v>42</v>
      </c>
      <c r="AK60" s="184"/>
      <c r="AL60" s="88" t="s">
        <v>596</v>
      </c>
      <c r="AM60" s="58" t="s">
        <v>596</v>
      </c>
      <c r="AN60" s="126" t="s">
        <v>596</v>
      </c>
      <c r="AO60" s="52" t="s">
        <v>163</v>
      </c>
      <c r="AP60" s="126"/>
      <c r="AQ60" s="126"/>
      <c r="AR60" s="126"/>
      <c r="AS60" s="66"/>
      <c r="AT60" s="67"/>
      <c r="AU60" s="67"/>
      <c r="AV60" s="188" t="s">
        <v>596</v>
      </c>
    </row>
    <row r="61" spans="1:48" ht="24.5" customHeight="1" collapsed="1" thickTop="1" thickBot="1">
      <c r="B61" s="63">
        <v>18</v>
      </c>
      <c r="C61" s="63">
        <v>51</v>
      </c>
      <c r="D61" s="135" t="s">
        <v>90</v>
      </c>
      <c r="E61" s="135" t="s">
        <v>46</v>
      </c>
      <c r="F61" s="135"/>
      <c r="G61" s="135" t="s">
        <v>64</v>
      </c>
      <c r="H61" s="135"/>
      <c r="I61" s="135"/>
      <c r="J61" s="186" t="s">
        <v>403</v>
      </c>
      <c r="K61" s="412"/>
      <c r="L61" s="394"/>
      <c r="M61" s="38" t="str" cm="1">
        <f t="array" ref="M61">ToPascal($J61,"","") &amp;"Contoller.ts"</f>
        <v>RecruitContoller.ts</v>
      </c>
      <c r="N61" s="38" t="str" cm="1">
        <f t="array" ref="N61">ToCamel($J61,"","")</f>
        <v>recruit</v>
      </c>
      <c r="O61" s="38" t="str" cm="1">
        <f t="array" ref="O61">ToCamel($J61,"","") &amp;"Repo.ts"</f>
        <v>recruitRepo.ts</v>
      </c>
      <c r="P61" s="133"/>
      <c r="Q61" s="135"/>
      <c r="R61" s="133" t="s">
        <v>342</v>
      </c>
      <c r="S61" s="135" t="s">
        <v>223</v>
      </c>
      <c r="T61" s="135"/>
      <c r="U61" s="133" t="s">
        <v>458</v>
      </c>
      <c r="V61" s="102" t="str" cm="1">
        <f t="array" ref="V61">S61&amp;IF(ISBLANK(S61),ToCamel($U61,"",""),ToPascal($U61,"",""))</f>
        <v>getInterviewQuestionForUser</v>
      </c>
      <c r="W61" s="102" t="str" cm="1">
        <f t="array" ref="W61">IF(AB61="post","I" &amp;ToPascal(V61,"","")&amp;"Req","")</f>
        <v/>
      </c>
      <c r="X61" s="102" t="str" cm="1">
        <f t="array" ref="X61">"I" &amp;ToPascal(V61,"","")&amp;"Res"</f>
        <v>IGetInterviewQuestionForUserRes</v>
      </c>
      <c r="Y61" s="133" t="s">
        <v>795</v>
      </c>
      <c r="Z61" s="137"/>
      <c r="AA61" s="146" t="s">
        <v>217</v>
      </c>
      <c r="AB61" s="18" t="s">
        <v>223</v>
      </c>
      <c r="AC61" s="120" t="s">
        <v>229</v>
      </c>
      <c r="AD61" s="157" t="s">
        <v>827</v>
      </c>
      <c r="AE61" s="36"/>
      <c r="AF61" s="234"/>
      <c r="AG61" s="14"/>
      <c r="AH61" s="14"/>
      <c r="AI61" s="10"/>
      <c r="AJ61" s="189" t="s">
        <v>42</v>
      </c>
      <c r="AK61" s="182"/>
      <c r="AL61" s="99" t="s">
        <v>596</v>
      </c>
      <c r="AM61" s="58" t="s">
        <v>596</v>
      </c>
      <c r="AN61" s="126" t="s">
        <v>596</v>
      </c>
      <c r="AO61" s="153" t="s">
        <v>68</v>
      </c>
      <c r="AP61" s="126"/>
      <c r="AQ61" s="126" t="s">
        <v>731</v>
      </c>
      <c r="AR61" s="126"/>
      <c r="AS61" s="63"/>
      <c r="AT61" s="65"/>
      <c r="AU61" s="65"/>
      <c r="AV61" s="191" t="s">
        <v>596</v>
      </c>
    </row>
    <row r="62" spans="1:48" ht="24.5" customHeight="1" thickTop="1" thickBot="1">
      <c r="B62" s="10">
        <v>74</v>
      </c>
      <c r="C62" s="10">
        <v>54</v>
      </c>
      <c r="D62" s="2" t="s">
        <v>141</v>
      </c>
      <c r="E62" s="2" t="s">
        <v>39</v>
      </c>
      <c r="F62" s="2" t="s">
        <v>46</v>
      </c>
      <c r="G62" s="2" t="s">
        <v>645</v>
      </c>
      <c r="H62" s="2"/>
      <c r="I62" s="2"/>
      <c r="J62" s="186" t="s">
        <v>403</v>
      </c>
      <c r="K62" s="412"/>
      <c r="L62" s="394"/>
      <c r="M62" s="140"/>
      <c r="N62" s="37" t="str" cm="1">
        <f t="array" ref="N62">ToCamel($J62,"","")</f>
        <v>recruit</v>
      </c>
      <c r="O62" s="140"/>
      <c r="P62" s="14" t="s">
        <v>340</v>
      </c>
      <c r="Q62" s="135"/>
      <c r="R62" s="21" t="s">
        <v>340</v>
      </c>
      <c r="S62" s="2" t="s">
        <v>223</v>
      </c>
      <c r="T62" s="2"/>
      <c r="U62" s="21" t="s">
        <v>459</v>
      </c>
      <c r="V62" s="27" t="str" cm="1">
        <f t="array" ref="V62">S62&amp;IF(ISBLANK(S62),ToCamel($U62,"",""),ToPascal($U62,"",""))</f>
        <v>getInterviewQuestion</v>
      </c>
      <c r="W62" s="27" t="str" cm="1">
        <f t="array" ref="W62">IF(AB62="post","I" &amp;ToPascal(V62,"","")&amp;"Req","")</f>
        <v/>
      </c>
      <c r="X62" s="27" t="str" cm="1">
        <f t="array" ref="X62">"I" &amp;ToPascal(V62,"","")&amp;"Res"</f>
        <v>IGetInterviewQuestionRes</v>
      </c>
      <c r="Y62" s="21" t="s">
        <v>796</v>
      </c>
      <c r="Z62" s="137"/>
      <c r="AA62" s="31" t="s">
        <v>217</v>
      </c>
      <c r="AB62" s="18" t="s">
        <v>223</v>
      </c>
      <c r="AC62" s="120" t="s">
        <v>229</v>
      </c>
      <c r="AD62" s="157" t="s">
        <v>827</v>
      </c>
      <c r="AE62" s="36"/>
      <c r="AF62" s="234"/>
      <c r="AG62" s="14"/>
      <c r="AH62" s="14"/>
      <c r="AI62" s="10"/>
      <c r="AJ62" s="195" t="s">
        <v>42</v>
      </c>
      <c r="AK62" s="182"/>
      <c r="AL62" s="49" t="s">
        <v>596</v>
      </c>
      <c r="AM62" s="58" t="s">
        <v>596</v>
      </c>
      <c r="AN62" s="126" t="s">
        <v>596</v>
      </c>
      <c r="AO62" s="3" t="s">
        <v>161</v>
      </c>
      <c r="AP62" s="126"/>
      <c r="AQ62" s="126"/>
      <c r="AR62" s="126"/>
      <c r="AS62" s="10"/>
      <c r="AT62" s="13"/>
      <c r="AU62" s="13"/>
      <c r="AV62" s="183" t="s">
        <v>596</v>
      </c>
    </row>
    <row r="63" spans="1:48" s="170" customFormat="1" ht="24.5" customHeight="1" thickTop="1" thickBot="1">
      <c r="B63" s="236">
        <v>74</v>
      </c>
      <c r="C63" s="236">
        <v>52</v>
      </c>
      <c r="D63" s="26" t="s">
        <v>141</v>
      </c>
      <c r="E63" s="26" t="s">
        <v>39</v>
      </c>
      <c r="F63" s="26" t="s">
        <v>46</v>
      </c>
      <c r="G63" s="26" t="s">
        <v>643</v>
      </c>
      <c r="H63" s="26"/>
      <c r="I63" s="26"/>
      <c r="J63" s="266" t="s">
        <v>403</v>
      </c>
      <c r="K63" s="412"/>
      <c r="L63" s="394"/>
      <c r="M63" s="239"/>
      <c r="N63" s="239" t="str" cm="1">
        <f t="array" ref="N63">ToCamel($J63,"","")</f>
        <v>recruit</v>
      </c>
      <c r="O63" s="239"/>
      <c r="P63" s="247" t="s">
        <v>341</v>
      </c>
      <c r="Q63" s="61"/>
      <c r="R63" s="240" t="s">
        <v>658</v>
      </c>
      <c r="S63" s="26" t="s">
        <v>223</v>
      </c>
      <c r="T63" s="26" t="s">
        <v>492</v>
      </c>
      <c r="U63" s="240" t="s">
        <v>460</v>
      </c>
      <c r="V63" s="241" t="str" cm="1">
        <f t="array" ref="V63">S63&amp;IF(ISBLANK(S63),ToCamel($U63,"",""),ToPascal($U63,"",""))</f>
        <v>getInterviewQuestions</v>
      </c>
      <c r="W63" s="241" t="str" cm="1">
        <f t="array" ref="W63">IF(AB63="post","I" &amp;ToPascal(V63,"","")&amp;"Req","")</f>
        <v/>
      </c>
      <c r="X63" s="241" t="str" cm="1">
        <f t="array" ref="X63">"I" &amp;ToPascal(V63,"","")&amp;"Res"</f>
        <v>IGetInterviewQuestionsRes</v>
      </c>
      <c r="Y63" s="240" t="s">
        <v>698</v>
      </c>
      <c r="Z63" s="262"/>
      <c r="AA63" s="263" t="s">
        <v>217</v>
      </c>
      <c r="AB63" s="243" t="s">
        <v>223</v>
      </c>
      <c r="AC63" s="244" t="s">
        <v>229</v>
      </c>
      <c r="AD63" s="246" t="s">
        <v>827</v>
      </c>
      <c r="AE63" s="246"/>
      <c r="AF63" s="234"/>
      <c r="AG63" s="247"/>
      <c r="AH63" s="247"/>
      <c r="AI63" s="236"/>
      <c r="AJ63" s="249" t="s">
        <v>42</v>
      </c>
      <c r="AK63" s="264"/>
      <c r="AL63" s="230" t="s">
        <v>596</v>
      </c>
      <c r="AM63" s="250" t="s">
        <v>596</v>
      </c>
      <c r="AN63" s="251" t="s">
        <v>596</v>
      </c>
      <c r="AO63" s="252" t="s">
        <v>549</v>
      </c>
      <c r="AP63" s="251"/>
      <c r="AQ63" s="251"/>
      <c r="AR63" s="251"/>
      <c r="AS63" s="236"/>
      <c r="AT63" s="253"/>
      <c r="AU63" s="253"/>
      <c r="AV63" s="254" t="s">
        <v>596</v>
      </c>
    </row>
    <row r="64" spans="1:48" s="170" customFormat="1" ht="24.5" customHeight="1" thickTop="1" thickBot="1">
      <c r="B64" s="259">
        <v>74</v>
      </c>
      <c r="C64" s="236">
        <v>52</v>
      </c>
      <c r="D64" s="26" t="s">
        <v>141</v>
      </c>
      <c r="E64" s="26" t="s">
        <v>39</v>
      </c>
      <c r="F64" s="26" t="s">
        <v>46</v>
      </c>
      <c r="G64" s="26" t="s">
        <v>643</v>
      </c>
      <c r="H64" s="26"/>
      <c r="I64" s="26"/>
      <c r="J64" s="266" t="s">
        <v>403</v>
      </c>
      <c r="K64" s="413"/>
      <c r="L64" s="414"/>
      <c r="M64" s="267"/>
      <c r="N64" s="239" t="str" cm="1">
        <f t="array" ref="N64">ToCamel($J64,"","")</f>
        <v>recruit</v>
      </c>
      <c r="O64" s="268"/>
      <c r="P64" s="269" t="s">
        <v>341</v>
      </c>
      <c r="Q64" s="236"/>
      <c r="R64" s="241" t="s">
        <v>700</v>
      </c>
      <c r="S64" s="26" t="s">
        <v>223</v>
      </c>
      <c r="T64" s="26" t="s">
        <v>492</v>
      </c>
      <c r="U64" s="240" t="s">
        <v>701</v>
      </c>
      <c r="V64" s="241" t="str" cm="1">
        <f t="array" ref="V64">S64&amp;IF(ISBLANK(S64),ToCamel($U64,"",""),ToPascal($U64,"",""))</f>
        <v>getInterviewQuestionsForUser</v>
      </c>
      <c r="W64" s="241" t="str" cm="1">
        <f t="array" ref="W64">IF(AB64="post","I" &amp;ToPascal(V64,"","")&amp;"Req","")</f>
        <v/>
      </c>
      <c r="X64" s="241" t="str" cm="1">
        <f t="array" ref="X64">"I" &amp;ToPascal(V64,"","")&amp;"Res"</f>
        <v>IGetInterviewQuestionsForUserRes</v>
      </c>
      <c r="Y64" s="261" t="s">
        <v>702</v>
      </c>
      <c r="Z64" s="262"/>
      <c r="AA64" s="263" t="s">
        <v>217</v>
      </c>
      <c r="AB64" s="243" t="s">
        <v>223</v>
      </c>
      <c r="AC64" s="244" t="s">
        <v>229</v>
      </c>
      <c r="AD64" s="246" t="s">
        <v>827</v>
      </c>
      <c r="AE64" s="246"/>
      <c r="AF64" s="270"/>
      <c r="AG64" s="247"/>
      <c r="AH64" s="247"/>
      <c r="AI64" s="236"/>
      <c r="AJ64" s="249" t="s">
        <v>42</v>
      </c>
      <c r="AK64" s="264"/>
      <c r="AL64" s="230" t="s">
        <v>596</v>
      </c>
      <c r="AM64" s="250" t="s">
        <v>596</v>
      </c>
      <c r="AN64" s="251" t="s">
        <v>596</v>
      </c>
      <c r="AO64" s="265" t="s">
        <v>68</v>
      </c>
      <c r="AP64" s="251"/>
      <c r="AQ64" s="251"/>
      <c r="AR64" s="251"/>
      <c r="AS64" s="236"/>
      <c r="AT64" s="253"/>
      <c r="AU64" s="253"/>
      <c r="AV64" s="254" t="s">
        <v>596</v>
      </c>
    </row>
    <row r="65" spans="2:48" ht="24.5" customHeight="1" outlineLevel="1" thickTop="1">
      <c r="B65" s="10"/>
      <c r="C65" s="205" t="s">
        <v>192</v>
      </c>
      <c r="D65" s="136" t="s">
        <v>141</v>
      </c>
      <c r="E65" s="2" t="s">
        <v>640</v>
      </c>
      <c r="F65" s="2" t="s">
        <v>543</v>
      </c>
      <c r="G65" s="2" t="s">
        <v>56</v>
      </c>
      <c r="H65" s="2"/>
      <c r="I65" s="2"/>
      <c r="J65" s="127" t="s">
        <v>545</v>
      </c>
      <c r="K65" s="344" t="s">
        <v>543</v>
      </c>
      <c r="L65" s="354" t="s">
        <v>546</v>
      </c>
      <c r="M65" s="42"/>
      <c r="N65" s="37" t="str" cm="1">
        <f t="array" ref="N65">ToCamel($J65,"","")</f>
        <v>questionFolder</v>
      </c>
      <c r="O65" s="42"/>
      <c r="P65" s="21"/>
      <c r="Q65" s="136"/>
      <c r="R65" s="21" t="s">
        <v>548</v>
      </c>
      <c r="S65" s="136" t="s">
        <v>223</v>
      </c>
      <c r="T65" s="2" t="s">
        <v>492</v>
      </c>
      <c r="U65" s="21" t="s">
        <v>684</v>
      </c>
      <c r="V65" s="27" t="str" cm="1">
        <f t="array" ref="V65">S65&amp;IF(ISBLANK(S65),ToCamel($U65,"",""),ToPascal($U65,"",""))</f>
        <v>getQuestionFolders</v>
      </c>
      <c r="W65" s="27" t="str" cm="1">
        <f t="array" ref="W65">IF(AB65="post","I" &amp;ToPascal(V65,"","")&amp;"Req","")</f>
        <v/>
      </c>
      <c r="X65" s="27" t="str" cm="1">
        <f t="array" ref="X65">"I" &amp;ToPascal(V65,"","")&amp;"Res"</f>
        <v>IGetQuestionFoldersRes</v>
      </c>
      <c r="Y65" s="154" t="s">
        <v>559</v>
      </c>
      <c r="Z65" s="140"/>
      <c r="AA65" s="145" t="s">
        <v>217</v>
      </c>
      <c r="AB65" s="136" t="s">
        <v>301</v>
      </c>
      <c r="AC65" s="120" t="s">
        <v>229</v>
      </c>
      <c r="AD65" s="117" t="s">
        <v>686</v>
      </c>
      <c r="AE65" s="162"/>
      <c r="AF65" s="14"/>
      <c r="AG65" s="14"/>
      <c r="AH65" s="179"/>
      <c r="AI65" s="179"/>
      <c r="AJ65" s="180" t="s">
        <v>42</v>
      </c>
      <c r="AK65" s="184"/>
      <c r="AL65" s="100" t="s">
        <v>596</v>
      </c>
      <c r="AM65" s="49" t="s">
        <v>847</v>
      </c>
      <c r="AN65" s="126" t="s">
        <v>596</v>
      </c>
      <c r="AO65" s="69" t="s">
        <v>567</v>
      </c>
      <c r="AP65" s="126"/>
      <c r="AQ65" s="126"/>
      <c r="AR65" s="126"/>
      <c r="AS65" s="70"/>
      <c r="AT65" s="71"/>
      <c r="AU65" s="71"/>
      <c r="AV65" s="206" t="s">
        <v>596</v>
      </c>
    </row>
    <row r="66" spans="2:48" ht="24.5" customHeight="1" outlineLevel="1" thickBot="1">
      <c r="B66" s="10">
        <v>71</v>
      </c>
      <c r="C66" s="207" t="s">
        <v>192</v>
      </c>
      <c r="D66" s="2" t="s">
        <v>141</v>
      </c>
      <c r="E66" s="2" t="s">
        <v>640</v>
      </c>
      <c r="F66" s="2" t="s">
        <v>543</v>
      </c>
      <c r="G66" s="2" t="s">
        <v>73</v>
      </c>
      <c r="H66" s="2"/>
      <c r="I66" s="2"/>
      <c r="J66" s="127" t="s">
        <v>545</v>
      </c>
      <c r="K66" s="344"/>
      <c r="L66" s="354"/>
      <c r="M66" s="140"/>
      <c r="N66" s="37" t="str" cm="1">
        <f t="array" ref="N66">ToCamel($J66,"","")</f>
        <v>questionFolder</v>
      </c>
      <c r="O66" s="140"/>
      <c r="P66" s="21"/>
      <c r="Q66" s="2"/>
      <c r="R66" s="21" t="s">
        <v>677</v>
      </c>
      <c r="S66" s="2" t="s">
        <v>434</v>
      </c>
      <c r="T66" s="2"/>
      <c r="U66" s="21" t="s">
        <v>570</v>
      </c>
      <c r="V66" s="27" t="str" cm="1">
        <f t="array" ref="V66">S66&amp;IF(ISBLANK(S66),ToCamel($U66,"",""),ToPascal($U66,"",""))</f>
        <v>deleteQuestionFolder</v>
      </c>
      <c r="W66" s="27" t="str" cm="1">
        <f t="array" ref="W66">IF(AB66="post","I" &amp;ToPascal(V66,"","")&amp;"Req","")</f>
        <v>IDeleteQuestionFolderReq</v>
      </c>
      <c r="X66" s="27" t="str" cm="1">
        <f t="array" ref="X66">"I" &amp;ToPascal(V66,"","")&amp;"Res"</f>
        <v>IDeleteQuestionFolderRes</v>
      </c>
      <c r="Y66" s="21" t="s">
        <v>682</v>
      </c>
      <c r="Z66" s="144" t="s">
        <v>679</v>
      </c>
      <c r="AA66" s="18" t="s">
        <v>255</v>
      </c>
      <c r="AB66" s="18" t="s">
        <v>285</v>
      </c>
      <c r="AC66" s="120" t="s">
        <v>229</v>
      </c>
      <c r="AD66" s="46" t="s">
        <v>744</v>
      </c>
      <c r="AE66" s="144" t="s">
        <v>679</v>
      </c>
      <c r="AF66" s="14"/>
      <c r="AG66" s="14"/>
      <c r="AH66" s="179"/>
      <c r="AI66" s="179"/>
      <c r="AJ66" s="195" t="s">
        <v>42</v>
      </c>
      <c r="AK66" s="184"/>
      <c r="AL66" s="49" t="s">
        <v>596</v>
      </c>
      <c r="AM66" s="49" t="s">
        <v>848</v>
      </c>
      <c r="AN66" s="126" t="s">
        <v>596</v>
      </c>
      <c r="AO66" s="69" t="s">
        <v>567</v>
      </c>
      <c r="AP66" s="126"/>
      <c r="AQ66" s="126"/>
      <c r="AR66" s="126"/>
      <c r="AS66" s="10"/>
      <c r="AT66" s="13"/>
      <c r="AU66" s="13"/>
      <c r="AV66" s="183" t="s">
        <v>596</v>
      </c>
    </row>
    <row r="67" spans="2:48" ht="24.5" customHeight="1" outlineLevel="1" thickTop="1">
      <c r="B67" s="61">
        <v>71</v>
      </c>
      <c r="C67" s="208" t="s">
        <v>192</v>
      </c>
      <c r="D67" s="134" t="s">
        <v>141</v>
      </c>
      <c r="E67" s="134" t="s">
        <v>640</v>
      </c>
      <c r="F67" s="134" t="s">
        <v>543</v>
      </c>
      <c r="G67" s="134" t="s">
        <v>178</v>
      </c>
      <c r="H67" s="134"/>
      <c r="I67" s="134"/>
      <c r="J67" s="127" t="s">
        <v>545</v>
      </c>
      <c r="K67" s="344"/>
      <c r="L67" s="354"/>
      <c r="M67" s="140"/>
      <c r="N67" s="37" t="str" cm="1">
        <f t="array" ref="N67">ToCamel($J67,"","")</f>
        <v>questionFolder</v>
      </c>
      <c r="O67" s="140"/>
      <c r="P67" s="132"/>
      <c r="Q67" s="134"/>
      <c r="R67" s="132" t="s">
        <v>678</v>
      </c>
      <c r="S67" s="134" t="s">
        <v>428</v>
      </c>
      <c r="T67" s="134"/>
      <c r="U67" s="132" t="s">
        <v>570</v>
      </c>
      <c r="V67" s="50" t="str" cm="1">
        <f t="array" ref="V67">S67&amp;IF(ISBLANK(S67),ToCamel($U67,"",""),ToPascal($U67,"",""))</f>
        <v>saveQuestionFolder</v>
      </c>
      <c r="W67" s="50" t="str" cm="1">
        <f t="array" ref="W67">IF(AB67="post","I" &amp;ToPascal(V67,"","")&amp;"Req","")</f>
        <v>ISaveQuestionFolderReq</v>
      </c>
      <c r="X67" s="50" t="str" cm="1">
        <f t="array" ref="X67">"I" &amp;ToPascal(V67,"","")&amp;"Res"</f>
        <v>ISaveQuestionFolderRes</v>
      </c>
      <c r="Y67" s="132" t="s">
        <v>683</v>
      </c>
      <c r="Z67" s="149" t="s">
        <v>681</v>
      </c>
      <c r="AA67" s="147" t="s">
        <v>219</v>
      </c>
      <c r="AB67" s="147" t="s">
        <v>285</v>
      </c>
      <c r="AC67" s="120" t="s">
        <v>229</v>
      </c>
      <c r="AD67" s="46" t="s">
        <v>744</v>
      </c>
      <c r="AE67" s="149" t="s">
        <v>680</v>
      </c>
      <c r="AF67" s="14"/>
      <c r="AG67" s="14"/>
      <c r="AH67" s="179"/>
      <c r="AI67" s="179"/>
      <c r="AJ67" s="196" t="s">
        <v>42</v>
      </c>
      <c r="AK67" s="184"/>
      <c r="AL67" s="101" t="s">
        <v>596</v>
      </c>
      <c r="AM67" s="49" t="s">
        <v>849</v>
      </c>
      <c r="AN67" s="126" t="s">
        <v>596</v>
      </c>
      <c r="AO67" s="69" t="s">
        <v>567</v>
      </c>
      <c r="AP67" s="126"/>
      <c r="AQ67" s="126"/>
      <c r="AR67" s="126"/>
      <c r="AS67" s="61"/>
      <c r="AT67" s="62"/>
      <c r="AU67" s="62"/>
      <c r="AV67" s="193" t="s">
        <v>596</v>
      </c>
    </row>
    <row r="68" spans="2:48" s="185" customFormat="1" ht="24.5" customHeight="1" outlineLevel="1" thickBot="1">
      <c r="B68" s="66"/>
      <c r="C68" s="207" t="s">
        <v>192</v>
      </c>
      <c r="D68" s="155" t="s">
        <v>141</v>
      </c>
      <c r="E68" s="155" t="s">
        <v>640</v>
      </c>
      <c r="F68" s="155" t="s">
        <v>543</v>
      </c>
      <c r="G68" s="155" t="s">
        <v>105</v>
      </c>
      <c r="H68" s="155"/>
      <c r="I68" s="155"/>
      <c r="J68" s="186" t="s">
        <v>545</v>
      </c>
      <c r="K68" s="352"/>
      <c r="L68" s="355"/>
      <c r="M68" s="73"/>
      <c r="N68" s="89" t="str" cm="1">
        <f t="array" ref="N68">ToCamel($J68,"","")</f>
        <v>questionFolder</v>
      </c>
      <c r="O68" s="73"/>
      <c r="P68" s="103"/>
      <c r="Q68" s="155"/>
      <c r="R68" s="103" t="s">
        <v>547</v>
      </c>
      <c r="S68" s="155" t="s">
        <v>432</v>
      </c>
      <c r="T68" s="155"/>
      <c r="U68" s="103" t="s">
        <v>570</v>
      </c>
      <c r="V68" s="90" t="str" cm="1">
        <f t="array" ref="V68">S68&amp;IF(ISBLANK(S68),ToCamel($U68,"",""),ToPascal($U68,"",""))</f>
        <v>addQuestionFolder</v>
      </c>
      <c r="W68" s="90" t="str" cm="1">
        <f t="array" ref="W68">IF(AB68="post","I" &amp;ToPascal(V68,"","")&amp;"Req","")</f>
        <v>IAddQuestionFolderReq</v>
      </c>
      <c r="X68" s="90" t="str" cm="1">
        <f t="array" ref="X68">"I" &amp;ToPascal(V68,"","")&amp;"Res"</f>
        <v>IAddQuestionFolderRes</v>
      </c>
      <c r="Y68" s="103" t="s">
        <v>560</v>
      </c>
      <c r="Z68" s="72" t="s">
        <v>672</v>
      </c>
      <c r="AA68" s="68" t="s">
        <v>218</v>
      </c>
      <c r="AB68" s="68" t="s">
        <v>222</v>
      </c>
      <c r="AC68" s="120" t="s">
        <v>229</v>
      </c>
      <c r="AD68" s="46" t="s">
        <v>746</v>
      </c>
      <c r="AE68" s="160"/>
      <c r="AF68" s="14"/>
      <c r="AG68" s="14"/>
      <c r="AH68" s="179"/>
      <c r="AI68" s="179"/>
      <c r="AJ68" s="198" t="s">
        <v>42</v>
      </c>
      <c r="AK68" s="184"/>
      <c r="AL68" s="88" t="s">
        <v>596</v>
      </c>
      <c r="AM68" s="49" t="s">
        <v>850</v>
      </c>
      <c r="AN68" s="126" t="s">
        <v>596</v>
      </c>
      <c r="AO68" s="52" t="s">
        <v>567</v>
      </c>
      <c r="AP68" s="126"/>
      <c r="AQ68" s="126"/>
      <c r="AR68" s="126"/>
      <c r="AS68" s="66"/>
      <c r="AT68" s="67"/>
      <c r="AU68" s="67"/>
      <c r="AV68" s="188" t="s">
        <v>596</v>
      </c>
    </row>
    <row r="69" spans="2:48" ht="24.5" customHeight="1" outlineLevel="1" thickTop="1">
      <c r="B69" s="63"/>
      <c r="C69" s="209" t="s">
        <v>192</v>
      </c>
      <c r="D69" s="135" t="s">
        <v>141</v>
      </c>
      <c r="E69" s="135" t="s">
        <v>640</v>
      </c>
      <c r="F69" s="135" t="s">
        <v>641</v>
      </c>
      <c r="G69" s="135" t="s">
        <v>56</v>
      </c>
      <c r="H69" s="135"/>
      <c r="I69" s="135"/>
      <c r="J69" s="129" t="s">
        <v>540</v>
      </c>
      <c r="K69" s="344" t="s">
        <v>539</v>
      </c>
      <c r="L69" s="354" t="s">
        <v>553</v>
      </c>
      <c r="M69" s="42"/>
      <c r="N69" s="38" t="str" cm="1">
        <f t="array" ref="N69">ToCamel($J69,"","")</f>
        <v>question</v>
      </c>
      <c r="O69" s="42"/>
      <c r="P69" s="133"/>
      <c r="Q69" s="135"/>
      <c r="R69" s="133" t="s">
        <v>541</v>
      </c>
      <c r="S69" s="135" t="s">
        <v>223</v>
      </c>
      <c r="T69" s="135" t="s">
        <v>492</v>
      </c>
      <c r="U69" s="133" t="s">
        <v>571</v>
      </c>
      <c r="V69" s="102" t="str" cm="1">
        <f t="array" ref="V69">S69&amp;IF(ISBLANK(S69),ToCamel($U69,"",""),ToPascal($U69,"",""))</f>
        <v>getQuestions</v>
      </c>
      <c r="W69" s="102" t="str" cm="1">
        <f t="array" ref="W69">IF(AB69="post","I" &amp;ToPascal(V69,"","")&amp;"Req","")</f>
        <v/>
      </c>
      <c r="X69" s="102" t="str" cm="1">
        <f t="array" ref="X69">"I" &amp;ToPascal(V69,"","")&amp;"Res"</f>
        <v>IGetQuestionsRes</v>
      </c>
      <c r="Y69" s="133" t="s">
        <v>561</v>
      </c>
      <c r="Z69" s="139"/>
      <c r="AA69" s="146" t="s">
        <v>217</v>
      </c>
      <c r="AB69" s="135" t="s">
        <v>301</v>
      </c>
      <c r="AC69" s="120" t="s">
        <v>229</v>
      </c>
      <c r="AD69" s="118" t="s">
        <v>674</v>
      </c>
      <c r="AE69" s="144"/>
      <c r="AF69" s="14"/>
      <c r="AG69" s="14"/>
      <c r="AH69" s="179"/>
      <c r="AI69" s="179"/>
      <c r="AJ69" s="180" t="s">
        <v>42</v>
      </c>
      <c r="AK69" s="184"/>
      <c r="AL69" s="99" t="s">
        <v>596</v>
      </c>
      <c r="AM69" s="49" t="s">
        <v>851</v>
      </c>
      <c r="AN69" s="126" t="s">
        <v>596</v>
      </c>
      <c r="AO69" s="153" t="s">
        <v>567</v>
      </c>
      <c r="AP69" s="126"/>
      <c r="AQ69" s="126"/>
      <c r="AR69" s="126"/>
      <c r="AS69" s="63"/>
      <c r="AT69" s="65"/>
      <c r="AU69" s="65"/>
      <c r="AV69" s="191" t="s">
        <v>596</v>
      </c>
    </row>
    <row r="70" spans="2:48" ht="24.5" customHeight="1" outlineLevel="1">
      <c r="B70" s="10"/>
      <c r="C70" s="211" t="s">
        <v>192</v>
      </c>
      <c r="D70" s="2" t="s">
        <v>141</v>
      </c>
      <c r="E70" s="2" t="s">
        <v>640</v>
      </c>
      <c r="F70" s="2" t="s">
        <v>641</v>
      </c>
      <c r="G70" s="2" t="s">
        <v>105</v>
      </c>
      <c r="H70" s="2"/>
      <c r="I70" s="2"/>
      <c r="J70" s="9" t="s">
        <v>540</v>
      </c>
      <c r="K70" s="344"/>
      <c r="L70" s="354"/>
      <c r="M70" s="42"/>
      <c r="N70" s="37" t="str" cm="1">
        <f t="array" ref="N70">ToCamel($J70,"","")</f>
        <v>question</v>
      </c>
      <c r="O70" s="42"/>
      <c r="P70" s="21"/>
      <c r="Q70" s="2"/>
      <c r="R70" s="21" t="s">
        <v>544</v>
      </c>
      <c r="S70" s="2" t="s">
        <v>432</v>
      </c>
      <c r="T70" s="2"/>
      <c r="U70" s="21" t="s">
        <v>540</v>
      </c>
      <c r="V70" s="27" t="str" cm="1">
        <f t="array" ref="V70">S70&amp;IF(ISBLANK(S70),ToCamel($U70,"",""),ToPascal($U70,"",""))</f>
        <v>addQuestion</v>
      </c>
      <c r="W70" s="27" t="str" cm="1">
        <f t="array" ref="W70">IF(AB70="post","I" &amp;ToPascal(V70,"","")&amp;"Req","")</f>
        <v>IAddQuestionReq</v>
      </c>
      <c r="X70" s="27" t="str" cm="1">
        <f t="array" ref="X70">"I" &amp;ToPascal(V70,"","")&amp;"Res"</f>
        <v>IAddQuestionRes</v>
      </c>
      <c r="Y70" s="21" t="s">
        <v>562</v>
      </c>
      <c r="Z70" s="144" t="s">
        <v>852</v>
      </c>
      <c r="AA70" s="18" t="s">
        <v>218</v>
      </c>
      <c r="AB70" s="18" t="s">
        <v>222</v>
      </c>
      <c r="AC70" s="120" t="s">
        <v>229</v>
      </c>
      <c r="AD70" s="46" t="s">
        <v>744</v>
      </c>
      <c r="AE70" s="144" t="s">
        <v>688</v>
      </c>
      <c r="AF70" s="14"/>
      <c r="AG70" s="14"/>
      <c r="AH70" s="179"/>
      <c r="AI70" s="179"/>
      <c r="AJ70" s="195" t="s">
        <v>42</v>
      </c>
      <c r="AK70" s="184"/>
      <c r="AL70" s="49" t="s">
        <v>596</v>
      </c>
      <c r="AM70" s="49" t="s">
        <v>856</v>
      </c>
      <c r="AN70" s="126" t="s">
        <v>596</v>
      </c>
      <c r="AO70" s="3" t="s">
        <v>567</v>
      </c>
      <c r="AP70" s="126"/>
      <c r="AQ70" s="126"/>
      <c r="AR70" s="126"/>
      <c r="AS70" s="10"/>
      <c r="AT70" s="13"/>
      <c r="AU70" s="13"/>
      <c r="AV70" s="183" t="s">
        <v>596</v>
      </c>
    </row>
    <row r="71" spans="2:48" ht="24.5" customHeight="1" outlineLevel="1">
      <c r="B71" s="10"/>
      <c r="C71" s="211" t="s">
        <v>192</v>
      </c>
      <c r="D71" s="2" t="s">
        <v>141</v>
      </c>
      <c r="E71" s="2" t="s">
        <v>640</v>
      </c>
      <c r="F71" s="2" t="s">
        <v>641</v>
      </c>
      <c r="G71" s="2" t="s">
        <v>57</v>
      </c>
      <c r="H71" s="2"/>
      <c r="I71" s="2"/>
      <c r="J71" s="9" t="s">
        <v>540</v>
      </c>
      <c r="K71" s="344"/>
      <c r="L71" s="354"/>
      <c r="M71" s="42"/>
      <c r="N71" s="37" t="str" cm="1">
        <f t="array" ref="N71">ToCamel($J71,"","")</f>
        <v>question</v>
      </c>
      <c r="O71" s="42"/>
      <c r="P71" s="21"/>
      <c r="Q71" s="2"/>
      <c r="R71" s="21" t="s">
        <v>572</v>
      </c>
      <c r="S71" s="2" t="s">
        <v>223</v>
      </c>
      <c r="T71" s="2"/>
      <c r="U71" s="21" t="s">
        <v>540</v>
      </c>
      <c r="V71" s="27" t="str" cm="1">
        <f t="array" ref="V71">S71&amp;IF(ISBLANK(S71),ToCamel($U71,"",""),ToPascal($U71,"",""))</f>
        <v>getQuestion</v>
      </c>
      <c r="W71" s="27" t="str" cm="1">
        <f t="array" ref="W71">IF(AB71="post","I" &amp;ToPascal(V71,"","")&amp;"Req","")</f>
        <v/>
      </c>
      <c r="X71" s="27" t="str" cm="1">
        <f t="array" ref="X71">"I" &amp;ToPascal(V71,"","")&amp;"Res"</f>
        <v>IGetQuestionRes</v>
      </c>
      <c r="Y71" s="21" t="s">
        <v>673</v>
      </c>
      <c r="Z71" s="144"/>
      <c r="AA71" s="18" t="s">
        <v>217</v>
      </c>
      <c r="AB71" s="2" t="s">
        <v>301</v>
      </c>
      <c r="AC71" s="120" t="s">
        <v>229</v>
      </c>
      <c r="AD71" s="118" t="s">
        <v>674</v>
      </c>
      <c r="AE71" s="157"/>
      <c r="AF71" s="14"/>
      <c r="AG71" s="14"/>
      <c r="AH71" s="179"/>
      <c r="AI71" s="179"/>
      <c r="AJ71" s="195" t="s">
        <v>42</v>
      </c>
      <c r="AK71" s="184"/>
      <c r="AL71" s="230" t="s">
        <v>596</v>
      </c>
      <c r="AM71" s="49" t="s">
        <v>857</v>
      </c>
      <c r="AN71" s="126" t="s">
        <v>596</v>
      </c>
      <c r="AO71" s="3" t="s">
        <v>567</v>
      </c>
      <c r="AP71" s="126"/>
      <c r="AQ71" s="126"/>
      <c r="AR71" s="126"/>
      <c r="AS71" s="10"/>
      <c r="AT71" s="13"/>
      <c r="AU71" s="13"/>
      <c r="AV71" s="183" t="s">
        <v>596</v>
      </c>
    </row>
    <row r="72" spans="2:48" ht="75" outlineLevel="1">
      <c r="B72" s="10"/>
      <c r="C72" s="211" t="s">
        <v>192</v>
      </c>
      <c r="D72" s="2" t="s">
        <v>141</v>
      </c>
      <c r="E72" s="2" t="s">
        <v>640</v>
      </c>
      <c r="F72" s="2" t="s">
        <v>641</v>
      </c>
      <c r="G72" s="2" t="s">
        <v>178</v>
      </c>
      <c r="H72" s="2"/>
      <c r="I72" s="2"/>
      <c r="J72" s="9" t="s">
        <v>540</v>
      </c>
      <c r="K72" s="344"/>
      <c r="L72" s="354"/>
      <c r="M72" s="42"/>
      <c r="N72" s="37" t="str" cm="1">
        <f t="array" ref="N72">ToCamel($J72,"","")</f>
        <v>question</v>
      </c>
      <c r="O72" s="42"/>
      <c r="P72" s="21"/>
      <c r="Q72" s="2"/>
      <c r="R72" s="21" t="s">
        <v>565</v>
      </c>
      <c r="S72" s="2" t="s">
        <v>428</v>
      </c>
      <c r="T72" s="2"/>
      <c r="U72" s="21" t="s">
        <v>540</v>
      </c>
      <c r="V72" s="27" t="str" cm="1">
        <f t="array" ref="V72">S72&amp;IF(ISBLANK(S72),ToCamel($U72,"",""),ToPascal($U72,"",""))</f>
        <v>saveQuestion</v>
      </c>
      <c r="W72" s="27" t="str" cm="1">
        <f t="array" ref="W72">IF(AB72="post","I" &amp;ToPascal(V72,"","")&amp;"Req","")</f>
        <v>ISaveQuestionReq</v>
      </c>
      <c r="X72" s="27" t="str" cm="1">
        <f t="array" ref="X72">"I" &amp;ToPascal(V72,"","")&amp;"Res"</f>
        <v>ISaveQuestionRes</v>
      </c>
      <c r="Y72" s="21" t="s">
        <v>566</v>
      </c>
      <c r="Z72" s="144" t="s">
        <v>675</v>
      </c>
      <c r="AA72" s="18" t="s">
        <v>219</v>
      </c>
      <c r="AB72" s="18" t="s">
        <v>222</v>
      </c>
      <c r="AC72" s="120" t="s">
        <v>229</v>
      </c>
      <c r="AD72" s="46" t="s">
        <v>744</v>
      </c>
      <c r="AE72" s="144" t="s">
        <v>676</v>
      </c>
      <c r="AF72" s="14"/>
      <c r="AG72" s="14"/>
      <c r="AH72" s="179"/>
      <c r="AI72" s="179"/>
      <c r="AJ72" s="195" t="s">
        <v>42</v>
      </c>
      <c r="AK72" s="184"/>
      <c r="AL72" s="49" t="s">
        <v>596</v>
      </c>
      <c r="AM72" s="49" t="s">
        <v>855</v>
      </c>
      <c r="AN72" s="126" t="s">
        <v>596</v>
      </c>
      <c r="AO72" s="3" t="s">
        <v>567</v>
      </c>
      <c r="AP72" s="126"/>
      <c r="AQ72" s="126"/>
      <c r="AR72" s="126"/>
      <c r="AS72" s="10"/>
      <c r="AT72" s="13"/>
      <c r="AU72" s="13"/>
      <c r="AV72" s="183" t="s">
        <v>596</v>
      </c>
    </row>
    <row r="73" spans="2:48" ht="24.5" customHeight="1" outlineLevel="1">
      <c r="B73" s="61"/>
      <c r="C73" s="208" t="s">
        <v>192</v>
      </c>
      <c r="D73" s="134" t="s">
        <v>141</v>
      </c>
      <c r="E73" s="134" t="s">
        <v>640</v>
      </c>
      <c r="F73" s="134" t="s">
        <v>641</v>
      </c>
      <c r="G73" s="134" t="s">
        <v>73</v>
      </c>
      <c r="H73" s="134"/>
      <c r="I73" s="134"/>
      <c r="J73" s="128" t="s">
        <v>540</v>
      </c>
      <c r="K73" s="344"/>
      <c r="L73" s="354"/>
      <c r="M73" s="134"/>
      <c r="N73" s="37" t="str" cm="1">
        <f t="array" ref="N73">ToCamel($J73,"","")</f>
        <v>question</v>
      </c>
      <c r="O73" s="42"/>
      <c r="P73" s="132"/>
      <c r="Q73" s="134"/>
      <c r="R73" s="132" t="s">
        <v>542</v>
      </c>
      <c r="S73" s="134" t="s">
        <v>434</v>
      </c>
      <c r="T73" s="134"/>
      <c r="U73" s="132" t="s">
        <v>540</v>
      </c>
      <c r="V73" s="50" t="str" cm="1">
        <f t="array" ref="V73">S73&amp;IF(ISBLANK(S73),ToCamel($U73,"",""),ToPascal($U73,"",""))</f>
        <v>deleteQuestion</v>
      </c>
      <c r="W73" s="50" t="str" cm="1">
        <f t="array" ref="W73">IF(AB73="post","I" &amp;ToPascal(V73,"","")&amp;"Req","")</f>
        <v>IDeleteQuestionReq</v>
      </c>
      <c r="X73" s="50" t="str" cm="1">
        <f t="array" ref="X73">"I" &amp;ToPascal(V73,"","")&amp;"Res"</f>
        <v>IDeleteQuestionRes</v>
      </c>
      <c r="Y73" s="132" t="s">
        <v>563</v>
      </c>
      <c r="Z73" s="149" t="s">
        <v>789</v>
      </c>
      <c r="AA73" s="147" t="s">
        <v>255</v>
      </c>
      <c r="AB73" s="147" t="s">
        <v>285</v>
      </c>
      <c r="AC73" s="120" t="s">
        <v>229</v>
      </c>
      <c r="AD73" s="46" t="s">
        <v>787</v>
      </c>
      <c r="AE73" s="149" t="s">
        <v>789</v>
      </c>
      <c r="AF73" s="14"/>
      <c r="AG73" s="14"/>
      <c r="AH73" s="179"/>
      <c r="AI73" s="179"/>
      <c r="AJ73" s="196" t="s">
        <v>42</v>
      </c>
      <c r="AK73" s="184"/>
      <c r="AL73" s="101" t="s">
        <v>596</v>
      </c>
      <c r="AM73" s="49" t="s">
        <v>853</v>
      </c>
      <c r="AN73" s="126" t="s">
        <v>596</v>
      </c>
      <c r="AO73" s="51" t="s">
        <v>567</v>
      </c>
      <c r="AP73" s="126"/>
      <c r="AQ73" s="126"/>
      <c r="AR73" s="126"/>
      <c r="AS73" s="61"/>
      <c r="AT73" s="62"/>
      <c r="AU73" s="62"/>
      <c r="AV73" s="193" t="s">
        <v>596</v>
      </c>
    </row>
    <row r="74" spans="2:48" s="185" customFormat="1" ht="61" outlineLevel="1" thickBot="1">
      <c r="B74" s="66"/>
      <c r="C74" s="207" t="s">
        <v>192</v>
      </c>
      <c r="D74" s="155" t="s">
        <v>141</v>
      </c>
      <c r="E74" s="155" t="s">
        <v>640</v>
      </c>
      <c r="F74" s="155" t="s">
        <v>641</v>
      </c>
      <c r="G74" s="155" t="s">
        <v>642</v>
      </c>
      <c r="H74" s="155"/>
      <c r="I74" s="155"/>
      <c r="J74" s="186" t="s">
        <v>540</v>
      </c>
      <c r="K74" s="352"/>
      <c r="L74" s="355"/>
      <c r="M74" s="104"/>
      <c r="N74" s="89" t="str" cm="1">
        <f t="array" ref="N74">ToCamel($J74,"","")</f>
        <v>question</v>
      </c>
      <c r="O74" s="73"/>
      <c r="P74" s="103"/>
      <c r="Q74" s="155"/>
      <c r="R74" s="103" t="s">
        <v>554</v>
      </c>
      <c r="S74" s="155" t="s">
        <v>569</v>
      </c>
      <c r="T74" s="155"/>
      <c r="U74" s="103" t="s">
        <v>540</v>
      </c>
      <c r="V74" s="90" t="str" cm="1">
        <f t="array" ref="V74">S74&amp;IF(ISBLANK(S74),ToCamel($U74,"",""),ToPascal($U74,"",""))</f>
        <v>moveQuestion</v>
      </c>
      <c r="W74" s="90" t="str" cm="1">
        <f t="array" ref="W74">IF(AB74="post","I" &amp;ToPascal(V74,"","")&amp;"Req","")</f>
        <v>IMoveQuestionReq</v>
      </c>
      <c r="X74" s="90" t="str" cm="1">
        <f t="array" ref="X74">"I" &amp;ToPascal(V74,"","")&amp;"Res"</f>
        <v>IMoveQuestionRes</v>
      </c>
      <c r="Y74" s="103" t="s">
        <v>564</v>
      </c>
      <c r="Z74" s="72" t="s">
        <v>788</v>
      </c>
      <c r="AA74" s="68" t="s">
        <v>219</v>
      </c>
      <c r="AB74" s="68" t="s">
        <v>222</v>
      </c>
      <c r="AC74" s="120" t="s">
        <v>229</v>
      </c>
      <c r="AD74" s="46" t="s">
        <v>787</v>
      </c>
      <c r="AE74" s="72" t="s">
        <v>788</v>
      </c>
      <c r="AF74" s="14"/>
      <c r="AG74" s="14"/>
      <c r="AH74" s="179"/>
      <c r="AI74" s="179"/>
      <c r="AJ74" s="198" t="s">
        <v>42</v>
      </c>
      <c r="AK74" s="184"/>
      <c r="AL74" s="88" t="s">
        <v>596</v>
      </c>
      <c r="AM74" s="49" t="s">
        <v>854</v>
      </c>
      <c r="AN74" s="126" t="s">
        <v>596</v>
      </c>
      <c r="AO74" s="52" t="s">
        <v>567</v>
      </c>
      <c r="AP74" s="126"/>
      <c r="AQ74" s="126" t="s">
        <v>786</v>
      </c>
      <c r="AR74" s="126"/>
      <c r="AS74" s="66"/>
      <c r="AT74" s="67"/>
      <c r="AU74" s="67"/>
      <c r="AV74" s="188" t="s">
        <v>596</v>
      </c>
    </row>
    <row r="75" spans="2:48" ht="24.5" customHeight="1" thickTop="1" thickBot="1">
      <c r="B75" s="63">
        <v>18</v>
      </c>
      <c r="C75" s="63">
        <v>51</v>
      </c>
      <c r="D75" s="135" t="s">
        <v>90</v>
      </c>
      <c r="E75" s="135" t="s">
        <v>46</v>
      </c>
      <c r="F75" s="135"/>
      <c r="G75" s="135" t="s">
        <v>64</v>
      </c>
      <c r="H75" s="135"/>
      <c r="I75" s="135"/>
      <c r="J75" s="129" t="s">
        <v>407</v>
      </c>
      <c r="K75" s="344" t="s">
        <v>374</v>
      </c>
      <c r="L75" s="378" t="s">
        <v>694</v>
      </c>
      <c r="M75" s="38" t="str" cm="1">
        <f t="array" ref="M75">ToPascal($J75,"","") &amp;"Contoller.ts"</f>
        <v>InterviewQuestionContoller.ts</v>
      </c>
      <c r="N75" s="38" t="str" cm="1">
        <f t="array" ref="N75">ToCamel($J75,"","")</f>
        <v>interviewQuestion</v>
      </c>
      <c r="O75" s="38" t="str" cm="1">
        <f t="array" ref="O75">ToCamel($J75,"","") &amp;"Repo.ts"</f>
        <v>interviewQuestionRepo.ts</v>
      </c>
      <c r="P75" s="133"/>
      <c r="Q75" s="61" t="s">
        <v>697</v>
      </c>
      <c r="R75" s="133" t="s">
        <v>342</v>
      </c>
      <c r="S75" s="135" t="s">
        <v>223</v>
      </c>
      <c r="T75" s="135"/>
      <c r="U75" s="133" t="s">
        <v>458</v>
      </c>
      <c r="V75" s="102" t="str" cm="1">
        <f t="array" ref="V75">S75&amp;IF(ISBLANK(S75),ToCamel($U75,"",""),ToPascal($U75,"",""))</f>
        <v>getInterviewQuestionForUser</v>
      </c>
      <c r="W75" s="102" t="str" cm="1">
        <f t="array" ref="W75">IF(AB75="post","I" &amp;ToPascal(V75,"","")&amp;"Req","")</f>
        <v/>
      </c>
      <c r="X75" s="102" t="str" cm="1">
        <f t="array" ref="X75">"I" &amp;ToPascal(V75,"","")&amp;"Res"</f>
        <v>IGetInterviewQuestionForUserRes</v>
      </c>
      <c r="Y75" s="133" t="s">
        <v>703</v>
      </c>
      <c r="Z75" s="137"/>
      <c r="AA75" s="146" t="s">
        <v>217</v>
      </c>
      <c r="AB75" s="18" t="s">
        <v>223</v>
      </c>
      <c r="AC75" s="120" t="s">
        <v>229</v>
      </c>
      <c r="AD75" s="157" t="s">
        <v>699</v>
      </c>
      <c r="AE75" s="36"/>
      <c r="AF75" s="348" t="s">
        <v>696</v>
      </c>
      <c r="AG75" s="14"/>
      <c r="AH75" s="14"/>
      <c r="AI75" s="10"/>
      <c r="AJ75" s="189" t="s">
        <v>42</v>
      </c>
      <c r="AK75" s="182"/>
      <c r="AL75" s="99" t="s">
        <v>722</v>
      </c>
      <c r="AM75" s="58" t="s">
        <v>596</v>
      </c>
      <c r="AN75" s="126" t="s">
        <v>596</v>
      </c>
      <c r="AO75" s="153" t="s">
        <v>68</v>
      </c>
      <c r="AP75" s="126"/>
      <c r="AQ75" s="126" t="s">
        <v>731</v>
      </c>
      <c r="AR75" s="126"/>
      <c r="AS75" s="63"/>
      <c r="AT75" s="65"/>
      <c r="AU75" s="65"/>
      <c r="AV75" s="191" t="s">
        <v>596</v>
      </c>
    </row>
    <row r="76" spans="2:48" ht="24.5" customHeight="1" thickTop="1" thickBot="1">
      <c r="B76" s="10">
        <v>74</v>
      </c>
      <c r="C76" s="10">
        <v>54</v>
      </c>
      <c r="D76" s="2" t="s">
        <v>141</v>
      </c>
      <c r="E76" s="2" t="s">
        <v>39</v>
      </c>
      <c r="F76" s="2" t="s">
        <v>46</v>
      </c>
      <c r="G76" s="2" t="s">
        <v>645</v>
      </c>
      <c r="H76" s="2"/>
      <c r="I76" s="2"/>
      <c r="J76" s="9" t="s">
        <v>407</v>
      </c>
      <c r="K76" s="344"/>
      <c r="L76" s="378"/>
      <c r="M76" s="140"/>
      <c r="N76" s="37" t="str" cm="1">
        <f t="array" ref="N76">ToCamel($J76,"","")</f>
        <v>interviewQuestion</v>
      </c>
      <c r="O76" s="140"/>
      <c r="P76" s="14" t="s">
        <v>340</v>
      </c>
      <c r="Q76" s="61" t="s">
        <v>697</v>
      </c>
      <c r="R76" s="21" t="s">
        <v>340</v>
      </c>
      <c r="S76" s="2" t="s">
        <v>223</v>
      </c>
      <c r="T76" s="2"/>
      <c r="U76" s="21" t="s">
        <v>459</v>
      </c>
      <c r="V76" s="27" t="str" cm="1">
        <f t="array" ref="V76">S76&amp;IF(ISBLANK(S76),ToCamel($U76,"",""),ToPascal($U76,"",""))</f>
        <v>getInterviewQuestion</v>
      </c>
      <c r="W76" s="27" t="str" cm="1">
        <f t="array" ref="W76">IF(AB76="post","I" &amp;ToPascal(V76,"","")&amp;"Req","")</f>
        <v/>
      </c>
      <c r="X76" s="27" t="str" cm="1">
        <f t="array" ref="X76">"I" &amp;ToPascal(V76,"","")&amp;"Res"</f>
        <v>IGetInterviewQuestionRes</v>
      </c>
      <c r="Y76" s="21" t="s">
        <v>556</v>
      </c>
      <c r="Z76" s="137"/>
      <c r="AA76" s="31" t="s">
        <v>217</v>
      </c>
      <c r="AB76" s="18" t="s">
        <v>223</v>
      </c>
      <c r="AC76" s="120" t="s">
        <v>229</v>
      </c>
      <c r="AD76" s="157" t="s">
        <v>699</v>
      </c>
      <c r="AE76" s="157"/>
      <c r="AF76" s="345"/>
      <c r="AG76" s="14"/>
      <c r="AH76" s="14"/>
      <c r="AI76" s="10"/>
      <c r="AJ76" s="195" t="s">
        <v>42</v>
      </c>
      <c r="AK76" s="182"/>
      <c r="AL76" s="49" t="s">
        <v>723</v>
      </c>
      <c r="AM76" s="58" t="s">
        <v>596</v>
      </c>
      <c r="AN76" s="126" t="s">
        <v>596</v>
      </c>
      <c r="AO76" s="3" t="s">
        <v>161</v>
      </c>
      <c r="AP76" s="126"/>
      <c r="AQ76" s="126"/>
      <c r="AR76" s="126"/>
      <c r="AS76" s="10"/>
      <c r="AT76" s="13"/>
      <c r="AU76" s="13"/>
      <c r="AV76" s="183" t="s">
        <v>596</v>
      </c>
    </row>
    <row r="77" spans="2:48" s="170" customFormat="1" ht="24.5" customHeight="1" thickTop="1" thickBot="1">
      <c r="B77" s="236">
        <v>74</v>
      </c>
      <c r="C77" s="236">
        <v>52</v>
      </c>
      <c r="D77" s="26" t="s">
        <v>141</v>
      </c>
      <c r="E77" s="26" t="s">
        <v>39</v>
      </c>
      <c r="F77" s="26" t="s">
        <v>46</v>
      </c>
      <c r="G77" s="26" t="s">
        <v>643</v>
      </c>
      <c r="H77" s="26"/>
      <c r="I77" s="26"/>
      <c r="J77" s="237" t="s">
        <v>407</v>
      </c>
      <c r="K77" s="344"/>
      <c r="L77" s="378"/>
      <c r="M77" s="239"/>
      <c r="N77" s="239" t="str" cm="1">
        <f t="array" ref="N77">ToCamel($J77,"","")</f>
        <v>interviewQuestion</v>
      </c>
      <c r="O77" s="239"/>
      <c r="P77" s="247" t="s">
        <v>341</v>
      </c>
      <c r="Q77" s="61" t="s">
        <v>697</v>
      </c>
      <c r="R77" s="240" t="s">
        <v>700</v>
      </c>
      <c r="S77" s="26" t="s">
        <v>223</v>
      </c>
      <c r="T77" s="26" t="s">
        <v>492</v>
      </c>
      <c r="U77" s="240" t="s">
        <v>701</v>
      </c>
      <c r="V77" s="241" t="str" cm="1">
        <f t="array" ref="V77">S77&amp;IF(ISBLANK(S77),ToCamel($U77,"",""),ToPascal($U77,"",""))</f>
        <v>getInterviewQuestionsForUser</v>
      </c>
      <c r="W77" s="241" t="str" cm="1">
        <f t="array" ref="W77">IF(AB77="post","I" &amp;ToPascal(V77,"","")&amp;"Req","")</f>
        <v/>
      </c>
      <c r="X77" s="241" t="str" cm="1">
        <f t="array" ref="X77">"I" &amp;ToPascal(V77,"","")&amp;"Res"</f>
        <v>IGetInterviewQuestionsForUserRes</v>
      </c>
      <c r="Y77" s="261" t="s">
        <v>702</v>
      </c>
      <c r="Z77" s="262"/>
      <c r="AA77" s="263" t="s">
        <v>217</v>
      </c>
      <c r="AB77" s="243" t="s">
        <v>223</v>
      </c>
      <c r="AC77" s="244" t="s">
        <v>229</v>
      </c>
      <c r="AD77" s="246" t="s">
        <v>699</v>
      </c>
      <c r="AE77" s="246"/>
      <c r="AF77" s="345"/>
      <c r="AG77" s="247"/>
      <c r="AH77" s="247"/>
      <c r="AI77" s="236"/>
      <c r="AJ77" s="249" t="s">
        <v>42</v>
      </c>
      <c r="AK77" s="264"/>
      <c r="AL77" s="230" t="s">
        <v>720</v>
      </c>
      <c r="AM77" s="250" t="s">
        <v>596</v>
      </c>
      <c r="AN77" s="251" t="s">
        <v>596</v>
      </c>
      <c r="AO77" s="265" t="s">
        <v>68</v>
      </c>
      <c r="AP77" s="251"/>
      <c r="AQ77" s="251"/>
      <c r="AR77" s="251"/>
      <c r="AS77" s="236"/>
      <c r="AT77" s="253"/>
      <c r="AU77" s="253"/>
      <c r="AV77" s="254" t="s">
        <v>596</v>
      </c>
    </row>
    <row r="78" spans="2:48" s="170" customFormat="1" ht="24.5" customHeight="1" thickTop="1" thickBot="1">
      <c r="B78" s="236">
        <v>74</v>
      </c>
      <c r="C78" s="236">
        <v>52</v>
      </c>
      <c r="D78" s="26" t="s">
        <v>141</v>
      </c>
      <c r="E78" s="26" t="s">
        <v>39</v>
      </c>
      <c r="F78" s="26" t="s">
        <v>46</v>
      </c>
      <c r="G78" s="26" t="s">
        <v>643</v>
      </c>
      <c r="H78" s="26"/>
      <c r="I78" s="26"/>
      <c r="J78" s="237" t="s">
        <v>407</v>
      </c>
      <c r="K78" s="344"/>
      <c r="L78" s="406"/>
      <c r="M78" s="239"/>
      <c r="N78" s="239" t="str" cm="1">
        <f t="array" ref="N78">ToCamel($J78,"","")</f>
        <v>interviewQuestion</v>
      </c>
      <c r="O78" s="239"/>
      <c r="P78" s="247" t="s">
        <v>341</v>
      </c>
      <c r="Q78" s="61" t="s">
        <v>697</v>
      </c>
      <c r="R78" s="240" t="s">
        <v>658</v>
      </c>
      <c r="S78" s="26" t="s">
        <v>223</v>
      </c>
      <c r="T78" s="26" t="s">
        <v>492</v>
      </c>
      <c r="U78" s="240" t="s">
        <v>460</v>
      </c>
      <c r="V78" s="241" t="str" cm="1">
        <f t="array" ref="V78">S78&amp;IF(ISBLANK(S78),ToCamel($U78,"",""),ToPascal($U78,"",""))</f>
        <v>getInterviewQuestions</v>
      </c>
      <c r="W78" s="241" t="str" cm="1">
        <f t="array" ref="W78">IF(AB78="post","I" &amp;ToPascal(V78,"","")&amp;"Req","")</f>
        <v/>
      </c>
      <c r="X78" s="241" t="str" cm="1">
        <f t="array" ref="X78">"I" &amp;ToPascal(V78,"","")&amp;"Res"</f>
        <v>IGetInterviewQuestionsRes</v>
      </c>
      <c r="Y78" s="240" t="s">
        <v>698</v>
      </c>
      <c r="Z78" s="262"/>
      <c r="AA78" s="263" t="s">
        <v>217</v>
      </c>
      <c r="AB78" s="243" t="s">
        <v>223</v>
      </c>
      <c r="AC78" s="244" t="s">
        <v>229</v>
      </c>
      <c r="AD78" s="246" t="s">
        <v>699</v>
      </c>
      <c r="AE78" s="246"/>
      <c r="AF78" s="346"/>
      <c r="AG78" s="247"/>
      <c r="AH78" s="247"/>
      <c r="AI78" s="236"/>
      <c r="AJ78" s="249" t="s">
        <v>42</v>
      </c>
      <c r="AK78" s="264"/>
      <c r="AL78" s="230" t="s">
        <v>721</v>
      </c>
      <c r="AM78" s="250" t="s">
        <v>596</v>
      </c>
      <c r="AN78" s="251" t="s">
        <v>596</v>
      </c>
      <c r="AO78" s="252" t="s">
        <v>549</v>
      </c>
      <c r="AP78" s="251"/>
      <c r="AQ78" s="251"/>
      <c r="AR78" s="251"/>
      <c r="AS78" s="236"/>
      <c r="AT78" s="253"/>
      <c r="AU78" s="253"/>
      <c r="AV78" s="254" t="s">
        <v>596</v>
      </c>
    </row>
    <row r="79" spans="2:48" ht="24.5" customHeight="1" thickTop="1" thickBot="1">
      <c r="B79" s="10">
        <v>74</v>
      </c>
      <c r="C79" s="10">
        <v>53</v>
      </c>
      <c r="D79" s="2" t="s">
        <v>141</v>
      </c>
      <c r="E79" s="2" t="s">
        <v>39</v>
      </c>
      <c r="F79" s="2" t="s">
        <v>46</v>
      </c>
      <c r="G79" s="2" t="s">
        <v>644</v>
      </c>
      <c r="H79" s="2"/>
      <c r="I79" s="2"/>
      <c r="J79" s="9" t="s">
        <v>407</v>
      </c>
      <c r="K79" s="344"/>
      <c r="L79" s="406"/>
      <c r="M79" s="140"/>
      <c r="N79" s="37" t="str" cm="1">
        <f t="array" ref="N79">ToCamel($J79,"","")</f>
        <v>interviewQuestion</v>
      </c>
      <c r="O79" s="140"/>
      <c r="P79" s="14" t="s">
        <v>343</v>
      </c>
      <c r="Q79" s="63" t="s">
        <v>491</v>
      </c>
      <c r="R79" s="21" t="s">
        <v>343</v>
      </c>
      <c r="S79" s="2" t="s">
        <v>432</v>
      </c>
      <c r="T79" s="2"/>
      <c r="U79" s="21" t="s">
        <v>459</v>
      </c>
      <c r="V79" s="27" t="str" cm="1">
        <f t="array" ref="V79">S79&amp;IF(ISBLANK(S79),ToCamel($U79,"",""),ToPascal($U79,"",""))</f>
        <v>addInterviewQuestion</v>
      </c>
      <c r="W79" s="27" t="str" cm="1">
        <f t="array" ref="W79">IF(AB79="post","I" &amp;ToPascal(V79,"","")&amp;"Req","")</f>
        <v>IAddInterviewQuestionReq</v>
      </c>
      <c r="X79" s="27" t="str" cm="1">
        <f t="array" ref="X79">"I" &amp;ToPascal(V79,"","")&amp;"Res"</f>
        <v>IAddInterviewQuestionRes</v>
      </c>
      <c r="Y79" s="21" t="s">
        <v>555</v>
      </c>
      <c r="Z79" s="144" t="s">
        <v>695</v>
      </c>
      <c r="AA79" s="18" t="s">
        <v>218</v>
      </c>
      <c r="AB79" s="18" t="s">
        <v>222</v>
      </c>
      <c r="AC79" s="120" t="s">
        <v>229</v>
      </c>
      <c r="AD79" s="46" t="s">
        <v>744</v>
      </c>
      <c r="AE79" s="144" t="s">
        <v>695</v>
      </c>
      <c r="AF79" s="346"/>
      <c r="AG79" s="14"/>
      <c r="AH79" s="14"/>
      <c r="AI79" s="10"/>
      <c r="AJ79" s="195" t="s">
        <v>42</v>
      </c>
      <c r="AK79" s="182"/>
      <c r="AL79" s="49" t="s">
        <v>724</v>
      </c>
      <c r="AM79" s="58" t="s">
        <v>596</v>
      </c>
      <c r="AN79" s="126" t="s">
        <v>596</v>
      </c>
      <c r="AO79" s="3" t="s">
        <v>549</v>
      </c>
      <c r="AP79" s="126"/>
      <c r="AQ79" s="126" t="s">
        <v>730</v>
      </c>
      <c r="AR79" s="126"/>
      <c r="AS79" s="10"/>
      <c r="AT79" s="13"/>
      <c r="AU79" s="13"/>
      <c r="AV79" s="183" t="s">
        <v>596</v>
      </c>
    </row>
    <row r="80" spans="2:48" ht="24.5" customHeight="1" thickTop="1">
      <c r="B80" s="61">
        <v>74</v>
      </c>
      <c r="C80" s="61">
        <v>55</v>
      </c>
      <c r="D80" s="134" t="s">
        <v>141</v>
      </c>
      <c r="E80" s="134" t="s">
        <v>39</v>
      </c>
      <c r="F80" s="134" t="s">
        <v>46</v>
      </c>
      <c r="G80" s="134" t="s">
        <v>646</v>
      </c>
      <c r="H80" s="134"/>
      <c r="I80" s="134"/>
      <c r="J80" s="128" t="s">
        <v>407</v>
      </c>
      <c r="K80" s="344"/>
      <c r="L80" s="397"/>
      <c r="M80" s="140"/>
      <c r="N80" s="37" t="str" cm="1">
        <f t="array" ref="N80">ToCamel($J80,"","")</f>
        <v>interviewQuestion</v>
      </c>
      <c r="O80" s="140"/>
      <c r="P80" s="91" t="s">
        <v>345</v>
      </c>
      <c r="Q80" s="70" t="s">
        <v>491</v>
      </c>
      <c r="R80" s="132" t="s">
        <v>346</v>
      </c>
      <c r="S80" s="134" t="s">
        <v>428</v>
      </c>
      <c r="T80" s="134"/>
      <c r="U80" s="132" t="s">
        <v>459</v>
      </c>
      <c r="V80" s="50" t="str" cm="1">
        <f t="array" ref="V80">S80&amp;IF(ISBLANK(S80),ToCamel($U80,"",""),ToPascal($U80,"",""))</f>
        <v>saveInterviewQuestion</v>
      </c>
      <c r="W80" s="50" t="str" cm="1">
        <f t="array" ref="W80">IF(AB80="post","I" &amp;ToPascal(V80,"","")&amp;"Req","")</f>
        <v>ISaveInterviewQuestionReq</v>
      </c>
      <c r="X80" s="50" t="str" cm="1">
        <f t="array" ref="X80">"I" &amp;ToPascal(V80,"","")&amp;"Res"</f>
        <v>ISaveInterviewQuestionRes</v>
      </c>
      <c r="Y80" s="132" t="s">
        <v>557</v>
      </c>
      <c r="Z80" s="137" t="s">
        <v>583</v>
      </c>
      <c r="AA80" s="147" t="s">
        <v>219</v>
      </c>
      <c r="AB80" s="147" t="s">
        <v>222</v>
      </c>
      <c r="AC80" s="272" t="s">
        <v>229</v>
      </c>
      <c r="AD80" s="113"/>
      <c r="AE80" s="159"/>
      <c r="AF80" s="346"/>
      <c r="AG80" s="91"/>
      <c r="AH80" s="91"/>
      <c r="AI80" s="61"/>
      <c r="AJ80" s="196" t="s">
        <v>42</v>
      </c>
      <c r="AK80" s="184"/>
      <c r="AL80" s="91" t="s">
        <v>596</v>
      </c>
      <c r="AM80" s="281" t="s">
        <v>596</v>
      </c>
      <c r="AN80" s="273" t="s">
        <v>596</v>
      </c>
      <c r="AO80" s="51" t="s">
        <v>161</v>
      </c>
      <c r="AP80" s="273"/>
      <c r="AQ80" s="273"/>
      <c r="AR80" s="273"/>
      <c r="AS80" s="61"/>
      <c r="AT80" s="62"/>
      <c r="AU80" s="62"/>
      <c r="AV80" s="193" t="s">
        <v>596</v>
      </c>
    </row>
    <row r="81" spans="1:49" s="14" customFormat="1" ht="24.5" customHeight="1" thickBot="1">
      <c r="B81" s="10">
        <v>74</v>
      </c>
      <c r="C81" s="10">
        <v>56</v>
      </c>
      <c r="D81" s="2" t="s">
        <v>141</v>
      </c>
      <c r="E81" s="2" t="s">
        <v>39</v>
      </c>
      <c r="F81" s="2" t="s">
        <v>46</v>
      </c>
      <c r="G81" s="2" t="s">
        <v>647</v>
      </c>
      <c r="H81" s="2"/>
      <c r="I81" s="2"/>
      <c r="J81" s="9" t="s">
        <v>407</v>
      </c>
      <c r="K81" s="352"/>
      <c r="L81" s="355"/>
      <c r="M81" s="44"/>
      <c r="N81" s="231" t="str" cm="1">
        <f t="array" ref="N81">ToCamel($J81,"","")</f>
        <v>interviewQuestion</v>
      </c>
      <c r="O81" s="44"/>
      <c r="P81" s="14" t="s">
        <v>344</v>
      </c>
      <c r="Q81" s="10" t="s">
        <v>491</v>
      </c>
      <c r="R81" s="21" t="s">
        <v>344</v>
      </c>
      <c r="S81" s="2" t="s">
        <v>434</v>
      </c>
      <c r="T81" s="2"/>
      <c r="U81" s="21" t="s">
        <v>459</v>
      </c>
      <c r="V81" s="21" t="str" cm="1">
        <f t="array" ref="V81">S81&amp;IF(ISBLANK(S81),ToCamel($U81,"",""),ToPascal($U81,"",""))</f>
        <v>deleteInterviewQuestion</v>
      </c>
      <c r="W81" s="21" t="str" cm="1">
        <f t="array" ref="W81">IF(AB81="post","I" &amp;ToPascal(V81,"","")&amp;"Req","")</f>
        <v>IDeleteInterviewQuestionReq</v>
      </c>
      <c r="X81" s="21" t="str" cm="1">
        <f t="array" ref="X81">"I" &amp;ToPascal(V81,"","")&amp;"Res"</f>
        <v>IDeleteInterviewQuestionRes</v>
      </c>
      <c r="Y81" s="21" t="s">
        <v>558</v>
      </c>
      <c r="Z81" s="44" t="s">
        <v>583</v>
      </c>
      <c r="AA81" s="18" t="s">
        <v>255</v>
      </c>
      <c r="AB81" s="18" t="s">
        <v>222</v>
      </c>
      <c r="AC81" s="120" t="s">
        <v>229</v>
      </c>
      <c r="AD81" s="106" t="s">
        <v>744</v>
      </c>
      <c r="AE81" s="44" t="s">
        <v>583</v>
      </c>
      <c r="AF81" s="347"/>
      <c r="AJ81" s="14" t="s">
        <v>42</v>
      </c>
      <c r="AK81" s="181"/>
      <c r="AL81" s="49" t="s">
        <v>725</v>
      </c>
      <c r="AM81" s="58" t="s">
        <v>596</v>
      </c>
      <c r="AN81" s="126" t="s">
        <v>596</v>
      </c>
      <c r="AO81" s="3" t="s">
        <v>161</v>
      </c>
      <c r="AP81" s="126"/>
      <c r="AQ81" s="126"/>
      <c r="AR81" s="126"/>
      <c r="AS81" s="10"/>
      <c r="AT81" s="13"/>
      <c r="AU81" s="13"/>
      <c r="AV81" s="183" t="s">
        <v>596</v>
      </c>
    </row>
    <row r="82" spans="1:49" ht="17" customHeight="1" thickTop="1">
      <c r="B82" s="70">
        <v>74</v>
      </c>
      <c r="C82" s="70">
        <v>57</v>
      </c>
      <c r="D82" s="136" t="s">
        <v>141</v>
      </c>
      <c r="E82" s="136" t="s">
        <v>39</v>
      </c>
      <c r="F82" s="136" t="s">
        <v>46</v>
      </c>
      <c r="G82" s="136" t="s">
        <v>648</v>
      </c>
      <c r="H82" s="136"/>
      <c r="I82" s="136"/>
      <c r="J82" s="127" t="s">
        <v>407</v>
      </c>
      <c r="K82" s="344"/>
      <c r="L82" s="378"/>
      <c r="M82" s="140"/>
      <c r="N82" s="38" t="str" cm="1">
        <f t="array" ref="N82">ToCamel($J82,"","")</f>
        <v>interviewQuestion</v>
      </c>
      <c r="O82" s="140"/>
      <c r="P82" s="283" t="s">
        <v>347</v>
      </c>
      <c r="Q82" s="70" t="s">
        <v>491</v>
      </c>
      <c r="R82" s="154" t="s">
        <v>348</v>
      </c>
      <c r="S82" s="136" t="s">
        <v>461</v>
      </c>
      <c r="T82" s="136"/>
      <c r="U82" s="154" t="s">
        <v>459</v>
      </c>
      <c r="V82" s="158" t="str" cm="1">
        <f t="array" ref="V82">S82&amp;IF(ISBLANK(S82),ToCamel($U82,"",""),ToPascal($U82,"",""))</f>
        <v>usedInterviewQuestion</v>
      </c>
      <c r="W82" s="158" t="str" cm="1">
        <f t="array" ref="W82">IF(AB82="post","I" &amp;ToPascal(V82,"","")&amp;"Req","")</f>
        <v>IUsedInterviewQuestionReq</v>
      </c>
      <c r="X82" s="158" t="str" cm="1">
        <f t="array" ref="X82">"I" &amp;ToPascal(V82,"","")&amp;"Res"</f>
        <v>IUsedInterviewQuestionRes</v>
      </c>
      <c r="Y82" s="154" t="s">
        <v>521</v>
      </c>
      <c r="Z82" s="136" t="s">
        <v>551</v>
      </c>
      <c r="AA82" s="145" t="s">
        <v>219</v>
      </c>
      <c r="AB82" s="145" t="s">
        <v>222</v>
      </c>
      <c r="AC82" s="282" t="s">
        <v>229</v>
      </c>
      <c r="AD82" s="282"/>
      <c r="AE82" s="162"/>
      <c r="AF82" s="283"/>
      <c r="AG82" s="283"/>
      <c r="AH82" s="283"/>
      <c r="AI82" s="70"/>
      <c r="AJ82" s="23"/>
      <c r="AL82" s="70"/>
      <c r="AM82" s="71"/>
      <c r="AN82" s="284" t="s">
        <v>596</v>
      </c>
      <c r="AO82" s="69" t="s">
        <v>161</v>
      </c>
      <c r="AP82" s="284"/>
      <c r="AQ82" s="284"/>
      <c r="AR82" s="284"/>
      <c r="AS82" s="70"/>
      <c r="AT82" s="71"/>
      <c r="AU82" s="71"/>
      <c r="AV82" s="283"/>
    </row>
    <row r="83" spans="1:49" s="185" customFormat="1" ht="16.75" customHeight="1" thickBot="1">
      <c r="B83" s="66">
        <v>74</v>
      </c>
      <c r="C83" s="66">
        <v>58</v>
      </c>
      <c r="D83" s="155" t="s">
        <v>141</v>
      </c>
      <c r="E83" s="155" t="s">
        <v>39</v>
      </c>
      <c r="F83" s="155" t="s">
        <v>46</v>
      </c>
      <c r="G83" s="155" t="s">
        <v>649</v>
      </c>
      <c r="H83" s="155"/>
      <c r="I83" s="155"/>
      <c r="J83" s="186" t="s">
        <v>407</v>
      </c>
      <c r="K83" s="344"/>
      <c r="L83" s="397"/>
      <c r="M83" s="156"/>
      <c r="N83" s="89" t="str" cm="1">
        <f t="array" ref="N83">ToCamel($J83,"","")</f>
        <v>interviewQuestion</v>
      </c>
      <c r="O83" s="156"/>
      <c r="P83" s="92" t="s">
        <v>349</v>
      </c>
      <c r="Q83" s="66" t="s">
        <v>491</v>
      </c>
      <c r="R83" s="103" t="s">
        <v>350</v>
      </c>
      <c r="S83" s="155" t="s">
        <v>462</v>
      </c>
      <c r="T83" s="155"/>
      <c r="U83" s="103" t="s">
        <v>459</v>
      </c>
      <c r="V83" s="90" t="str" cm="1">
        <f t="array" ref="V83">S83&amp;IF(ISBLANK(S83),ToCamel($U83,"",""),ToPascal($U83,"",""))</f>
        <v>unusedInterviewQuestion</v>
      </c>
      <c r="W83" s="90" t="str" cm="1">
        <f t="array" ref="W83">IF(AB83="post","I" &amp;ToPascal(V83,"","")&amp;"Req","")</f>
        <v>IUnusedInterviewQuestionReq</v>
      </c>
      <c r="X83" s="90" t="str" cm="1">
        <f t="array" ref="X83">"I" &amp;ToPascal(V83,"","")&amp;"Res"</f>
        <v>IUnusedInterviewQuestionRes</v>
      </c>
      <c r="Y83" s="103" t="s">
        <v>522</v>
      </c>
      <c r="Z83" s="155" t="s">
        <v>551</v>
      </c>
      <c r="AA83" s="68" t="s">
        <v>219</v>
      </c>
      <c r="AB83" s="147" t="s">
        <v>222</v>
      </c>
      <c r="AC83" s="276" t="s">
        <v>229</v>
      </c>
      <c r="AD83" s="276"/>
      <c r="AE83" s="160"/>
      <c r="AF83" s="92"/>
      <c r="AG83" s="92"/>
      <c r="AH83" s="92"/>
      <c r="AI83" s="66"/>
      <c r="AL83" s="66"/>
      <c r="AM83" s="67"/>
      <c r="AN83" s="277" t="s">
        <v>596</v>
      </c>
      <c r="AO83" s="52" t="s">
        <v>161</v>
      </c>
      <c r="AP83" s="277"/>
      <c r="AQ83" s="277"/>
      <c r="AR83" s="277"/>
      <c r="AS83" s="66"/>
      <c r="AT83" s="67"/>
      <c r="AU83" s="67"/>
      <c r="AV83" s="92"/>
    </row>
    <row r="84" spans="1:49" s="305" customFormat="1" ht="24.5" customHeight="1" thickTop="1">
      <c r="A84" s="285"/>
      <c r="B84" s="286">
        <v>8</v>
      </c>
      <c r="C84" s="286">
        <v>59</v>
      </c>
      <c r="D84" s="287" t="s">
        <v>90</v>
      </c>
      <c r="E84" s="287" t="s">
        <v>39</v>
      </c>
      <c r="F84" s="287"/>
      <c r="G84" s="287" t="s">
        <v>124</v>
      </c>
      <c r="H84" s="287" t="s">
        <v>125</v>
      </c>
      <c r="I84" s="287"/>
      <c r="J84" s="288" t="s">
        <v>408</v>
      </c>
      <c r="K84" s="353" t="s">
        <v>381</v>
      </c>
      <c r="L84" s="409" t="s">
        <v>532</v>
      </c>
      <c r="M84" s="289" t="str" cm="1">
        <f t="array" ref="M84">ToPascal($J84,"","") &amp;"Contoller.ts"</f>
        <v>FavoriteContoller.ts</v>
      </c>
      <c r="N84" s="289" t="str" cm="1">
        <f t="array" ref="N84">ToCamel($J84,"","")</f>
        <v>favorite</v>
      </c>
      <c r="O84" s="289" t="str" cm="1">
        <f t="array" ref="O84">ToCamel($J84,"","") &amp;"Repo.ts"</f>
        <v>favoriteRepo.ts</v>
      </c>
      <c r="P84" s="290"/>
      <c r="Q84" s="286"/>
      <c r="R84" s="291" t="s">
        <v>380</v>
      </c>
      <c r="S84" s="287" t="s">
        <v>428</v>
      </c>
      <c r="T84" s="287"/>
      <c r="U84" s="291" t="s">
        <v>408</v>
      </c>
      <c r="V84" s="291" t="str" cm="1">
        <f t="array" ref="V84">S84&amp;IF(ISBLANK(S84),ToCamel($U84,"",""),ToPascal($U84,"",""))</f>
        <v>saveFavorite</v>
      </c>
      <c r="W84" s="291" t="str" cm="1">
        <f t="array" ref="W84">IF(AB84="post","I" &amp;ToPascal(V84,"","")&amp;"Req","")</f>
        <v>ISaveFavoriteReq</v>
      </c>
      <c r="X84" s="291" t="str" cm="1">
        <f t="array" ref="X84">"I" &amp;ToPascal(V84,"","")&amp;"Res"</f>
        <v>ISaveFavoriteRes</v>
      </c>
      <c r="Y84" s="291" t="s">
        <v>500</v>
      </c>
      <c r="Z84" s="292" t="s">
        <v>830</v>
      </c>
      <c r="AA84" s="293" t="s">
        <v>219</v>
      </c>
      <c r="AB84" s="294" t="s">
        <v>285</v>
      </c>
      <c r="AC84" s="295" t="s">
        <v>229</v>
      </c>
      <c r="AD84" s="296" t="s">
        <v>800</v>
      </c>
      <c r="AE84" s="297"/>
      <c r="AF84" s="285"/>
      <c r="AG84" s="285"/>
      <c r="AH84" s="285"/>
      <c r="AI84" s="286"/>
      <c r="AJ84" s="298" t="s">
        <v>42</v>
      </c>
      <c r="AK84" s="298"/>
      <c r="AL84" s="299" t="s">
        <v>596</v>
      </c>
      <c r="AM84" s="300" t="s">
        <v>596</v>
      </c>
      <c r="AN84" s="301" t="s">
        <v>596</v>
      </c>
      <c r="AO84" s="302" t="s">
        <v>40</v>
      </c>
      <c r="AP84" s="301"/>
      <c r="AQ84" s="301"/>
      <c r="AR84" s="301"/>
      <c r="AS84" s="286"/>
      <c r="AT84" s="303"/>
      <c r="AU84" s="303"/>
      <c r="AV84" s="304" t="s">
        <v>596</v>
      </c>
    </row>
    <row r="85" spans="1:49" s="305" customFormat="1" ht="24.5" customHeight="1">
      <c r="A85" s="306"/>
      <c r="B85" s="307">
        <v>49</v>
      </c>
      <c r="C85" s="307">
        <v>60</v>
      </c>
      <c r="D85" s="308" t="s">
        <v>90</v>
      </c>
      <c r="E85" s="308" t="s">
        <v>93</v>
      </c>
      <c r="F85" s="308" t="s">
        <v>95</v>
      </c>
      <c r="G85" s="308" t="s">
        <v>132</v>
      </c>
      <c r="H85" s="308"/>
      <c r="I85" s="308"/>
      <c r="J85" s="309" t="s">
        <v>408</v>
      </c>
      <c r="K85" s="353"/>
      <c r="L85" s="409"/>
      <c r="M85" s="310"/>
      <c r="N85" s="311" t="str" cm="1">
        <f t="array" ref="N85">ToCamel($J85,"","")</f>
        <v>favorite</v>
      </c>
      <c r="O85" s="310"/>
      <c r="P85" s="312"/>
      <c r="Q85" s="308"/>
      <c r="R85" s="312" t="s">
        <v>883</v>
      </c>
      <c r="S85" s="308" t="s">
        <v>434</v>
      </c>
      <c r="T85" s="308"/>
      <c r="U85" s="312" t="s">
        <v>408</v>
      </c>
      <c r="V85" s="312" t="str" cm="1">
        <f t="array" ref="V85">S85&amp;IF(ISBLANK(S85),ToCamel($U85,"",""),ToPascal($U85,"",""))</f>
        <v>deleteFavorite</v>
      </c>
      <c r="W85" s="312" t="str" cm="1">
        <f t="array" ref="W85">IF(AB85="post","I" &amp;ToPascal(V85,"","")&amp;"Req","")</f>
        <v>IDeleteFavoriteReq</v>
      </c>
      <c r="X85" s="312" t="str" cm="1">
        <f t="array" ref="X85">"I" &amp;ToPascal(V85,"","")&amp;"Res"</f>
        <v>IDeleteFavoriteRes</v>
      </c>
      <c r="Y85" s="312" t="s">
        <v>884</v>
      </c>
      <c r="Z85" s="313" t="s">
        <v>830</v>
      </c>
      <c r="AA85" s="314" t="s">
        <v>219</v>
      </c>
      <c r="AB85" s="294" t="s">
        <v>285</v>
      </c>
      <c r="AC85" s="315" t="s">
        <v>229</v>
      </c>
      <c r="AD85" s="316" t="s">
        <v>885</v>
      </c>
      <c r="AE85" s="310"/>
      <c r="AF85" s="306"/>
      <c r="AG85" s="306"/>
      <c r="AH85" s="306"/>
      <c r="AI85" s="306"/>
      <c r="AJ85" s="306" t="s">
        <v>42</v>
      </c>
      <c r="AK85" s="317"/>
      <c r="AL85" s="318" t="s">
        <v>596</v>
      </c>
      <c r="AM85" s="319" t="s">
        <v>596</v>
      </c>
      <c r="AN85" s="320" t="s">
        <v>596</v>
      </c>
      <c r="AO85" s="321" t="s">
        <v>40</v>
      </c>
      <c r="AP85" s="320"/>
      <c r="AQ85" s="320"/>
      <c r="AR85" s="320"/>
      <c r="AS85" s="307"/>
      <c r="AT85" s="322"/>
      <c r="AU85" s="322"/>
      <c r="AV85" s="323" t="s">
        <v>596</v>
      </c>
    </row>
    <row r="86" spans="1:49" s="342" customFormat="1" ht="24.5" customHeight="1" thickBot="1">
      <c r="A86" s="324"/>
      <c r="B86" s="325">
        <v>49</v>
      </c>
      <c r="C86" s="325">
        <v>60</v>
      </c>
      <c r="D86" s="326" t="s">
        <v>90</v>
      </c>
      <c r="E86" s="326" t="s">
        <v>93</v>
      </c>
      <c r="F86" s="326" t="s">
        <v>95</v>
      </c>
      <c r="G86" s="326" t="s">
        <v>132</v>
      </c>
      <c r="H86" s="326"/>
      <c r="I86" s="326"/>
      <c r="J86" s="327" t="s">
        <v>408</v>
      </c>
      <c r="K86" s="353"/>
      <c r="L86" s="409"/>
      <c r="M86" s="328"/>
      <c r="N86" s="329" t="str" cm="1">
        <f t="array" ref="N86">ToCamel($J86,"","")</f>
        <v>favorite</v>
      </c>
      <c r="O86" s="328"/>
      <c r="P86" s="330"/>
      <c r="Q86" s="326"/>
      <c r="R86" s="330" t="s">
        <v>379</v>
      </c>
      <c r="S86" s="326" t="s">
        <v>223</v>
      </c>
      <c r="T86" s="326"/>
      <c r="U86" s="330" t="s">
        <v>463</v>
      </c>
      <c r="V86" s="330" t="str" cm="1">
        <f t="array" ref="V86">S86&amp;IF(ISBLANK(S86),ToCamel($U86,"",""),ToPascal($U86,"",""))</f>
        <v>getFavorites</v>
      </c>
      <c r="W86" s="330" t="str" cm="1">
        <f t="array" ref="W86">IF(AB86="post","I" &amp;ToPascal(V86,"","")&amp;"Req","")</f>
        <v>IGetFavoritesReq</v>
      </c>
      <c r="X86" s="330" t="str" cm="1">
        <f t="array" ref="X86">"I" &amp;ToPascal(V86,"","")&amp;"Res"</f>
        <v>IGetFavoritesRes</v>
      </c>
      <c r="Y86" s="330" t="s">
        <v>886</v>
      </c>
      <c r="Z86" s="331" t="s">
        <v>876</v>
      </c>
      <c r="AA86" s="332" t="s">
        <v>217</v>
      </c>
      <c r="AB86" s="332" t="s">
        <v>285</v>
      </c>
      <c r="AC86" s="333" t="s">
        <v>229</v>
      </c>
      <c r="AD86" s="334" t="s">
        <v>878</v>
      </c>
      <c r="AE86" s="328" t="s">
        <v>860</v>
      </c>
      <c r="AF86" s="324"/>
      <c r="AG86" s="324"/>
      <c r="AH86" s="324"/>
      <c r="AI86" s="324"/>
      <c r="AJ86" s="324" t="s">
        <v>42</v>
      </c>
      <c r="AK86" s="335"/>
      <c r="AL86" s="336" t="s">
        <v>596</v>
      </c>
      <c r="AM86" s="337" t="s">
        <v>596</v>
      </c>
      <c r="AN86" s="338" t="s">
        <v>596</v>
      </c>
      <c r="AO86" s="339" t="s">
        <v>131</v>
      </c>
      <c r="AP86" s="338" t="s">
        <v>727</v>
      </c>
      <c r="AQ86" s="338"/>
      <c r="AR86" s="338"/>
      <c r="AS86" s="325"/>
      <c r="AT86" s="340"/>
      <c r="AU86" s="340"/>
      <c r="AV86" s="341" t="s">
        <v>596</v>
      </c>
    </row>
    <row r="87" spans="1:49" ht="24.5" customHeight="1" thickTop="1" thickBot="1">
      <c r="B87" s="63">
        <v>13</v>
      </c>
      <c r="C87" s="63">
        <v>44</v>
      </c>
      <c r="D87" s="135" t="s">
        <v>90</v>
      </c>
      <c r="E87" s="135" t="s">
        <v>46</v>
      </c>
      <c r="F87" s="135"/>
      <c r="G87" s="135" t="s">
        <v>49</v>
      </c>
      <c r="H87" s="135"/>
      <c r="I87" s="135"/>
      <c r="J87" s="127" t="s">
        <v>409</v>
      </c>
      <c r="K87" s="344" t="s">
        <v>49</v>
      </c>
      <c r="L87" s="354" t="s">
        <v>533</v>
      </c>
      <c r="M87" s="38" t="str" cm="1">
        <f t="array" ref="M87">ToPascal($J87,"","") &amp;"Contoller.ts"</f>
        <v>ApplyContoller.ts</v>
      </c>
      <c r="N87" s="38" t="str" cm="1">
        <f t="array" ref="N87">ToCamel($J87,"","")</f>
        <v>apply</v>
      </c>
      <c r="O87" s="38" t="str" cm="1">
        <f t="array" ref="O87">ToCamel($J87,"","") &amp;"Repo.ts"</f>
        <v>applyRepo.ts</v>
      </c>
      <c r="P87" s="133"/>
      <c r="Q87" s="135"/>
      <c r="R87" s="133" t="s">
        <v>377</v>
      </c>
      <c r="S87" s="135" t="s">
        <v>464</v>
      </c>
      <c r="T87" s="135"/>
      <c r="U87" s="133" t="s">
        <v>409</v>
      </c>
      <c r="V87" s="102" t="str" cm="1">
        <f t="array" ref="V87">S87&amp;IF(ISBLANK(S87),ToCamel($U87,"",""),ToPascal($U87,"",""))</f>
        <v>doApply</v>
      </c>
      <c r="W87" s="102" t="str" cm="1">
        <f t="array" ref="W87">IF(AB87="post","I" &amp;ToPascal(V87,"","")&amp;"Req","")</f>
        <v>IDoApplyReq</v>
      </c>
      <c r="X87" s="102" t="str" cm="1">
        <f t="array" ref="X87">"I" &amp;ToPascal(V87,"","")&amp;"Res"</f>
        <v>IDoApplyRes</v>
      </c>
      <c r="Y87" s="133" t="s">
        <v>710</v>
      </c>
      <c r="Z87" s="150" t="s">
        <v>830</v>
      </c>
      <c r="AA87" s="146" t="s">
        <v>218</v>
      </c>
      <c r="AB87" s="146" t="s">
        <v>285</v>
      </c>
      <c r="AC87" s="119" t="s">
        <v>229</v>
      </c>
      <c r="AD87" s="280" t="s">
        <v>800</v>
      </c>
      <c r="AE87" s="36"/>
      <c r="AF87" s="345" t="s">
        <v>783</v>
      </c>
      <c r="AG87" s="64"/>
      <c r="AH87" s="64"/>
      <c r="AI87" s="63"/>
      <c r="AJ87" s="189" t="s">
        <v>42</v>
      </c>
      <c r="AK87" s="210"/>
      <c r="AL87" s="99" t="s">
        <v>596</v>
      </c>
      <c r="AM87" s="274" t="s">
        <v>596</v>
      </c>
      <c r="AN87" s="275" t="s">
        <v>596</v>
      </c>
      <c r="AO87" s="153" t="s">
        <v>51</v>
      </c>
      <c r="AP87" s="275"/>
      <c r="AQ87" s="275"/>
      <c r="AR87" s="275"/>
      <c r="AS87" s="63"/>
      <c r="AT87" s="65"/>
      <c r="AU87" s="65"/>
      <c r="AV87" s="191" t="s">
        <v>596</v>
      </c>
    </row>
    <row r="88" spans="1:49" ht="24.5" customHeight="1" thickTop="1" thickBot="1">
      <c r="B88" s="10">
        <v>44</v>
      </c>
      <c r="C88" s="10">
        <v>61</v>
      </c>
      <c r="D88" s="2" t="s">
        <v>90</v>
      </c>
      <c r="E88" s="2" t="s">
        <v>93</v>
      </c>
      <c r="F88" s="2" t="s">
        <v>129</v>
      </c>
      <c r="G88" s="2" t="s">
        <v>56</v>
      </c>
      <c r="H88" s="2"/>
      <c r="I88" s="2"/>
      <c r="J88" s="128" t="s">
        <v>409</v>
      </c>
      <c r="K88" s="344"/>
      <c r="L88" s="354"/>
      <c r="M88" s="37"/>
      <c r="N88" s="37" t="str" cm="1">
        <f t="array" ref="N88">ToCamel($J88,"","")</f>
        <v>apply</v>
      </c>
      <c r="O88" s="37"/>
      <c r="P88" s="21"/>
      <c r="Q88" s="2"/>
      <c r="R88" s="21" t="s">
        <v>376</v>
      </c>
      <c r="S88" s="2" t="s">
        <v>223</v>
      </c>
      <c r="T88" s="2" t="s">
        <v>492</v>
      </c>
      <c r="U88" s="21" t="s">
        <v>465</v>
      </c>
      <c r="V88" s="27" t="str" cm="1">
        <f t="array" ref="V88">S88&amp;IF(ISBLANK(S88),ToCamel($U88,"",""),ToPascal($U88,"",""))</f>
        <v>getApplys</v>
      </c>
      <c r="W88" s="27" t="str" cm="1">
        <f t="array" ref="W88">IF(AB88="post","I" &amp;ToPascal(V88,"","")&amp;"Req","")</f>
        <v/>
      </c>
      <c r="X88" s="27" t="str" cm="1">
        <f t="array" ref="X88">"I" &amp;ToPascal(V88,"","")&amp;"Res"</f>
        <v>IGetApplysRes</v>
      </c>
      <c r="Y88" s="21" t="s">
        <v>780</v>
      </c>
      <c r="Z88" s="45"/>
      <c r="AA88" s="31" t="s">
        <v>217</v>
      </c>
      <c r="AB88" s="18" t="s">
        <v>223</v>
      </c>
      <c r="AC88" s="120" t="s">
        <v>229</v>
      </c>
      <c r="AD88" s="125" t="s">
        <v>879</v>
      </c>
      <c r="AE88" s="157"/>
      <c r="AF88" s="346"/>
      <c r="AG88" s="14"/>
      <c r="AH88" s="14"/>
      <c r="AI88" s="10"/>
      <c r="AJ88" s="195" t="s">
        <v>42</v>
      </c>
      <c r="AK88" s="182"/>
      <c r="AL88" s="49" t="s">
        <v>596</v>
      </c>
      <c r="AM88" s="58" t="s">
        <v>596</v>
      </c>
      <c r="AN88" s="126" t="s">
        <v>596</v>
      </c>
      <c r="AO88" s="3" t="s">
        <v>130</v>
      </c>
      <c r="AP88" s="126"/>
      <c r="AQ88" s="126"/>
      <c r="AR88" s="126"/>
      <c r="AS88" s="10"/>
      <c r="AT88" s="13"/>
      <c r="AU88" s="13"/>
      <c r="AV88" s="183" t="s">
        <v>596</v>
      </c>
    </row>
    <row r="89" spans="1:49" s="185" customFormat="1" ht="24.5" customHeight="1" thickTop="1" thickBot="1">
      <c r="B89" s="10">
        <v>17</v>
      </c>
      <c r="C89" s="66">
        <v>26</v>
      </c>
      <c r="D89" s="155" t="s">
        <v>90</v>
      </c>
      <c r="E89" s="2" t="s">
        <v>49</v>
      </c>
      <c r="F89" s="2"/>
      <c r="G89" s="2" t="s">
        <v>62</v>
      </c>
      <c r="H89" s="2"/>
      <c r="I89" s="2"/>
      <c r="J89" s="128" t="s">
        <v>409</v>
      </c>
      <c r="K89" s="344"/>
      <c r="L89" s="354"/>
      <c r="M89" s="37"/>
      <c r="N89" s="37" t="str" cm="1">
        <f t="array" ref="N89">ToCamel($J89,"","")</f>
        <v>apply</v>
      </c>
      <c r="O89" s="37"/>
      <c r="P89" s="21"/>
      <c r="Q89" s="155"/>
      <c r="R89" s="103" t="s">
        <v>782</v>
      </c>
      <c r="S89" s="155" t="s">
        <v>445</v>
      </c>
      <c r="T89" s="2"/>
      <c r="U89" s="21" t="s">
        <v>785</v>
      </c>
      <c r="V89" s="27" t="str" cm="1">
        <f t="array" ref="V89">S89&amp;IF(ISBLANK(S89),ToCamel($U89,"",""),ToPascal($U89,"",""))</f>
        <v>submitDocumentForApply</v>
      </c>
      <c r="W89" s="27" t="str" cm="1">
        <f t="array" ref="W89">IF(AB89="post","I" &amp;ToPascal(V89,"","")&amp;"Req","")</f>
        <v>ISubmitDocumentForApplyReq</v>
      </c>
      <c r="X89" s="27" t="str" cm="1">
        <f t="array" ref="X89">"I" &amp;ToPascal(V89,"","")&amp;"Res"</f>
        <v>ISubmitDocumentForApplyRes</v>
      </c>
      <c r="Y89" s="103" t="s">
        <v>781</v>
      </c>
      <c r="Z89" s="156" t="s">
        <v>818</v>
      </c>
      <c r="AA89" s="155" t="s">
        <v>291</v>
      </c>
      <c r="AB89" s="155" t="s">
        <v>285</v>
      </c>
      <c r="AC89" s="109" t="s">
        <v>295</v>
      </c>
      <c r="AD89" s="46" t="s">
        <v>800</v>
      </c>
      <c r="AE89" s="72" t="s">
        <v>818</v>
      </c>
      <c r="AF89" s="346"/>
      <c r="AG89" s="14"/>
      <c r="AH89" s="14"/>
      <c r="AI89" s="14"/>
      <c r="AJ89" s="198"/>
      <c r="AK89" s="200"/>
      <c r="AL89" s="88" t="s">
        <v>596</v>
      </c>
      <c r="AM89" s="58" t="s">
        <v>596</v>
      </c>
      <c r="AN89" s="126" t="s">
        <v>596</v>
      </c>
      <c r="AO89" s="52" t="s">
        <v>54</v>
      </c>
      <c r="AP89" s="126"/>
      <c r="AQ89" s="126" t="s">
        <v>784</v>
      </c>
      <c r="AR89" s="126"/>
      <c r="AS89" s="66"/>
      <c r="AT89" s="67"/>
      <c r="AU89" s="67"/>
      <c r="AV89" s="188" t="s">
        <v>596</v>
      </c>
    </row>
    <row r="90" spans="1:49" ht="24.5" customHeight="1" thickTop="1" thickBot="1">
      <c r="B90" s="10">
        <v>46</v>
      </c>
      <c r="C90" s="10">
        <v>62</v>
      </c>
      <c r="D90" s="2" t="s">
        <v>90</v>
      </c>
      <c r="E90" s="2" t="s">
        <v>93</v>
      </c>
      <c r="F90" s="2" t="s">
        <v>95</v>
      </c>
      <c r="G90" s="2" t="s">
        <v>55</v>
      </c>
      <c r="H90" s="2"/>
      <c r="I90" s="2"/>
      <c r="J90" s="128" t="s">
        <v>409</v>
      </c>
      <c r="K90" s="344"/>
      <c r="L90" s="354"/>
      <c r="M90" s="36"/>
      <c r="N90" s="37" t="str" cm="1">
        <f t="array" ref="N90">ToCamel($J90,"","")</f>
        <v>apply</v>
      </c>
      <c r="O90" s="36"/>
      <c r="P90" s="21"/>
      <c r="Q90" s="2"/>
      <c r="R90" s="22" t="s">
        <v>378</v>
      </c>
      <c r="S90" s="5" t="s">
        <v>223</v>
      </c>
      <c r="T90" s="5"/>
      <c r="U90" s="22" t="s">
        <v>409</v>
      </c>
      <c r="V90" s="27" t="str" cm="1">
        <f t="array" ref="V90">S90&amp;IF(ISBLANK(S90),ToCamel($U90,"",""),ToPascal($U90,"",""))</f>
        <v>getApply</v>
      </c>
      <c r="W90" s="27" t="str" cm="1">
        <f t="array" ref="W90">IF(AB90="post","I" &amp;ToPascal(V90,"","")&amp;"Req","")</f>
        <v/>
      </c>
      <c r="X90" s="27" t="str" cm="1">
        <f t="array" ref="X90">"I" &amp;ToPascal(V90,"","")&amp;"Res"</f>
        <v>IGetApplyRes</v>
      </c>
      <c r="Y90" s="21" t="s">
        <v>711</v>
      </c>
      <c r="Z90" s="45"/>
      <c r="AA90" s="31" t="s">
        <v>217</v>
      </c>
      <c r="AB90" s="18" t="s">
        <v>223</v>
      </c>
      <c r="AC90" s="120" t="s">
        <v>229</v>
      </c>
      <c r="AD90" s="125" t="s">
        <v>835</v>
      </c>
      <c r="AE90" s="157"/>
      <c r="AF90" s="346"/>
      <c r="AG90" s="14"/>
      <c r="AH90" s="14"/>
      <c r="AI90" s="10"/>
      <c r="AJ90" s="195" t="s">
        <v>42</v>
      </c>
      <c r="AK90" s="182"/>
      <c r="AL90" s="49" t="s">
        <v>596</v>
      </c>
      <c r="AM90" s="58" t="s">
        <v>596</v>
      </c>
      <c r="AN90" s="126" t="s">
        <v>596</v>
      </c>
      <c r="AO90" s="3" t="s">
        <v>117</v>
      </c>
      <c r="AP90" s="126"/>
      <c r="AQ90" s="126"/>
      <c r="AR90" s="126"/>
      <c r="AS90" s="10"/>
      <c r="AT90" s="13"/>
      <c r="AU90" s="13"/>
      <c r="AV90" s="183" t="s">
        <v>596</v>
      </c>
    </row>
    <row r="91" spans="1:49" ht="24.5" customHeight="1" thickTop="1" thickBot="1">
      <c r="B91" s="10">
        <v>78</v>
      </c>
      <c r="C91" s="10">
        <v>112</v>
      </c>
      <c r="D91" s="2" t="s">
        <v>141</v>
      </c>
      <c r="E91" s="2" t="s">
        <v>39</v>
      </c>
      <c r="F91" s="2" t="s">
        <v>154</v>
      </c>
      <c r="G91" s="2" t="s">
        <v>56</v>
      </c>
      <c r="H91" s="2"/>
      <c r="I91" s="2"/>
      <c r="J91" s="128" t="s">
        <v>409</v>
      </c>
      <c r="K91" s="344"/>
      <c r="L91" s="354"/>
      <c r="M91" s="21"/>
      <c r="N91" s="37" t="str" cm="1">
        <f t="array" ref="N91">ToCamel($J91,"","")</f>
        <v>apply</v>
      </c>
      <c r="O91" s="21"/>
      <c r="P91" s="21"/>
      <c r="Q91" s="2"/>
      <c r="R91" s="21" t="s">
        <v>400</v>
      </c>
      <c r="S91" s="2" t="s">
        <v>223</v>
      </c>
      <c r="T91" s="2" t="s">
        <v>492</v>
      </c>
      <c r="U91" s="21" t="s">
        <v>467</v>
      </c>
      <c r="V91" s="27" t="str" cm="1">
        <f t="array" ref="V91">S91&amp;IF(ISBLANK(S91),ToCamel($U91,"",""),ToPascal($U91,"",""))</f>
        <v>getApplysForCompany</v>
      </c>
      <c r="W91" s="27" t="str" cm="1">
        <f t="array" ref="W91">IF(AB91="post","I" &amp;ToPascal(V91,"","")&amp;"Req","")</f>
        <v/>
      </c>
      <c r="X91" s="27" t="str" cm="1">
        <f t="array" ref="X91">"I" &amp;ToPascal(V91,"","")&amp;"Res"</f>
        <v>IGetApplysForCompanyRes</v>
      </c>
      <c r="Y91" s="21" t="s">
        <v>828</v>
      </c>
      <c r="Z91" s="45"/>
      <c r="AA91" s="31" t="s">
        <v>217</v>
      </c>
      <c r="AB91" s="18" t="s">
        <v>223</v>
      </c>
      <c r="AC91" s="120" t="s">
        <v>229</v>
      </c>
      <c r="AD91" s="125" t="s">
        <v>832</v>
      </c>
      <c r="AE91" s="157" t="s">
        <v>829</v>
      </c>
      <c r="AF91" s="346"/>
      <c r="AG91" s="14"/>
      <c r="AH91" s="14"/>
      <c r="AI91" s="10"/>
      <c r="AJ91" s="195" t="s">
        <v>42</v>
      </c>
      <c r="AK91" s="182"/>
      <c r="AL91" s="49" t="s">
        <v>596</v>
      </c>
      <c r="AM91" s="49" t="s">
        <v>873</v>
      </c>
      <c r="AN91" s="126" t="s">
        <v>596</v>
      </c>
      <c r="AO91" s="3" t="s">
        <v>165</v>
      </c>
      <c r="AP91" s="126"/>
      <c r="AQ91" s="126"/>
      <c r="AR91" s="126"/>
      <c r="AS91" s="10"/>
      <c r="AT91" s="13"/>
      <c r="AU91" s="13"/>
      <c r="AV91" s="183" t="s">
        <v>596</v>
      </c>
      <c r="AW91" s="278" t="s">
        <v>831</v>
      </c>
    </row>
    <row r="92" spans="1:49" s="214" customFormat="1" ht="107" thickTop="1" thickBot="1">
      <c r="B92" s="32">
        <v>79</v>
      </c>
      <c r="C92" s="75">
        <v>113</v>
      </c>
      <c r="D92" s="151" t="s">
        <v>141</v>
      </c>
      <c r="E92" s="54" t="s">
        <v>39</v>
      </c>
      <c r="F92" s="54" t="s">
        <v>154</v>
      </c>
      <c r="G92" s="54" t="s">
        <v>46</v>
      </c>
      <c r="H92" s="54" t="s">
        <v>166</v>
      </c>
      <c r="I92" s="54"/>
      <c r="J92" s="128" t="s">
        <v>409</v>
      </c>
      <c r="K92" s="344"/>
      <c r="L92" s="354"/>
      <c r="M92" s="33"/>
      <c r="N92" s="37" t="str" cm="1">
        <f t="array" ref="N92">ToCamel($J92,"","")</f>
        <v>apply</v>
      </c>
      <c r="O92" s="33"/>
      <c r="P92" s="33"/>
      <c r="Q92" s="151"/>
      <c r="R92" s="212" t="s">
        <v>389</v>
      </c>
      <c r="S92" s="151" t="s">
        <v>466</v>
      </c>
      <c r="T92" s="54"/>
      <c r="U92" s="33" t="s">
        <v>409</v>
      </c>
      <c r="V92" s="27" t="str" cm="1">
        <f t="array" ref="V92">S92&amp;IF(ISBLANK(S92),ToCamel($U92,"",""),ToPascal($U92,"",""))</f>
        <v>readApply</v>
      </c>
      <c r="W92" s="27" t="str" cm="1">
        <f t="array" ref="W92">IF(AB92="post","I" &amp;ToPascal(V92,"","")&amp;"Req","")</f>
        <v>IReadApplyReq</v>
      </c>
      <c r="X92" s="27" t="str" cm="1">
        <f t="array" ref="X92">"I" &amp;ToPascal(V92,"","")&amp;"Res"</f>
        <v>IReadApplyRes</v>
      </c>
      <c r="Y92" s="212" t="s">
        <v>523</v>
      </c>
      <c r="Z92" s="141" t="s">
        <v>818</v>
      </c>
      <c r="AA92" s="138" t="s">
        <v>219</v>
      </c>
      <c r="AB92" s="138" t="s">
        <v>285</v>
      </c>
      <c r="AC92" s="227" t="s">
        <v>229</v>
      </c>
      <c r="AD92" s="46" t="s">
        <v>800</v>
      </c>
      <c r="AE92" s="163"/>
      <c r="AF92" s="346"/>
      <c r="AG92" s="213" t="s">
        <v>712</v>
      </c>
      <c r="AH92" s="213"/>
      <c r="AI92" s="213"/>
      <c r="AJ92" s="196" t="s">
        <v>42</v>
      </c>
      <c r="AK92" s="182"/>
      <c r="AL92" s="222" t="s">
        <v>596</v>
      </c>
      <c r="AM92" s="60" t="s">
        <v>596</v>
      </c>
      <c r="AN92" s="126" t="s">
        <v>596</v>
      </c>
      <c r="AO92" s="76" t="s">
        <v>715</v>
      </c>
      <c r="AP92" s="225" t="s">
        <v>833</v>
      </c>
      <c r="AQ92" s="225" t="s">
        <v>732</v>
      </c>
      <c r="AR92" s="126"/>
      <c r="AS92" s="75"/>
      <c r="AT92" s="77"/>
      <c r="AU92" s="77"/>
      <c r="AV92" s="193" t="s">
        <v>596</v>
      </c>
    </row>
    <row r="93" spans="1:49" s="214" customFormat="1" ht="77" thickTop="1" thickBot="1">
      <c r="B93" s="32">
        <v>79</v>
      </c>
      <c r="C93" s="75">
        <v>113</v>
      </c>
      <c r="D93" s="151" t="s">
        <v>141</v>
      </c>
      <c r="E93" s="54" t="s">
        <v>39</v>
      </c>
      <c r="F93" s="54" t="s">
        <v>154</v>
      </c>
      <c r="G93" s="54" t="s">
        <v>46</v>
      </c>
      <c r="H93" s="54" t="s">
        <v>125</v>
      </c>
      <c r="I93" s="54"/>
      <c r="J93" s="128" t="s">
        <v>409</v>
      </c>
      <c r="K93" s="344"/>
      <c r="L93" s="354"/>
      <c r="M93" s="33"/>
      <c r="N93" s="37" t="str" cm="1">
        <f t="array" ref="N93">ToCamel($J93,"","")</f>
        <v>apply</v>
      </c>
      <c r="O93" s="33"/>
      <c r="P93" s="33"/>
      <c r="Q93" s="151"/>
      <c r="R93" s="212" t="s">
        <v>717</v>
      </c>
      <c r="S93" s="151" t="s">
        <v>428</v>
      </c>
      <c r="T93" s="54"/>
      <c r="U93" s="33" t="s">
        <v>409</v>
      </c>
      <c r="V93" s="27" t="str" cm="1">
        <f t="array" ref="V93">S93&amp;IF(ISBLANK(S93),ToCamel($U93,"",""),ToPascal($U93,"",""))</f>
        <v>saveApply</v>
      </c>
      <c r="W93" s="27" t="str" cm="1">
        <f t="array" ref="W93">IF(AB93="post","I" &amp;ToPascal(V93,"","")&amp;"Req","")</f>
        <v>ISaveApplyReq</v>
      </c>
      <c r="X93" s="27" t="str" cm="1">
        <f t="array" ref="X93">"I" &amp;ToPascal(V93,"","")&amp;"Res"</f>
        <v>ISaveApplyRes</v>
      </c>
      <c r="Y93" s="212" t="s">
        <v>718</v>
      </c>
      <c r="Z93" s="224" t="s">
        <v>834</v>
      </c>
      <c r="AA93" s="138" t="s">
        <v>219</v>
      </c>
      <c r="AB93" s="138" t="s">
        <v>285</v>
      </c>
      <c r="AC93" s="227" t="s">
        <v>229</v>
      </c>
      <c r="AD93" s="46" t="s">
        <v>800</v>
      </c>
      <c r="AE93" s="163"/>
      <c r="AF93" s="346"/>
      <c r="AG93" s="226" t="s">
        <v>719</v>
      </c>
      <c r="AH93" s="213"/>
      <c r="AI93" s="213"/>
      <c r="AJ93" s="196" t="s">
        <v>42</v>
      </c>
      <c r="AK93" s="182"/>
      <c r="AL93" s="222" t="s">
        <v>596</v>
      </c>
      <c r="AM93" s="60" t="s">
        <v>596</v>
      </c>
      <c r="AN93" s="126" t="s">
        <v>596</v>
      </c>
      <c r="AO93" s="76" t="s">
        <v>716</v>
      </c>
      <c r="AP93" s="126"/>
      <c r="AQ93" s="223"/>
      <c r="AR93" s="126"/>
      <c r="AS93" s="75"/>
      <c r="AT93" s="77"/>
      <c r="AU93" s="77"/>
      <c r="AV93" s="193" t="s">
        <v>596</v>
      </c>
    </row>
    <row r="94" spans="1:49" s="185" customFormat="1" ht="24.5" customHeight="1" thickTop="1" thickBot="1">
      <c r="B94" s="10">
        <v>80</v>
      </c>
      <c r="C94" s="66">
        <v>114</v>
      </c>
      <c r="D94" s="155" t="s">
        <v>141</v>
      </c>
      <c r="E94" s="2" t="s">
        <v>39</v>
      </c>
      <c r="F94" s="2" t="s">
        <v>154</v>
      </c>
      <c r="G94" s="2" t="s">
        <v>57</v>
      </c>
      <c r="H94" s="2"/>
      <c r="I94" s="2"/>
      <c r="J94" s="186" t="s">
        <v>409</v>
      </c>
      <c r="K94" s="352"/>
      <c r="L94" s="355"/>
      <c r="M94" s="21"/>
      <c r="N94" s="37" t="str" cm="1">
        <f t="array" ref="N94">ToCamel($J94,"","")</f>
        <v>apply</v>
      </c>
      <c r="O94" s="21"/>
      <c r="P94" s="21"/>
      <c r="Q94" s="155"/>
      <c r="R94" s="103" t="s">
        <v>390</v>
      </c>
      <c r="S94" s="155" t="s">
        <v>223</v>
      </c>
      <c r="T94" s="2"/>
      <c r="U94" s="21" t="s">
        <v>468</v>
      </c>
      <c r="V94" s="27" t="str" cm="1">
        <f t="array" ref="V94">S94&amp;IF(ISBLANK(S94),ToCamel($U94,"",""),ToPascal($U94,"",""))</f>
        <v>getApplyDetail</v>
      </c>
      <c r="W94" s="27" t="str" cm="1">
        <f t="array" ref="W94">IF(AB94="post","I" &amp;ToPascal(V94,"","")&amp;"Req","")</f>
        <v/>
      </c>
      <c r="X94" s="27" t="str" cm="1">
        <f t="array" ref="X94">"I" &amp;ToPascal(V94,"","")&amp;"Res"</f>
        <v>IGetApplyDetailRes</v>
      </c>
      <c r="Y94" s="103" t="s">
        <v>531</v>
      </c>
      <c r="Z94" s="73"/>
      <c r="AA94" s="74" t="s">
        <v>217</v>
      </c>
      <c r="AB94" s="68" t="s">
        <v>223</v>
      </c>
      <c r="AC94" s="120" t="s">
        <v>229</v>
      </c>
      <c r="AD94" s="125" t="s">
        <v>835</v>
      </c>
      <c r="AE94" s="160"/>
      <c r="AF94" s="347"/>
      <c r="AG94" s="14"/>
      <c r="AH94" s="14"/>
      <c r="AI94" s="14"/>
      <c r="AJ94" s="198" t="s">
        <v>42</v>
      </c>
      <c r="AK94" s="182"/>
      <c r="AL94" s="88" t="s">
        <v>596</v>
      </c>
      <c r="AM94" s="58" t="s">
        <v>596</v>
      </c>
      <c r="AN94" s="126" t="s">
        <v>596</v>
      </c>
      <c r="AO94" s="52" t="s">
        <v>169</v>
      </c>
      <c r="AP94" s="126"/>
      <c r="AQ94" s="126"/>
      <c r="AR94" s="126"/>
      <c r="AS94" s="66"/>
      <c r="AT94" s="67"/>
      <c r="AU94" s="67"/>
      <c r="AV94" s="188" t="s">
        <v>596</v>
      </c>
    </row>
    <row r="95" spans="1:49" ht="24.5" customHeight="1" thickTop="1" thickBot="1">
      <c r="B95" s="10">
        <v>19</v>
      </c>
      <c r="C95" s="63">
        <v>63</v>
      </c>
      <c r="D95" s="135" t="s">
        <v>90</v>
      </c>
      <c r="E95" s="2" t="s">
        <v>49</v>
      </c>
      <c r="F95" s="2"/>
      <c r="G95" s="2" t="s">
        <v>66</v>
      </c>
      <c r="H95" s="2"/>
      <c r="I95" s="2"/>
      <c r="J95" s="127" t="s">
        <v>410</v>
      </c>
      <c r="K95" s="344" t="s">
        <v>353</v>
      </c>
      <c r="L95" s="354" t="s">
        <v>550</v>
      </c>
      <c r="M95" s="37" t="str" cm="1">
        <f t="array" ref="M95">ToPascal($J95,"","") &amp;"Contoller.ts"</f>
        <v>InterviewContoller.ts</v>
      </c>
      <c r="N95" s="37" t="str" cm="1">
        <f t="array" ref="N95">ToCamel($J95,"","")</f>
        <v>interview</v>
      </c>
      <c r="O95" s="37" t="str" cm="1">
        <f t="array" ref="O95">ToCamel($J95,"","") &amp;"Repo.ts"</f>
        <v>interviewRepo.ts</v>
      </c>
      <c r="P95" s="21"/>
      <c r="Q95" s="135"/>
      <c r="R95" s="133" t="s">
        <v>810</v>
      </c>
      <c r="S95" s="135" t="s">
        <v>432</v>
      </c>
      <c r="T95" s="2"/>
      <c r="U95" s="21" t="s">
        <v>410</v>
      </c>
      <c r="V95" s="27" t="str" cm="1">
        <f t="array" ref="V95">S95&amp;IF(ISBLANK(S95),ToCamel($U95,"",""),ToPascal($U95,"",""))</f>
        <v>addInterview</v>
      </c>
      <c r="W95" s="27" t="str" cm="1">
        <f t="array" ref="W95">IF(AB95="post","I" &amp;ToPascal(V95,"","")&amp;"Req","")</f>
        <v>IAddInterviewReq</v>
      </c>
      <c r="X95" s="27" t="str" cm="1">
        <f t="array" ref="X95">"I" &amp;ToPascal(V95,"","")&amp;"Res"</f>
        <v>IAddInterviewRes</v>
      </c>
      <c r="Y95" s="133" t="s">
        <v>791</v>
      </c>
      <c r="Z95" s="149" t="s">
        <v>805</v>
      </c>
      <c r="AA95" s="146" t="s">
        <v>219</v>
      </c>
      <c r="AB95" s="146" t="s">
        <v>222</v>
      </c>
      <c r="AC95" s="120" t="s">
        <v>229</v>
      </c>
      <c r="AD95" s="115"/>
      <c r="AE95" s="149" t="s">
        <v>812</v>
      </c>
      <c r="AF95" s="348" t="s">
        <v>790</v>
      </c>
      <c r="AG95" s="14"/>
      <c r="AH95" s="14"/>
      <c r="AI95" s="10"/>
      <c r="AJ95" s="180" t="s">
        <v>42</v>
      </c>
      <c r="AK95" s="182"/>
      <c r="AL95" s="235" t="s">
        <v>596</v>
      </c>
      <c r="AM95" s="58" t="s">
        <v>596</v>
      </c>
      <c r="AN95" s="126" t="s">
        <v>596</v>
      </c>
      <c r="AO95" s="153" t="s">
        <v>67</v>
      </c>
      <c r="AP95" s="126"/>
      <c r="AQ95" s="126" t="s">
        <v>786</v>
      </c>
      <c r="AR95" s="126"/>
      <c r="AS95" s="63"/>
      <c r="AT95" s="65"/>
      <c r="AU95" s="65"/>
      <c r="AV95" s="191" t="s">
        <v>596</v>
      </c>
    </row>
    <row r="96" spans="1:49" ht="24.5" customHeight="1" thickTop="1" thickBot="1">
      <c r="B96" s="10">
        <v>19</v>
      </c>
      <c r="C96" s="10">
        <v>64</v>
      </c>
      <c r="D96" s="2" t="s">
        <v>90</v>
      </c>
      <c r="E96" s="2" t="s">
        <v>49</v>
      </c>
      <c r="F96" s="2"/>
      <c r="G96" s="2" t="s">
        <v>650</v>
      </c>
      <c r="H96" s="2"/>
      <c r="I96" s="2"/>
      <c r="J96" s="128" t="s">
        <v>410</v>
      </c>
      <c r="K96" s="344"/>
      <c r="L96" s="362"/>
      <c r="M96" s="140"/>
      <c r="N96" s="37" t="str" cm="1">
        <f t="array" ref="N96">ToCamel($J96,"","")</f>
        <v>interview</v>
      </c>
      <c r="O96" s="140"/>
      <c r="P96" s="21"/>
      <c r="Q96" s="2" t="s">
        <v>697</v>
      </c>
      <c r="R96" s="21" t="s">
        <v>352</v>
      </c>
      <c r="S96" s="2" t="s">
        <v>223</v>
      </c>
      <c r="T96" s="2"/>
      <c r="U96" s="21" t="s">
        <v>410</v>
      </c>
      <c r="V96" s="27" t="str" cm="1">
        <f t="array" ref="V96">S96&amp;IF(ISBLANK(S96),ToCamel($U96,"",""),ToPascal($U96,"",""))</f>
        <v>getInterview</v>
      </c>
      <c r="W96" s="27" t="str" cm="1">
        <f t="array" ref="W96">IF(AB96="post","I" &amp;ToPascal(V96,"","")&amp;"Req","")</f>
        <v/>
      </c>
      <c r="X96" s="27" t="str" cm="1">
        <f t="array" ref="X96">"I" &amp;ToPascal(V96,"","")&amp;"Res"</f>
        <v>IGetInterviewRes</v>
      </c>
      <c r="Y96" s="21" t="s">
        <v>804</v>
      </c>
      <c r="Z96" s="44"/>
      <c r="AA96" s="18" t="s">
        <v>217</v>
      </c>
      <c r="AB96" s="18" t="s">
        <v>223</v>
      </c>
      <c r="AC96" s="120" t="s">
        <v>229</v>
      </c>
      <c r="AD96" s="112"/>
      <c r="AE96" s="157"/>
      <c r="AF96" s="346"/>
      <c r="AG96" s="14"/>
      <c r="AH96" s="14"/>
      <c r="AI96" s="10"/>
      <c r="AJ96" s="195" t="s">
        <v>42</v>
      </c>
      <c r="AK96" s="182"/>
      <c r="AL96" s="14" t="s">
        <v>596</v>
      </c>
      <c r="AM96" s="58" t="s">
        <v>596</v>
      </c>
      <c r="AN96" s="126" t="s">
        <v>596</v>
      </c>
      <c r="AO96" s="3" t="s">
        <v>67</v>
      </c>
      <c r="AP96" s="126"/>
      <c r="AQ96" s="126"/>
      <c r="AR96" s="126"/>
      <c r="AS96" s="10"/>
      <c r="AT96" s="13"/>
      <c r="AU96" s="13"/>
      <c r="AV96" s="183" t="s">
        <v>596</v>
      </c>
    </row>
    <row r="97" spans="2:48" ht="24.5" customHeight="1" thickTop="1" thickBot="1">
      <c r="B97" s="10">
        <v>20</v>
      </c>
      <c r="C97" s="10">
        <v>65</v>
      </c>
      <c r="D97" s="2" t="s">
        <v>90</v>
      </c>
      <c r="E97" s="2" t="s">
        <v>49</v>
      </c>
      <c r="F97" s="2"/>
      <c r="G97" s="2" t="s">
        <v>53</v>
      </c>
      <c r="H97" s="2"/>
      <c r="I97" s="2"/>
      <c r="J97" s="128" t="s">
        <v>410</v>
      </c>
      <c r="K97" s="344"/>
      <c r="L97" s="362"/>
      <c r="M97" s="140"/>
      <c r="N97" s="37" t="str" cm="1">
        <f t="array" ref="N97">ToCamel($J97,"","")</f>
        <v>interview</v>
      </c>
      <c r="O97" s="140"/>
      <c r="P97" s="21"/>
      <c r="Q97" s="2"/>
      <c r="R97" s="21" t="s">
        <v>813</v>
      </c>
      <c r="S97" s="2" t="s">
        <v>428</v>
      </c>
      <c r="T97" s="2"/>
      <c r="U97" s="21" t="s">
        <v>410</v>
      </c>
      <c r="V97" s="27" t="str" cm="1">
        <f t="array" ref="V97">S97&amp;IF(ISBLANK(S97),ToCamel($U97,"",""),ToPascal($U97,"",""))</f>
        <v>saveInterview</v>
      </c>
      <c r="W97" s="27" t="str" cm="1">
        <f t="array" ref="W97">IF(AB97="post","I" &amp;ToPascal(V97,"","")&amp;"Req","")</f>
        <v>ISaveInterviewReq</v>
      </c>
      <c r="X97" s="27" t="str" cm="1">
        <f t="array" ref="X97">"I" &amp;ToPascal(V97,"","")&amp;"Res"</f>
        <v>ISaveInterviewRes</v>
      </c>
      <c r="Y97" s="21" t="s">
        <v>816</v>
      </c>
      <c r="Z97" s="144" t="s">
        <v>811</v>
      </c>
      <c r="AA97" s="18" t="s">
        <v>219</v>
      </c>
      <c r="AB97" s="18" t="s">
        <v>222</v>
      </c>
      <c r="AC97" s="120" t="s">
        <v>229</v>
      </c>
      <c r="AD97" s="159" t="s">
        <v>763</v>
      </c>
      <c r="AE97" s="144" t="s">
        <v>811</v>
      </c>
      <c r="AF97" s="346"/>
      <c r="AG97" s="14"/>
      <c r="AH97" s="14"/>
      <c r="AI97" s="10"/>
      <c r="AJ97" s="195" t="s">
        <v>42</v>
      </c>
      <c r="AK97" s="182"/>
      <c r="AL97" s="49" t="s">
        <v>596</v>
      </c>
      <c r="AM97" s="58" t="s">
        <v>596</v>
      </c>
      <c r="AN97" s="126" t="s">
        <v>596</v>
      </c>
      <c r="AO97" s="3" t="s">
        <v>67</v>
      </c>
      <c r="AP97" s="126"/>
      <c r="AQ97" s="223" t="s">
        <v>814</v>
      </c>
      <c r="AR97" s="126"/>
      <c r="AS97" s="10"/>
      <c r="AT97" s="13"/>
      <c r="AU97" s="13"/>
      <c r="AV97" s="183" t="s">
        <v>596</v>
      </c>
    </row>
    <row r="98" spans="2:48" ht="24.5" customHeight="1" thickTop="1" thickBot="1">
      <c r="B98" s="10">
        <v>20</v>
      </c>
      <c r="C98" s="10">
        <v>66</v>
      </c>
      <c r="D98" s="2" t="s">
        <v>90</v>
      </c>
      <c r="E98" s="2" t="s">
        <v>49</v>
      </c>
      <c r="F98" s="2"/>
      <c r="G98" s="2" t="s">
        <v>53</v>
      </c>
      <c r="H98" s="2"/>
      <c r="I98" s="2"/>
      <c r="J98" s="128" t="s">
        <v>410</v>
      </c>
      <c r="K98" s="344"/>
      <c r="L98" s="362"/>
      <c r="M98" s="140"/>
      <c r="N98" s="37" t="str" cm="1">
        <f t="array" ref="N98">ToCamel($J98,"","")</f>
        <v>interview</v>
      </c>
      <c r="O98" s="140"/>
      <c r="P98" s="21"/>
      <c r="Q98" s="2" t="s">
        <v>697</v>
      </c>
      <c r="R98" s="21" t="s">
        <v>351</v>
      </c>
      <c r="S98" s="2" t="s">
        <v>434</v>
      </c>
      <c r="T98" s="2"/>
      <c r="U98" s="21" t="s">
        <v>410</v>
      </c>
      <c r="V98" s="27" t="str" cm="1">
        <f t="array" ref="V98">S98&amp;IF(ISBLANK(S98),ToCamel($U98,"",""),ToPascal($U98,"",""))</f>
        <v>deleteInterview</v>
      </c>
      <c r="W98" s="27" t="str" cm="1">
        <f t="array" ref="W98">IF(AB98="post","I" &amp;ToPascal(V98,"","")&amp;"Req","")</f>
        <v>IDeleteInterviewReq</v>
      </c>
      <c r="X98" s="27" t="str" cm="1">
        <f t="array" ref="X98">"I" &amp;ToPascal(V98,"","")&amp;"Res"</f>
        <v>IDeleteInterviewRes</v>
      </c>
      <c r="Y98" s="21" t="s">
        <v>501</v>
      </c>
      <c r="Z98" s="44" t="s">
        <v>584</v>
      </c>
      <c r="AA98" s="18" t="s">
        <v>255</v>
      </c>
      <c r="AB98" s="18" t="s">
        <v>222</v>
      </c>
      <c r="AC98" s="120" t="s">
        <v>229</v>
      </c>
      <c r="AD98" s="112"/>
      <c r="AE98" s="157"/>
      <c r="AF98" s="346"/>
      <c r="AG98" s="14"/>
      <c r="AH98" s="14"/>
      <c r="AI98" s="10"/>
      <c r="AJ98" s="195" t="s">
        <v>42</v>
      </c>
      <c r="AK98" s="182"/>
      <c r="AL98" s="14" t="s">
        <v>596</v>
      </c>
      <c r="AM98" s="58" t="s">
        <v>596</v>
      </c>
      <c r="AN98" s="126" t="s">
        <v>596</v>
      </c>
      <c r="AO98" s="3" t="s">
        <v>67</v>
      </c>
      <c r="AP98" s="126"/>
      <c r="AQ98" s="126"/>
      <c r="AR98" s="126"/>
      <c r="AS98" s="10"/>
      <c r="AT98" s="13"/>
      <c r="AU98" s="13"/>
      <c r="AV98" s="183" t="s">
        <v>596</v>
      </c>
    </row>
    <row r="99" spans="2:48" ht="17" customHeight="1" thickTop="1" thickBot="1">
      <c r="B99" s="10">
        <v>21</v>
      </c>
      <c r="C99" s="10">
        <v>67</v>
      </c>
      <c r="D99" s="2" t="s">
        <v>90</v>
      </c>
      <c r="E99" s="2" t="s">
        <v>49</v>
      </c>
      <c r="F99" s="2"/>
      <c r="G99" s="2" t="s">
        <v>69</v>
      </c>
      <c r="H99" s="2"/>
      <c r="I99" s="2"/>
      <c r="J99" s="128" t="s">
        <v>410</v>
      </c>
      <c r="K99" s="344"/>
      <c r="L99" s="362"/>
      <c r="M99" s="140"/>
      <c r="N99" s="37" t="str" cm="1">
        <f t="array" ref="N99">ToCamel($J99,"","")</f>
        <v>interview</v>
      </c>
      <c r="O99" s="140"/>
      <c r="P99" s="21"/>
      <c r="Q99" s="2" t="s">
        <v>491</v>
      </c>
      <c r="R99" s="133" t="s">
        <v>69</v>
      </c>
      <c r="S99" s="2"/>
      <c r="T99" s="2"/>
      <c r="U99" s="21"/>
      <c r="V99" s="27" t="str" cm="1">
        <f t="array" ref="V99">S99&amp;IF(ISBLANK(S99),ToCamel($U99,"",""),ToPascal($U99,"",""))</f>
        <v/>
      </c>
      <c r="W99" s="27" t="str" cm="1">
        <f t="array" ref="W99">"I" &amp;ToPascal(V99,"","")&amp;"Req"</f>
        <v>IReq</v>
      </c>
      <c r="X99" s="27" t="str" cm="1">
        <f t="array" ref="X99">"I" &amp;ToPascal(V99,"","")&amp;"Res"</f>
        <v>IRes</v>
      </c>
      <c r="Y99" s="21"/>
      <c r="Z99" s="2"/>
      <c r="AA99" s="2"/>
      <c r="AB99" s="2"/>
      <c r="AC99" s="109"/>
      <c r="AD99" s="109"/>
      <c r="AE99" s="157"/>
      <c r="AF99" s="346"/>
      <c r="AG99" s="14"/>
      <c r="AH99" s="14"/>
      <c r="AI99" s="10"/>
      <c r="AJ99" s="23"/>
      <c r="AK99" s="182"/>
      <c r="AL99" s="10"/>
      <c r="AM99" s="65"/>
      <c r="AN99" s="126" t="s">
        <v>596</v>
      </c>
      <c r="AO99" s="3" t="s">
        <v>70</v>
      </c>
      <c r="AP99" s="126"/>
      <c r="AQ99" s="126"/>
      <c r="AR99" s="126"/>
      <c r="AS99" s="10"/>
      <c r="AT99" s="13"/>
      <c r="AU99" s="13"/>
      <c r="AV99" s="14"/>
    </row>
    <row r="100" spans="2:48" ht="24.5" customHeight="1" thickTop="1" thickBot="1">
      <c r="B100" s="10">
        <v>23</v>
      </c>
      <c r="C100" s="10">
        <v>68</v>
      </c>
      <c r="D100" s="2" t="s">
        <v>90</v>
      </c>
      <c r="E100" s="2" t="s">
        <v>49</v>
      </c>
      <c r="F100" s="2"/>
      <c r="G100" s="2" t="s">
        <v>122</v>
      </c>
      <c r="H100" s="2"/>
      <c r="I100" s="2"/>
      <c r="J100" s="128" t="s">
        <v>410</v>
      </c>
      <c r="K100" s="344"/>
      <c r="L100" s="362"/>
      <c r="M100" s="140"/>
      <c r="N100" s="37" t="str" cm="1">
        <f t="array" ref="N100">ToCamel($J100,"","")</f>
        <v>interview</v>
      </c>
      <c r="O100" s="140"/>
      <c r="P100" s="21"/>
      <c r="Q100" s="2" t="s">
        <v>491</v>
      </c>
      <c r="R100" s="407" t="s">
        <v>817</v>
      </c>
      <c r="S100" s="367" t="s">
        <v>223</v>
      </c>
      <c r="T100" s="367" t="s">
        <v>115</v>
      </c>
      <c r="U100" s="356" t="s">
        <v>469</v>
      </c>
      <c r="V100" s="356" t="str" cm="1">
        <f t="array" ref="V100">S100&amp;IF(ISBLANK(S100),ToCamel($U100,"",""),ToPascal($U100,"",""))</f>
        <v>getInterviews</v>
      </c>
      <c r="W100" s="27" t="str" cm="1">
        <f t="array" ref="W100">IF(AB100="post","I" &amp;ToPascal(V100,"","")&amp;"Req","")</f>
        <v/>
      </c>
      <c r="X100" s="356" t="str" cm="1">
        <f t="array" ref="X100">"I" &amp;ToPascal(V100,"","")&amp;"Res"</f>
        <v>IGetInterviewsRes</v>
      </c>
      <c r="Y100" s="356" t="s">
        <v>536</v>
      </c>
      <c r="Z100" s="360"/>
      <c r="AA100" s="372" t="s">
        <v>217</v>
      </c>
      <c r="AB100" s="372" t="s">
        <v>223</v>
      </c>
      <c r="AC100" s="376" t="s">
        <v>229</v>
      </c>
      <c r="AD100" s="113"/>
      <c r="AE100" s="157"/>
      <c r="AF100" s="346"/>
      <c r="AG100" s="14"/>
      <c r="AH100" s="14"/>
      <c r="AI100" s="10"/>
      <c r="AJ100" s="195" t="s">
        <v>42</v>
      </c>
      <c r="AK100" s="182"/>
      <c r="AL100" s="14" t="s">
        <v>596</v>
      </c>
      <c r="AM100" s="58" t="s">
        <v>596</v>
      </c>
      <c r="AN100" s="126" t="s">
        <v>596</v>
      </c>
      <c r="AO100" s="3" t="s">
        <v>117</v>
      </c>
      <c r="AP100" s="126"/>
      <c r="AQ100" s="126"/>
      <c r="AR100" s="126"/>
      <c r="AS100" s="10"/>
      <c r="AT100" s="13"/>
      <c r="AU100" s="13"/>
      <c r="AV100" s="183" t="s">
        <v>596</v>
      </c>
    </row>
    <row r="101" spans="2:48" s="202" customFormat="1" ht="24.5" customHeight="1" thickTop="1" thickBot="1">
      <c r="B101" s="10">
        <v>48</v>
      </c>
      <c r="C101" s="61">
        <v>69</v>
      </c>
      <c r="D101" s="78" t="s">
        <v>90</v>
      </c>
      <c r="E101" s="5" t="s">
        <v>93</v>
      </c>
      <c r="F101" s="5" t="s">
        <v>95</v>
      </c>
      <c r="G101" s="6" t="s">
        <v>122</v>
      </c>
      <c r="H101" s="5"/>
      <c r="I101" s="5"/>
      <c r="J101" s="128" t="s">
        <v>410</v>
      </c>
      <c r="K101" s="344"/>
      <c r="L101" s="362"/>
      <c r="M101" s="140"/>
      <c r="N101" s="37" t="str" cm="1">
        <f t="array" ref="N101">ToCamel($J101,"","")</f>
        <v>interview</v>
      </c>
      <c r="O101" s="140"/>
      <c r="P101" s="22"/>
      <c r="Q101" s="2" t="s">
        <v>491</v>
      </c>
      <c r="R101" s="356"/>
      <c r="S101" s="369"/>
      <c r="T101" s="368"/>
      <c r="U101" s="357"/>
      <c r="V101" s="357"/>
      <c r="W101" s="27" t="str" cm="1">
        <f t="array" ref="W101">IF(AB101="post","I" &amp;ToPascal(V101,"","")&amp;"Req","")</f>
        <v/>
      </c>
      <c r="X101" s="357"/>
      <c r="Y101" s="371"/>
      <c r="Z101" s="362"/>
      <c r="AA101" s="373"/>
      <c r="AB101" s="373"/>
      <c r="AC101" s="376"/>
      <c r="AD101" s="114"/>
      <c r="AE101" s="164"/>
      <c r="AF101" s="346"/>
      <c r="AG101" s="201"/>
      <c r="AH101" s="201"/>
      <c r="AI101" s="201"/>
      <c r="AJ101" s="196" t="s">
        <v>42</v>
      </c>
      <c r="AK101" s="182"/>
      <c r="AL101" s="94" t="s">
        <v>596</v>
      </c>
      <c r="AM101" s="59" t="s">
        <v>596</v>
      </c>
      <c r="AN101" s="126" t="s">
        <v>596</v>
      </c>
      <c r="AO101" s="79" t="s">
        <v>117</v>
      </c>
      <c r="AP101" s="126"/>
      <c r="AQ101" s="126"/>
      <c r="AR101" s="126"/>
      <c r="AS101" s="78"/>
      <c r="AT101" s="80"/>
      <c r="AU101" s="80"/>
      <c r="AV101" s="193" t="s">
        <v>596</v>
      </c>
    </row>
    <row r="102" spans="2:48" s="185" customFormat="1" ht="24.5" customHeight="1" thickTop="1" thickBot="1">
      <c r="B102" s="10">
        <v>22</v>
      </c>
      <c r="C102" s="66">
        <v>70</v>
      </c>
      <c r="D102" s="155" t="s">
        <v>90</v>
      </c>
      <c r="E102" s="2" t="s">
        <v>49</v>
      </c>
      <c r="F102" s="2"/>
      <c r="G102" s="2" t="s">
        <v>81</v>
      </c>
      <c r="H102" s="2"/>
      <c r="I102" s="2"/>
      <c r="J102" s="186" t="s">
        <v>410</v>
      </c>
      <c r="K102" s="352"/>
      <c r="L102" s="370"/>
      <c r="M102" s="139"/>
      <c r="N102" s="37" t="str" cm="1">
        <f t="array" ref="N102">ToCamel($J102,"","")</f>
        <v>interview</v>
      </c>
      <c r="O102" s="139"/>
      <c r="P102" s="21"/>
      <c r="Q102" s="155"/>
      <c r="R102" s="103" t="s">
        <v>398</v>
      </c>
      <c r="S102" s="68" t="s">
        <v>455</v>
      </c>
      <c r="T102" s="18"/>
      <c r="U102" s="21" t="s">
        <v>410</v>
      </c>
      <c r="V102" s="27" t="str" cm="1">
        <f t="array" ref="V102">S102&amp;IF(ISBLANK(S102),ToCamel($U102,"",""),ToPascal($U102,"",""))</f>
        <v>finishInterview</v>
      </c>
      <c r="W102" s="27" t="str" cm="1">
        <f t="array" ref="W102">IF(AB102="post","I" &amp;ToPascal(V102,"","")&amp;"Req","")</f>
        <v>IFinishInterviewReq</v>
      </c>
      <c r="X102" s="27" t="str" cm="1">
        <f t="array" ref="X102">"I" &amp;ToPascal(V102,"","")&amp;"Res"</f>
        <v>IFinishInterviewRes</v>
      </c>
      <c r="Y102" s="103" t="s">
        <v>502</v>
      </c>
      <c r="Z102" s="156" t="s">
        <v>818</v>
      </c>
      <c r="AA102" s="68" t="s">
        <v>219</v>
      </c>
      <c r="AB102" s="68" t="s">
        <v>222</v>
      </c>
      <c r="AC102" s="120" t="s">
        <v>229</v>
      </c>
      <c r="AD102" s="116" t="s">
        <v>787</v>
      </c>
      <c r="AE102" s="156" t="s">
        <v>818</v>
      </c>
      <c r="AF102" s="347"/>
      <c r="AG102" s="14"/>
      <c r="AH102" s="14"/>
      <c r="AI102" s="14"/>
      <c r="AJ102" s="198" t="s">
        <v>42</v>
      </c>
      <c r="AK102" s="182"/>
      <c r="AL102" s="88" t="s">
        <v>596</v>
      </c>
      <c r="AM102" s="58" t="s">
        <v>596</v>
      </c>
      <c r="AN102" s="126" t="s">
        <v>596</v>
      </c>
      <c r="AO102" s="52" t="s">
        <v>67</v>
      </c>
      <c r="AP102" s="126"/>
      <c r="AQ102" s="126" t="s">
        <v>819</v>
      </c>
      <c r="AR102" s="126"/>
      <c r="AS102" s="66"/>
      <c r="AT102" s="67"/>
      <c r="AU102" s="67"/>
      <c r="AV102" s="188" t="s">
        <v>596</v>
      </c>
    </row>
    <row r="103" spans="2:48" ht="24.5" customHeight="1" thickTop="1">
      <c r="B103" s="10">
        <v>24</v>
      </c>
      <c r="C103" s="63">
        <v>71</v>
      </c>
      <c r="D103" s="135" t="s">
        <v>90</v>
      </c>
      <c r="E103" s="2" t="s">
        <v>71</v>
      </c>
      <c r="F103" s="2"/>
      <c r="G103" s="2" t="s">
        <v>56</v>
      </c>
      <c r="H103" s="2"/>
      <c r="I103" s="2"/>
      <c r="J103" s="127" t="s">
        <v>411</v>
      </c>
      <c r="K103" s="344" t="s">
        <v>356</v>
      </c>
      <c r="L103" s="354" t="s">
        <v>576</v>
      </c>
      <c r="M103" s="37" t="str" cm="1">
        <f t="array" ref="M103">ToPascal($J103,"","") &amp;"Contoller.ts"</f>
        <v>MessageContoller.ts</v>
      </c>
      <c r="N103" s="37" t="str" cm="1">
        <f t="array" ref="N103">ToCamel($J103,"","")</f>
        <v>message</v>
      </c>
      <c r="O103" s="37" t="str" cm="1">
        <f t="array" ref="O103">ToCamel($J103,"","") &amp;"Repo.ts"</f>
        <v>messageRepo.ts</v>
      </c>
      <c r="P103" s="21"/>
      <c r="Q103" s="136"/>
      <c r="R103" s="357" t="s">
        <v>359</v>
      </c>
      <c r="S103" s="369" t="s">
        <v>223</v>
      </c>
      <c r="T103" s="367" t="s">
        <v>115</v>
      </c>
      <c r="U103" s="356" t="s">
        <v>411</v>
      </c>
      <c r="V103" s="356" t="str" cm="1">
        <f t="array" ref="V103">S103&amp;IF(ISBLANK(S103),ToCamel($U103,"",""),ToPascal($U103,"",""))</f>
        <v>getMessage</v>
      </c>
      <c r="W103" s="27" t="str" cm="1">
        <f t="array" ref="W103">IF(AB103="post","I" &amp;ToPascal(V103,"","")&amp;"Req","")</f>
        <v/>
      </c>
      <c r="X103" s="356" t="str" cm="1">
        <f t="array" ref="X103">"I" &amp;ToPascal(V103,"","")&amp;"Res"</f>
        <v>IGetMessageRes</v>
      </c>
      <c r="Y103" s="371" t="s">
        <v>503</v>
      </c>
      <c r="Z103" s="362"/>
      <c r="AA103" s="373" t="s">
        <v>217</v>
      </c>
      <c r="AB103" s="373" t="s">
        <v>223</v>
      </c>
      <c r="AC103" s="376" t="s">
        <v>229</v>
      </c>
      <c r="AD103" s="114"/>
      <c r="AE103" s="36"/>
      <c r="AF103" s="14"/>
      <c r="AG103" s="14"/>
      <c r="AH103" s="14"/>
      <c r="AI103" s="10"/>
      <c r="AJ103" s="180" t="s">
        <v>42</v>
      </c>
      <c r="AK103" s="64"/>
      <c r="AL103" s="64" t="s">
        <v>596</v>
      </c>
      <c r="AM103" s="58" t="s">
        <v>596</v>
      </c>
      <c r="AN103" s="126" t="s">
        <v>596</v>
      </c>
      <c r="AO103" s="153" t="s">
        <v>72</v>
      </c>
      <c r="AP103" s="126"/>
      <c r="AQ103" s="126"/>
      <c r="AR103" s="126"/>
      <c r="AS103" s="63"/>
      <c r="AT103" s="65"/>
      <c r="AU103" s="65"/>
      <c r="AV103" s="191" t="s">
        <v>596</v>
      </c>
    </row>
    <row r="104" spans="2:48" ht="24.5" customHeight="1">
      <c r="B104" s="10">
        <v>104</v>
      </c>
      <c r="C104" s="10">
        <v>72</v>
      </c>
      <c r="D104" s="2" t="s">
        <v>141</v>
      </c>
      <c r="E104" s="2" t="s">
        <v>71</v>
      </c>
      <c r="F104" s="2"/>
      <c r="G104" s="2" t="s">
        <v>56</v>
      </c>
      <c r="H104" s="2"/>
      <c r="I104" s="2"/>
      <c r="J104" s="128" t="s">
        <v>411</v>
      </c>
      <c r="K104" s="344"/>
      <c r="L104" s="362"/>
      <c r="M104" s="140"/>
      <c r="N104" s="37" t="str" cm="1">
        <f t="array" ref="N104">ToCamel($J104,"","")</f>
        <v>message</v>
      </c>
      <c r="O104" s="140"/>
      <c r="P104" s="21"/>
      <c r="Q104" s="135"/>
      <c r="R104" s="408"/>
      <c r="S104" s="368"/>
      <c r="T104" s="368"/>
      <c r="U104" s="357"/>
      <c r="V104" s="357"/>
      <c r="W104" s="27" t="str" cm="1">
        <f t="array" ref="W104">IF(AB104="post","I" &amp;ToPascal(V104,"","")&amp;"Req","")</f>
        <v/>
      </c>
      <c r="X104" s="357"/>
      <c r="Y104" s="357"/>
      <c r="Z104" s="361"/>
      <c r="AA104" s="388"/>
      <c r="AB104" s="388"/>
      <c r="AC104" s="376"/>
      <c r="AD104" s="115"/>
      <c r="AE104" s="157"/>
      <c r="AF104" s="14"/>
      <c r="AG104" s="14"/>
      <c r="AH104" s="14"/>
      <c r="AI104" s="10"/>
      <c r="AJ104" s="195" t="s">
        <v>42</v>
      </c>
      <c r="AK104" s="14"/>
      <c r="AL104" s="14" t="s">
        <v>596</v>
      </c>
      <c r="AM104" s="58" t="s">
        <v>596</v>
      </c>
      <c r="AN104" s="126" t="s">
        <v>596</v>
      </c>
      <c r="AO104" s="3" t="s">
        <v>72</v>
      </c>
      <c r="AP104" s="126"/>
      <c r="AQ104" s="126"/>
      <c r="AR104" s="126"/>
      <c r="AS104" s="10"/>
      <c r="AT104" s="13"/>
      <c r="AU104" s="13"/>
      <c r="AV104" s="183" t="s">
        <v>596</v>
      </c>
    </row>
    <row r="105" spans="2:48" ht="24.5" customHeight="1">
      <c r="B105" s="10">
        <v>25</v>
      </c>
      <c r="C105" s="10">
        <v>73</v>
      </c>
      <c r="D105" s="2" t="s">
        <v>90</v>
      </c>
      <c r="E105" s="2" t="s">
        <v>71</v>
      </c>
      <c r="F105" s="2"/>
      <c r="G105" s="2" t="s">
        <v>73</v>
      </c>
      <c r="H105" s="2"/>
      <c r="I105" s="2"/>
      <c r="J105" s="128" t="s">
        <v>411</v>
      </c>
      <c r="K105" s="344"/>
      <c r="L105" s="362"/>
      <c r="M105" s="140"/>
      <c r="N105" s="37" t="str" cm="1">
        <f t="array" ref="N105">ToCamel($J105,"","")</f>
        <v>message</v>
      </c>
      <c r="O105" s="140"/>
      <c r="P105" s="21"/>
      <c r="Q105" s="134"/>
      <c r="R105" s="408" t="s">
        <v>358</v>
      </c>
      <c r="S105" s="367" t="s">
        <v>434</v>
      </c>
      <c r="T105" s="367"/>
      <c r="U105" s="356" t="s">
        <v>411</v>
      </c>
      <c r="V105" s="356" t="str" cm="1">
        <f t="array" ref="V105">S105&amp;IF(ISBLANK(S105),ToCamel($U105,"",""),ToPascal($U105,"",""))</f>
        <v>deleteMessage</v>
      </c>
      <c r="W105" s="27" t="str" cm="1">
        <f t="array" ref="W105">IF(AB105="post","I" &amp;ToPascal(V105,"","")&amp;"Req","")</f>
        <v>IDeleteMessageReq</v>
      </c>
      <c r="X105" s="356" t="str" cm="1">
        <f t="array" ref="X105">"I" &amp;ToPascal(V105,"","")&amp;"Res"</f>
        <v>IDeleteMessageRes</v>
      </c>
      <c r="Y105" s="356" t="s">
        <v>504</v>
      </c>
      <c r="Z105" s="360" t="s">
        <v>585</v>
      </c>
      <c r="AA105" s="372" t="s">
        <v>255</v>
      </c>
      <c r="AB105" s="372" t="s">
        <v>222</v>
      </c>
      <c r="AC105" s="376" t="s">
        <v>229</v>
      </c>
      <c r="AD105" s="113"/>
      <c r="AE105" s="157"/>
      <c r="AF105" s="14"/>
      <c r="AG105" s="14"/>
      <c r="AH105" s="14"/>
      <c r="AI105" s="10"/>
      <c r="AJ105" s="195" t="s">
        <v>42</v>
      </c>
      <c r="AK105" s="14"/>
      <c r="AL105" s="14" t="s">
        <v>596</v>
      </c>
      <c r="AM105" s="58" t="s">
        <v>596</v>
      </c>
      <c r="AN105" s="126" t="s">
        <v>596</v>
      </c>
      <c r="AO105" s="3" t="s">
        <v>74</v>
      </c>
      <c r="AP105" s="126"/>
      <c r="AQ105" s="126"/>
      <c r="AR105" s="126"/>
      <c r="AS105" s="10"/>
      <c r="AT105" s="13"/>
      <c r="AU105" s="13"/>
      <c r="AV105" s="183" t="s">
        <v>596</v>
      </c>
    </row>
    <row r="106" spans="2:48" ht="24.5" customHeight="1">
      <c r="B106" s="10">
        <v>107</v>
      </c>
      <c r="C106" s="10">
        <v>74</v>
      </c>
      <c r="D106" s="2" t="s">
        <v>141</v>
      </c>
      <c r="E106" s="2" t="s">
        <v>71</v>
      </c>
      <c r="F106" s="2"/>
      <c r="G106" s="2" t="s">
        <v>73</v>
      </c>
      <c r="H106" s="2"/>
      <c r="I106" s="2"/>
      <c r="J106" s="128" t="s">
        <v>411</v>
      </c>
      <c r="K106" s="344"/>
      <c r="L106" s="362"/>
      <c r="M106" s="140"/>
      <c r="N106" s="37" t="str" cm="1">
        <f t="array" ref="N106">ToCamel($J106,"","")</f>
        <v>message</v>
      </c>
      <c r="O106" s="140"/>
      <c r="P106" s="21"/>
      <c r="Q106" s="135"/>
      <c r="R106" s="408"/>
      <c r="S106" s="368"/>
      <c r="T106" s="368"/>
      <c r="U106" s="357"/>
      <c r="V106" s="357"/>
      <c r="W106" s="27" t="str" cm="1">
        <f t="array" ref="W106">IF(AB106="post","I" &amp;ToPascal(V106,"","")&amp;"Req","")</f>
        <v/>
      </c>
      <c r="X106" s="357"/>
      <c r="Y106" s="357"/>
      <c r="Z106" s="361"/>
      <c r="AA106" s="388"/>
      <c r="AB106" s="388"/>
      <c r="AC106" s="376"/>
      <c r="AD106" s="115"/>
      <c r="AE106" s="157"/>
      <c r="AF106" s="14"/>
      <c r="AG106" s="14"/>
      <c r="AH106" s="14"/>
      <c r="AI106" s="10"/>
      <c r="AJ106" s="195" t="s">
        <v>42</v>
      </c>
      <c r="AK106" s="14"/>
      <c r="AL106" s="14" t="s">
        <v>596</v>
      </c>
      <c r="AM106" s="58" t="s">
        <v>596</v>
      </c>
      <c r="AN106" s="126" t="s">
        <v>596</v>
      </c>
      <c r="AO106" s="3" t="s">
        <v>72</v>
      </c>
      <c r="AP106" s="126"/>
      <c r="AQ106" s="126"/>
      <c r="AR106" s="126"/>
      <c r="AS106" s="10"/>
      <c r="AT106" s="13"/>
      <c r="AU106" s="13"/>
      <c r="AV106" s="183" t="s">
        <v>596</v>
      </c>
    </row>
    <row r="107" spans="2:48" ht="24.5" customHeight="1">
      <c r="B107" s="10">
        <v>27</v>
      </c>
      <c r="C107" s="10">
        <v>75</v>
      </c>
      <c r="D107" s="2" t="s">
        <v>90</v>
      </c>
      <c r="E107" s="2" t="s">
        <v>71</v>
      </c>
      <c r="F107" s="2" t="s">
        <v>78</v>
      </c>
      <c r="G107" s="2" t="s">
        <v>56</v>
      </c>
      <c r="H107" s="2"/>
      <c r="I107" s="2"/>
      <c r="J107" s="128" t="s">
        <v>411</v>
      </c>
      <c r="K107" s="344"/>
      <c r="L107" s="362"/>
      <c r="M107" s="140"/>
      <c r="N107" s="37" t="str" cm="1">
        <f t="array" ref="N107">ToCamel($J107,"","")</f>
        <v>message</v>
      </c>
      <c r="O107" s="140"/>
      <c r="P107" s="21"/>
      <c r="Q107" s="134"/>
      <c r="R107" s="408" t="s">
        <v>354</v>
      </c>
      <c r="S107" s="367" t="s">
        <v>223</v>
      </c>
      <c r="T107" s="367" t="s">
        <v>115</v>
      </c>
      <c r="U107" s="356" t="s">
        <v>470</v>
      </c>
      <c r="V107" s="356" t="str" cm="1">
        <f t="array" ref="V107">S107&amp;IF(ISBLANK(S107),ToCamel($U107,"",""),ToPascal($U107,"",""))</f>
        <v>getMessages</v>
      </c>
      <c r="W107" s="27" t="str" cm="1">
        <f t="array" ref="W107">IF(AB107="post","I" &amp;ToPascal(V107,"","")&amp;"Req","")</f>
        <v/>
      </c>
      <c r="X107" s="356" t="str" cm="1">
        <f t="array" ref="X107">"I" &amp;ToPascal(V107,"","")&amp;"Res"</f>
        <v>IGetMessagesRes</v>
      </c>
      <c r="Y107" s="356" t="s">
        <v>505</v>
      </c>
      <c r="Z107" s="360"/>
      <c r="AA107" s="372" t="s">
        <v>217</v>
      </c>
      <c r="AB107" s="372" t="s">
        <v>223</v>
      </c>
      <c r="AC107" s="376" t="s">
        <v>229</v>
      </c>
      <c r="AD107" s="113"/>
      <c r="AE107" s="157"/>
      <c r="AF107" s="14"/>
      <c r="AG107" s="14"/>
      <c r="AH107" s="14"/>
      <c r="AI107" s="10"/>
      <c r="AJ107" s="195" t="s">
        <v>42</v>
      </c>
      <c r="AK107" s="14"/>
      <c r="AL107" s="14" t="s">
        <v>596</v>
      </c>
      <c r="AM107" s="58" t="s">
        <v>596</v>
      </c>
      <c r="AN107" s="126" t="s">
        <v>596</v>
      </c>
      <c r="AO107" s="3" t="s">
        <v>76</v>
      </c>
      <c r="AP107" s="126"/>
      <c r="AQ107" s="126"/>
      <c r="AR107" s="126"/>
      <c r="AS107" s="10"/>
      <c r="AT107" s="13"/>
      <c r="AU107" s="13"/>
      <c r="AV107" s="183" t="s">
        <v>596</v>
      </c>
    </row>
    <row r="108" spans="2:48" ht="24.5" customHeight="1">
      <c r="B108" s="10">
        <v>106</v>
      </c>
      <c r="C108" s="10">
        <v>76</v>
      </c>
      <c r="D108" s="2" t="s">
        <v>141</v>
      </c>
      <c r="E108" s="2" t="s">
        <v>71</v>
      </c>
      <c r="F108" s="2"/>
      <c r="G108" s="2" t="s">
        <v>78</v>
      </c>
      <c r="H108" s="2"/>
      <c r="I108" s="2"/>
      <c r="J108" s="128" t="s">
        <v>411</v>
      </c>
      <c r="K108" s="344"/>
      <c r="L108" s="362"/>
      <c r="M108" s="140"/>
      <c r="N108" s="37" t="str" cm="1">
        <f t="array" ref="N108">ToCamel($J108,"","")</f>
        <v>message</v>
      </c>
      <c r="O108" s="140"/>
      <c r="P108" s="21"/>
      <c r="Q108" s="135"/>
      <c r="R108" s="408"/>
      <c r="S108" s="368"/>
      <c r="T108" s="368"/>
      <c r="U108" s="357"/>
      <c r="V108" s="357"/>
      <c r="W108" s="27" t="str" cm="1">
        <f t="array" ref="W108">IF(AB108="post","I" &amp;ToPascal(V108,"","")&amp;"Req","")</f>
        <v/>
      </c>
      <c r="X108" s="357"/>
      <c r="Y108" s="357"/>
      <c r="Z108" s="361"/>
      <c r="AA108" s="388"/>
      <c r="AB108" s="388"/>
      <c r="AC108" s="376"/>
      <c r="AD108" s="115"/>
      <c r="AE108" s="157"/>
      <c r="AF108" s="14"/>
      <c r="AG108" s="14"/>
      <c r="AH108" s="14"/>
      <c r="AI108" s="10"/>
      <c r="AJ108" s="195" t="s">
        <v>42</v>
      </c>
      <c r="AK108" s="14"/>
      <c r="AL108" s="14" t="s">
        <v>596</v>
      </c>
      <c r="AM108" s="58" t="s">
        <v>596</v>
      </c>
      <c r="AN108" s="126" t="s">
        <v>596</v>
      </c>
      <c r="AO108" s="3" t="s">
        <v>168</v>
      </c>
      <c r="AP108" s="126"/>
      <c r="AQ108" s="126"/>
      <c r="AR108" s="126"/>
      <c r="AS108" s="10"/>
      <c r="AT108" s="13"/>
      <c r="AU108" s="13"/>
      <c r="AV108" s="183" t="s">
        <v>596</v>
      </c>
    </row>
    <row r="109" spans="2:48" ht="24.5" customHeight="1">
      <c r="B109" s="10">
        <v>28</v>
      </c>
      <c r="C109" s="10">
        <v>77</v>
      </c>
      <c r="D109" s="2" t="s">
        <v>90</v>
      </c>
      <c r="E109" s="2" t="s">
        <v>71</v>
      </c>
      <c r="F109" s="2" t="s">
        <v>78</v>
      </c>
      <c r="G109" s="2" t="s">
        <v>79</v>
      </c>
      <c r="H109" s="2"/>
      <c r="I109" s="2"/>
      <c r="J109" s="128" t="s">
        <v>411</v>
      </c>
      <c r="K109" s="344"/>
      <c r="L109" s="362"/>
      <c r="M109" s="140"/>
      <c r="N109" s="37" t="str" cm="1">
        <f t="array" ref="N109">ToCamel($J109,"","")</f>
        <v>message</v>
      </c>
      <c r="O109" s="140"/>
      <c r="P109" s="21"/>
      <c r="Q109" s="134"/>
      <c r="R109" s="408" t="s">
        <v>355</v>
      </c>
      <c r="S109" s="367" t="s">
        <v>432</v>
      </c>
      <c r="T109" s="367"/>
      <c r="U109" s="356" t="s">
        <v>411</v>
      </c>
      <c r="V109" s="356" t="str" cm="1">
        <f t="array" ref="V109">S109&amp;IF(ISBLANK(S109),ToCamel($U109,"",""),ToPascal($U109,"",""))</f>
        <v>addMessage</v>
      </c>
      <c r="W109" s="27" t="str" cm="1">
        <f t="array" ref="W109">IF(AB109="post","I" &amp;ToPascal(V109,"","")&amp;"Req","")</f>
        <v>IAddMessageReq</v>
      </c>
      <c r="X109" s="356" t="str" cm="1">
        <f t="array" ref="X109">"I" &amp;ToPascal(V109,"","")&amp;"Res"</f>
        <v>IAddMessageRes</v>
      </c>
      <c r="Y109" s="356" t="s">
        <v>506</v>
      </c>
      <c r="Z109" s="360"/>
      <c r="AA109" s="372" t="s">
        <v>218</v>
      </c>
      <c r="AB109" s="372" t="s">
        <v>222</v>
      </c>
      <c r="AC109" s="376" t="s">
        <v>229</v>
      </c>
      <c r="AD109" s="113"/>
      <c r="AE109" s="157"/>
      <c r="AF109" s="14"/>
      <c r="AG109" s="14"/>
      <c r="AH109" s="14"/>
      <c r="AI109" s="10"/>
      <c r="AJ109" s="195" t="s">
        <v>42</v>
      </c>
      <c r="AK109" s="14"/>
      <c r="AL109" s="14" t="s">
        <v>596</v>
      </c>
      <c r="AM109" s="58" t="s">
        <v>596</v>
      </c>
      <c r="AN109" s="126" t="s">
        <v>596</v>
      </c>
      <c r="AO109" s="3" t="s">
        <v>76</v>
      </c>
      <c r="AP109" s="126"/>
      <c r="AQ109" s="126"/>
      <c r="AR109" s="126"/>
      <c r="AS109" s="10"/>
      <c r="AT109" s="13"/>
      <c r="AU109" s="13"/>
      <c r="AV109" s="183" t="s">
        <v>596</v>
      </c>
    </row>
    <row r="110" spans="2:48" ht="24.5" customHeight="1">
      <c r="B110" s="10">
        <v>108</v>
      </c>
      <c r="C110" s="61">
        <v>78</v>
      </c>
      <c r="D110" s="134" t="s">
        <v>141</v>
      </c>
      <c r="E110" s="2" t="s">
        <v>71</v>
      </c>
      <c r="F110" s="2"/>
      <c r="G110" s="2" t="s">
        <v>79</v>
      </c>
      <c r="H110" s="2"/>
      <c r="I110" s="2"/>
      <c r="J110" s="128" t="s">
        <v>411</v>
      </c>
      <c r="K110" s="344"/>
      <c r="L110" s="362"/>
      <c r="M110" s="140"/>
      <c r="N110" s="37" t="str" cm="1">
        <f t="array" ref="N110">ToCamel($J110,"","")</f>
        <v>message</v>
      </c>
      <c r="O110" s="140"/>
      <c r="P110" s="21"/>
      <c r="Q110" s="136"/>
      <c r="R110" s="356"/>
      <c r="S110" s="369"/>
      <c r="T110" s="368"/>
      <c r="U110" s="357"/>
      <c r="V110" s="357"/>
      <c r="W110" s="27" t="str" cm="1">
        <f t="array" ref="W110">IF(AB110="post","I" &amp;ToPascal(V110,"","")&amp;"Req","")</f>
        <v/>
      </c>
      <c r="X110" s="357"/>
      <c r="Y110" s="371"/>
      <c r="Z110" s="362"/>
      <c r="AA110" s="373"/>
      <c r="AB110" s="373"/>
      <c r="AC110" s="376"/>
      <c r="AD110" s="114"/>
      <c r="AE110" s="159"/>
      <c r="AF110" s="14"/>
      <c r="AG110" s="14"/>
      <c r="AH110" s="14"/>
      <c r="AI110" s="10"/>
      <c r="AJ110" s="196" t="s">
        <v>42</v>
      </c>
      <c r="AK110" s="91"/>
      <c r="AL110" s="91" t="s">
        <v>596</v>
      </c>
      <c r="AM110" s="58" t="s">
        <v>596</v>
      </c>
      <c r="AN110" s="126" t="s">
        <v>596</v>
      </c>
      <c r="AO110" s="51" t="s">
        <v>72</v>
      </c>
      <c r="AP110" s="126"/>
      <c r="AQ110" s="126"/>
      <c r="AR110" s="126"/>
      <c r="AS110" s="61"/>
      <c r="AT110" s="62"/>
      <c r="AU110" s="62"/>
      <c r="AV110" s="193" t="s">
        <v>596</v>
      </c>
    </row>
    <row r="111" spans="2:48" s="216" customFormat="1" ht="24.5" customHeight="1" thickBot="1">
      <c r="B111" s="32">
        <v>105</v>
      </c>
      <c r="C111" s="83">
        <v>79</v>
      </c>
      <c r="D111" s="169" t="s">
        <v>141</v>
      </c>
      <c r="E111" s="54" t="s">
        <v>71</v>
      </c>
      <c r="F111" s="54"/>
      <c r="G111" s="54" t="s">
        <v>166</v>
      </c>
      <c r="H111" s="54"/>
      <c r="I111" s="54"/>
      <c r="J111" s="186" t="s">
        <v>411</v>
      </c>
      <c r="K111" s="352"/>
      <c r="L111" s="370"/>
      <c r="M111" s="139"/>
      <c r="N111" s="37" t="str" cm="1">
        <f t="array" ref="N111">ToCamel($J111,"","")</f>
        <v>message</v>
      </c>
      <c r="O111" s="139"/>
      <c r="P111" s="33"/>
      <c r="Q111" s="169"/>
      <c r="R111" s="215" t="s">
        <v>357</v>
      </c>
      <c r="S111" s="169" t="s">
        <v>466</v>
      </c>
      <c r="T111" s="54"/>
      <c r="U111" s="33" t="s">
        <v>411</v>
      </c>
      <c r="V111" s="27" t="str" cm="1">
        <f t="array" ref="V111">S111&amp;IF(ISBLANK(S111),ToCamel($U111,"",""),ToPascal($U111,"",""))</f>
        <v>readMessage</v>
      </c>
      <c r="W111" s="27" t="str" cm="1">
        <f t="array" ref="W111">IF(AB111="post","I" &amp;ToPascal(V111,"","")&amp;"Req","")</f>
        <v>IReadMessageReq</v>
      </c>
      <c r="X111" s="27" t="str" cm="1">
        <f t="array" ref="X111">"I" &amp;ToPascal(V111,"","")&amp;"Res"</f>
        <v>IReadMessageRes</v>
      </c>
      <c r="Y111" s="215" t="s">
        <v>507</v>
      </c>
      <c r="Z111" s="84" t="s">
        <v>585</v>
      </c>
      <c r="AA111" s="85" t="s">
        <v>219</v>
      </c>
      <c r="AB111" s="85" t="s">
        <v>222</v>
      </c>
      <c r="AC111" s="227" t="s">
        <v>229</v>
      </c>
      <c r="AD111" s="122"/>
      <c r="AE111" s="165"/>
      <c r="AF111" s="213"/>
      <c r="AG111" s="213"/>
      <c r="AH111" s="213"/>
      <c r="AI111" s="213"/>
      <c r="AJ111" s="198" t="s">
        <v>42</v>
      </c>
      <c r="AK111" s="92"/>
      <c r="AL111" s="95" t="s">
        <v>596</v>
      </c>
      <c r="AM111" s="60" t="s">
        <v>596</v>
      </c>
      <c r="AN111" s="126" t="s">
        <v>596</v>
      </c>
      <c r="AO111" s="86" t="s">
        <v>72</v>
      </c>
      <c r="AP111" s="126"/>
      <c r="AQ111" s="126"/>
      <c r="AR111" s="126"/>
      <c r="AS111" s="83"/>
      <c r="AT111" s="87"/>
      <c r="AU111" s="87"/>
      <c r="AV111" s="188" t="s">
        <v>596</v>
      </c>
    </row>
    <row r="112" spans="2:48" s="214" customFormat="1" ht="24.5" customHeight="1" thickTop="1">
      <c r="B112" s="32">
        <v>29</v>
      </c>
      <c r="C112" s="217">
        <v>80</v>
      </c>
      <c r="D112" s="152" t="s">
        <v>90</v>
      </c>
      <c r="E112" s="54" t="s">
        <v>49</v>
      </c>
      <c r="F112" s="54"/>
      <c r="G112" s="54" t="s">
        <v>651</v>
      </c>
      <c r="H112" s="54"/>
      <c r="I112" s="54"/>
      <c r="J112" s="127" t="s">
        <v>575</v>
      </c>
      <c r="K112" s="344" t="s">
        <v>481</v>
      </c>
      <c r="L112" s="354" t="s">
        <v>535</v>
      </c>
      <c r="M112" s="37" t="str" cm="1">
        <f t="array" ref="M112">ToPascal($J112,"","") &amp;"Contoller.ts"</f>
        <v>LogLiveInterviewContoller.ts</v>
      </c>
      <c r="N112" s="37" t="str" cm="1">
        <f t="array" ref="N112">ToCamel($J112,"","")</f>
        <v>logLiveInterview</v>
      </c>
      <c r="O112" s="37" t="str" cm="1">
        <f t="array" ref="O112">ToCamel($J112,"","") &amp;"Repo.ts"</f>
        <v>logLiveInterviewRepo.ts</v>
      </c>
      <c r="P112" s="33"/>
      <c r="Q112" s="218"/>
      <c r="R112" s="366" t="s">
        <v>367</v>
      </c>
      <c r="S112" s="410" t="s">
        <v>471</v>
      </c>
      <c r="T112" s="151"/>
      <c r="U112" s="365" t="s">
        <v>473</v>
      </c>
      <c r="V112" s="356" t="str" cm="1">
        <f t="array" ref="V112">S112&amp;IF(ISBLANK(S112),ToCamel($U112,"",""),ToPascal($U112,"",""))</f>
        <v>joinLiveInterview</v>
      </c>
      <c r="W112" s="27" t="str" cm="1">
        <f t="array" ref="W112">IF(AB112="post","I" &amp;ToPascal(V112,"","")&amp;"Req","")</f>
        <v>IJoinLiveInterviewReq</v>
      </c>
      <c r="X112" s="356" t="str" cm="1">
        <f t="array" ref="X112">"I" &amp;ToPascal(V112,"","")&amp;"Res"</f>
        <v>IJoinLiveInterviewRes</v>
      </c>
      <c r="Y112" s="404" t="s">
        <v>508</v>
      </c>
      <c r="Z112" s="363" t="s">
        <v>586</v>
      </c>
      <c r="AA112" s="392" t="s">
        <v>219</v>
      </c>
      <c r="AB112" s="392" t="s">
        <v>222</v>
      </c>
      <c r="AC112" s="391" t="s">
        <v>229</v>
      </c>
      <c r="AD112" s="123"/>
      <c r="AE112" s="166"/>
      <c r="AF112" s="213"/>
      <c r="AG112" s="213"/>
      <c r="AH112" s="213"/>
      <c r="AI112" s="213"/>
      <c r="AJ112" s="180" t="s">
        <v>42</v>
      </c>
      <c r="AK112" s="64"/>
      <c r="AL112" s="96" t="s">
        <v>596</v>
      </c>
      <c r="AM112" s="60" t="s">
        <v>596</v>
      </c>
      <c r="AN112" s="126" t="s">
        <v>596</v>
      </c>
      <c r="AO112" s="81" t="s">
        <v>76</v>
      </c>
      <c r="AP112" s="126"/>
      <c r="AQ112" s="126"/>
      <c r="AR112" s="126"/>
      <c r="AS112" s="152"/>
      <c r="AT112" s="82"/>
      <c r="AU112" s="82"/>
      <c r="AV112" s="191" t="s">
        <v>596</v>
      </c>
    </row>
    <row r="113" spans="2:48" s="214" customFormat="1" ht="24.5" customHeight="1">
      <c r="B113" s="32">
        <v>42</v>
      </c>
      <c r="C113" s="32">
        <v>81</v>
      </c>
      <c r="D113" s="54" t="s">
        <v>90</v>
      </c>
      <c r="E113" s="54" t="s">
        <v>93</v>
      </c>
      <c r="F113" s="54" t="s">
        <v>83</v>
      </c>
      <c r="G113" s="57" t="s">
        <v>119</v>
      </c>
      <c r="H113" s="54"/>
      <c r="I113" s="54"/>
      <c r="J113" s="128" t="s">
        <v>575</v>
      </c>
      <c r="K113" s="344"/>
      <c r="L113" s="354"/>
      <c r="M113" s="140"/>
      <c r="N113" s="37" t="str" cm="1">
        <f t="array" ref="N113">ToCamel($J113,"","")</f>
        <v>logLiveInterview</v>
      </c>
      <c r="O113" s="140"/>
      <c r="P113" s="33"/>
      <c r="Q113" s="152"/>
      <c r="R113" s="405"/>
      <c r="S113" s="402"/>
      <c r="T113" s="152"/>
      <c r="U113" s="366"/>
      <c r="V113" s="357"/>
      <c r="W113" s="27" t="str" cm="1">
        <f t="array" ref="W113">IF(AB113="post","I" &amp;ToPascal(V113,"","")&amp;"Req","")</f>
        <v/>
      </c>
      <c r="X113" s="357"/>
      <c r="Y113" s="366"/>
      <c r="Z113" s="364"/>
      <c r="AA113" s="359"/>
      <c r="AB113" s="359"/>
      <c r="AC113" s="391"/>
      <c r="AD113" s="124"/>
      <c r="AE113" s="167"/>
      <c r="AF113" s="213"/>
      <c r="AG113" s="213"/>
      <c r="AH113" s="213"/>
      <c r="AI113" s="213"/>
      <c r="AJ113" s="195" t="s">
        <v>42</v>
      </c>
      <c r="AK113" s="14"/>
      <c r="AL113" s="97" t="s">
        <v>596</v>
      </c>
      <c r="AM113" s="60" t="s">
        <v>596</v>
      </c>
      <c r="AN113" s="126" t="s">
        <v>596</v>
      </c>
      <c r="AO113" s="34" t="s">
        <v>114</v>
      </c>
      <c r="AP113" s="126"/>
      <c r="AQ113" s="126"/>
      <c r="AR113" s="126"/>
      <c r="AS113" s="54"/>
      <c r="AT113" s="35"/>
      <c r="AU113" s="35"/>
      <c r="AV113" s="183" t="s">
        <v>596</v>
      </c>
    </row>
    <row r="114" spans="2:48" s="214" customFormat="1" ht="24.5" customHeight="1">
      <c r="B114" s="32">
        <v>30</v>
      </c>
      <c r="C114" s="32">
        <v>82</v>
      </c>
      <c r="D114" s="54" t="s">
        <v>90</v>
      </c>
      <c r="E114" s="54" t="s">
        <v>49</v>
      </c>
      <c r="F114" s="54"/>
      <c r="G114" s="54" t="s">
        <v>127</v>
      </c>
      <c r="H114" s="54"/>
      <c r="I114" s="54"/>
      <c r="J114" s="128" t="s">
        <v>575</v>
      </c>
      <c r="K114" s="344"/>
      <c r="L114" s="354"/>
      <c r="M114" s="140"/>
      <c r="N114" s="37" t="str" cm="1">
        <f t="array" ref="N114">ToCamel($J114,"","")</f>
        <v>logLiveInterview</v>
      </c>
      <c r="O114" s="140"/>
      <c r="P114" s="33"/>
      <c r="Q114" s="151"/>
      <c r="R114" s="405" t="s">
        <v>368</v>
      </c>
      <c r="S114" s="401" t="s">
        <v>474</v>
      </c>
      <c r="T114" s="151"/>
      <c r="U114" s="365" t="s">
        <v>473</v>
      </c>
      <c r="V114" s="356" t="str" cm="1">
        <f t="array" ref="V114">S114&amp;IF(ISBLANK(S114),ToCamel($U114,"",""),ToPascal($U114,"",""))</f>
        <v>cancelLiveInterview</v>
      </c>
      <c r="W114" s="27" t="str" cm="1">
        <f t="array" ref="W114">IF(AB114="post","I" &amp;ToPascal(V114,"","")&amp;"Req","")</f>
        <v>ICancelLiveInterviewReq</v>
      </c>
      <c r="X114" s="356" t="str" cm="1">
        <f t="array" ref="X114">"I" &amp;ToPascal(V114,"","")&amp;"Res"</f>
        <v>ICancelLiveInterviewRes</v>
      </c>
      <c r="Y114" s="365" t="s">
        <v>590</v>
      </c>
      <c r="Z114" s="403" t="s">
        <v>586</v>
      </c>
      <c r="AA114" s="358" t="s">
        <v>219</v>
      </c>
      <c r="AB114" s="358" t="s">
        <v>222</v>
      </c>
      <c r="AC114" s="391" t="s">
        <v>229</v>
      </c>
      <c r="AD114" s="121"/>
      <c r="AE114" s="167"/>
      <c r="AF114" s="213"/>
      <c r="AG114" s="213"/>
      <c r="AH114" s="213"/>
      <c r="AI114" s="213"/>
      <c r="AJ114" s="195" t="s">
        <v>42</v>
      </c>
      <c r="AK114" s="14"/>
      <c r="AL114" s="97" t="s">
        <v>596</v>
      </c>
      <c r="AM114" s="60" t="s">
        <v>596</v>
      </c>
      <c r="AN114" s="126" t="s">
        <v>596</v>
      </c>
      <c r="AO114" s="34" t="s">
        <v>76</v>
      </c>
      <c r="AP114" s="126"/>
      <c r="AQ114" s="126"/>
      <c r="AR114" s="126"/>
      <c r="AS114" s="54"/>
      <c r="AT114" s="35"/>
      <c r="AU114" s="35"/>
      <c r="AV114" s="183" t="s">
        <v>596</v>
      </c>
    </row>
    <row r="115" spans="2:48" s="214" customFormat="1" ht="24.5" customHeight="1">
      <c r="B115" s="32">
        <v>43</v>
      </c>
      <c r="C115" s="32">
        <v>83</v>
      </c>
      <c r="D115" s="54" t="s">
        <v>90</v>
      </c>
      <c r="E115" s="54" t="s">
        <v>93</v>
      </c>
      <c r="F115" s="54" t="s">
        <v>83</v>
      </c>
      <c r="G115" s="57" t="s">
        <v>128</v>
      </c>
      <c r="H115" s="54"/>
      <c r="I115" s="54"/>
      <c r="J115" s="128" t="s">
        <v>575</v>
      </c>
      <c r="K115" s="344"/>
      <c r="L115" s="354"/>
      <c r="M115" s="140"/>
      <c r="N115" s="37" t="str" cm="1">
        <f t="array" ref="N115">ToCamel($J115,"","")</f>
        <v>logLiveInterview</v>
      </c>
      <c r="O115" s="140"/>
      <c r="P115" s="33"/>
      <c r="Q115" s="152"/>
      <c r="R115" s="405"/>
      <c r="S115" s="402"/>
      <c r="T115" s="152"/>
      <c r="U115" s="366"/>
      <c r="V115" s="357"/>
      <c r="W115" s="27" t="str" cm="1">
        <f t="array" ref="W115">IF(AB115="post","I" &amp;ToPascal(V115,"","")&amp;"Req","")</f>
        <v/>
      </c>
      <c r="X115" s="357"/>
      <c r="Y115" s="366"/>
      <c r="Z115" s="364"/>
      <c r="AA115" s="359"/>
      <c r="AB115" s="359"/>
      <c r="AC115" s="391"/>
      <c r="AD115" s="124"/>
      <c r="AE115" s="167"/>
      <c r="AF115" s="213"/>
      <c r="AG115" s="213"/>
      <c r="AH115" s="213"/>
      <c r="AI115" s="213"/>
      <c r="AJ115" s="195" t="s">
        <v>42</v>
      </c>
      <c r="AK115" s="14"/>
      <c r="AL115" s="97" t="s">
        <v>596</v>
      </c>
      <c r="AM115" s="60" t="s">
        <v>596</v>
      </c>
      <c r="AN115" s="126" t="s">
        <v>596</v>
      </c>
      <c r="AO115" s="34" t="s">
        <v>114</v>
      </c>
      <c r="AP115" s="126"/>
      <c r="AQ115" s="126"/>
      <c r="AR115" s="126"/>
      <c r="AS115" s="54"/>
      <c r="AT115" s="35"/>
      <c r="AU115" s="35"/>
      <c r="AV115" s="183" t="s">
        <v>596</v>
      </c>
    </row>
    <row r="116" spans="2:48" ht="24.5" customHeight="1">
      <c r="B116" s="10">
        <v>31</v>
      </c>
      <c r="C116" s="10">
        <v>84</v>
      </c>
      <c r="D116" s="2" t="s">
        <v>90</v>
      </c>
      <c r="E116" s="2" t="s">
        <v>83</v>
      </c>
      <c r="F116" s="2"/>
      <c r="G116" s="2" t="s">
        <v>84</v>
      </c>
      <c r="H116" s="2"/>
      <c r="I116" s="2"/>
      <c r="J116" s="128" t="s">
        <v>575</v>
      </c>
      <c r="K116" s="344"/>
      <c r="L116" s="354"/>
      <c r="M116" s="140"/>
      <c r="N116" s="37" t="str" cm="1">
        <f t="array" ref="N116">ToCamel($J116,"","")</f>
        <v>logLiveInterview</v>
      </c>
      <c r="O116" s="140"/>
      <c r="P116" s="21"/>
      <c r="Q116" s="2"/>
      <c r="R116" s="21" t="s">
        <v>369</v>
      </c>
      <c r="S116" s="2" t="s">
        <v>475</v>
      </c>
      <c r="T116" s="2"/>
      <c r="U116" s="21" t="s">
        <v>472</v>
      </c>
      <c r="V116" s="27" t="str" cm="1">
        <f t="array" ref="V116">S116&amp;IF(ISBLANK(S116),ToCamel($U116,"",""),ToPascal($U116,"",""))</f>
        <v>startLiveInterview</v>
      </c>
      <c r="W116" s="27" t="str" cm="1">
        <f t="array" ref="W116">IF(AB116="post","I" &amp;ToPascal(V116,"","")&amp;"Req","")</f>
        <v>IStartLiveInterviewReq</v>
      </c>
      <c r="X116" s="27" t="str" cm="1">
        <f t="array" ref="X116">"I" &amp;ToPascal(V116,"","")&amp;"Res"</f>
        <v>IStartLiveInterviewRes</v>
      </c>
      <c r="Y116" s="21" t="s">
        <v>509</v>
      </c>
      <c r="Z116" s="44" t="s">
        <v>586</v>
      </c>
      <c r="AA116" s="18" t="s">
        <v>219</v>
      </c>
      <c r="AB116" s="18" t="s">
        <v>222</v>
      </c>
      <c r="AC116" s="120" t="s">
        <v>229</v>
      </c>
      <c r="AD116" s="112"/>
      <c r="AE116" s="157"/>
      <c r="AF116" s="14"/>
      <c r="AG116" s="14"/>
      <c r="AH116" s="14"/>
      <c r="AI116" s="10"/>
      <c r="AJ116" s="195" t="s">
        <v>42</v>
      </c>
      <c r="AK116" s="14"/>
      <c r="AL116" s="14" t="s">
        <v>596</v>
      </c>
      <c r="AM116" s="58" t="s">
        <v>596</v>
      </c>
      <c r="AN116" s="126" t="s">
        <v>596</v>
      </c>
      <c r="AO116" s="3" t="s">
        <v>87</v>
      </c>
      <c r="AP116" s="126"/>
      <c r="AQ116" s="126"/>
      <c r="AR116" s="126"/>
      <c r="AS116" s="10"/>
      <c r="AT116" s="13"/>
      <c r="AU116" s="13"/>
      <c r="AV116" s="183" t="s">
        <v>596</v>
      </c>
    </row>
    <row r="117" spans="2:48" ht="17" customHeight="1">
      <c r="B117" s="10">
        <v>32</v>
      </c>
      <c r="C117" s="10">
        <v>85</v>
      </c>
      <c r="D117" s="2" t="s">
        <v>90</v>
      </c>
      <c r="E117" s="2" t="s">
        <v>83</v>
      </c>
      <c r="F117" s="2"/>
      <c r="G117" s="2" t="s">
        <v>86</v>
      </c>
      <c r="H117" s="2"/>
      <c r="I117" s="2"/>
      <c r="J117" s="128" t="s">
        <v>482</v>
      </c>
      <c r="K117" s="344"/>
      <c r="L117" s="354"/>
      <c r="M117" s="140"/>
      <c r="N117" s="37" t="str" cm="1">
        <f t="array" ref="N117">ToCamel($J117,"","")</f>
        <v>logLiveinterview</v>
      </c>
      <c r="O117" s="140"/>
      <c r="P117" s="21"/>
      <c r="Q117" s="2" t="s">
        <v>491</v>
      </c>
      <c r="R117" s="133" t="s">
        <v>370</v>
      </c>
      <c r="S117" s="2"/>
      <c r="T117" s="2"/>
      <c r="U117" s="21" t="s">
        <v>370</v>
      </c>
      <c r="V117" s="27" t="str" cm="1">
        <f t="array" ref="V117">S117&amp;IF(ISBLANK(S117),ToCamel($U117,"",""),ToPascal($U117,"",""))</f>
        <v>라이브인터뷰가이드</v>
      </c>
      <c r="W117" s="27" t="str" cm="1">
        <f t="array" ref="W117">"I" &amp;ToPascal(V117,"","")&amp;"Req"</f>
        <v>I라이브인터뷰가이드Req</v>
      </c>
      <c r="X117" s="27" t="str" cm="1">
        <f t="array" ref="X117">"I" &amp;ToPascal(V117,"","")&amp;"Res"</f>
        <v>I라이브인터뷰가이드Res</v>
      </c>
      <c r="Y117" s="21" t="s">
        <v>476</v>
      </c>
      <c r="Z117" s="2" t="s">
        <v>485</v>
      </c>
      <c r="AA117" s="18" t="s">
        <v>219</v>
      </c>
      <c r="AB117" s="18" t="s">
        <v>222</v>
      </c>
      <c r="AC117" s="120" t="s">
        <v>229</v>
      </c>
      <c r="AD117" s="120"/>
      <c r="AE117" s="157"/>
      <c r="AF117" s="14"/>
      <c r="AG117" s="14"/>
      <c r="AH117" s="14"/>
      <c r="AI117" s="10"/>
      <c r="AJ117" s="23"/>
      <c r="AL117" s="10"/>
      <c r="AM117" s="153"/>
      <c r="AN117" s="126" t="s">
        <v>596</v>
      </c>
      <c r="AO117" s="3" t="s">
        <v>88</v>
      </c>
      <c r="AP117" s="126"/>
      <c r="AQ117" s="126"/>
      <c r="AR117" s="126"/>
      <c r="AS117" s="10"/>
      <c r="AT117" s="3"/>
      <c r="AU117" s="13"/>
      <c r="AV117" s="14"/>
    </row>
    <row r="118" spans="2:48" ht="24.5" customHeight="1">
      <c r="B118" s="10">
        <v>33</v>
      </c>
      <c r="C118" s="10">
        <v>86</v>
      </c>
      <c r="D118" s="2" t="s">
        <v>90</v>
      </c>
      <c r="E118" s="2" t="s">
        <v>83</v>
      </c>
      <c r="F118" s="2"/>
      <c r="G118" s="2" t="s">
        <v>85</v>
      </c>
      <c r="H118" s="2"/>
      <c r="I118" s="2"/>
      <c r="J118" s="128" t="s">
        <v>575</v>
      </c>
      <c r="K118" s="344"/>
      <c r="L118" s="354"/>
      <c r="M118" s="140"/>
      <c r="N118" s="37" t="str" cm="1">
        <f t="array" ref="N118">ToCamel($J118,"","")</f>
        <v>logLiveInterview</v>
      </c>
      <c r="O118" s="140"/>
      <c r="P118" s="21"/>
      <c r="Q118" s="2"/>
      <c r="R118" s="21" t="s">
        <v>371</v>
      </c>
      <c r="S118" s="2" t="s">
        <v>477</v>
      </c>
      <c r="T118" s="2"/>
      <c r="U118" s="21" t="s">
        <v>472</v>
      </c>
      <c r="V118" s="27" t="str" cm="1">
        <f t="array" ref="V118">S118&amp;IF(ISBLANK(S118),ToCamel($U118,"",""),ToPascal($U118,"",""))</f>
        <v>ingLiveInterview</v>
      </c>
      <c r="W118" s="27" t="str" cm="1">
        <f t="array" ref="W118">IF(AB118="post","I" &amp;ToPascal(V118,"","")&amp;"Req","")</f>
        <v>IIngLiveInterviewReq</v>
      </c>
      <c r="X118" s="27" t="str" cm="1">
        <f t="array" ref="X118">"I" &amp;ToPascal(V118,"","")&amp;"Res"</f>
        <v>IIngLiveInterviewRes</v>
      </c>
      <c r="Y118" s="21" t="s">
        <v>510</v>
      </c>
      <c r="Z118" s="44" t="s">
        <v>586</v>
      </c>
      <c r="AA118" s="18" t="s">
        <v>219</v>
      </c>
      <c r="AB118" s="18" t="s">
        <v>222</v>
      </c>
      <c r="AC118" s="120" t="s">
        <v>229</v>
      </c>
      <c r="AD118" s="112"/>
      <c r="AE118" s="157"/>
      <c r="AF118" s="14"/>
      <c r="AG118" s="14"/>
      <c r="AH118" s="14"/>
      <c r="AI118" s="10"/>
      <c r="AJ118" s="195" t="s">
        <v>42</v>
      </c>
      <c r="AK118" s="14"/>
      <c r="AL118" s="14" t="s">
        <v>596</v>
      </c>
      <c r="AM118" s="58" t="s">
        <v>596</v>
      </c>
      <c r="AN118" s="126" t="s">
        <v>596</v>
      </c>
      <c r="AO118" s="3" t="s">
        <v>89</v>
      </c>
      <c r="AP118" s="126"/>
      <c r="AQ118" s="126"/>
      <c r="AR118" s="126"/>
      <c r="AS118" s="10"/>
      <c r="AT118" s="13"/>
      <c r="AU118" s="13"/>
      <c r="AV118" s="183" t="s">
        <v>596</v>
      </c>
    </row>
    <row r="119" spans="2:48" ht="24.5" customHeight="1">
      <c r="B119" s="10">
        <v>41</v>
      </c>
      <c r="C119" s="10">
        <v>87</v>
      </c>
      <c r="D119" s="2" t="s">
        <v>90</v>
      </c>
      <c r="E119" s="2" t="s">
        <v>93</v>
      </c>
      <c r="F119" s="2" t="s">
        <v>82</v>
      </c>
      <c r="G119" s="2" t="s">
        <v>56</v>
      </c>
      <c r="H119" s="2"/>
      <c r="I119" s="2"/>
      <c r="J119" s="128" t="s">
        <v>575</v>
      </c>
      <c r="K119" s="344"/>
      <c r="L119" s="354"/>
      <c r="M119" s="140"/>
      <c r="N119" s="37" t="str" cm="1">
        <f t="array" ref="N119">ToCamel($J119,"","")</f>
        <v>logLiveInterview</v>
      </c>
      <c r="O119" s="140"/>
      <c r="P119" s="21"/>
      <c r="Q119" s="2"/>
      <c r="R119" s="21" t="s">
        <v>372</v>
      </c>
      <c r="S119" s="2" t="s">
        <v>223</v>
      </c>
      <c r="T119" s="2" t="s">
        <v>492</v>
      </c>
      <c r="U119" s="21" t="s">
        <v>478</v>
      </c>
      <c r="V119" s="27" t="str" cm="1">
        <f t="array" ref="V119">S119&amp;IF(ISBLANK(S119),ToCamel($U119,"",""),ToPascal($U119,"",""))</f>
        <v>getLiveInterviews</v>
      </c>
      <c r="W119" s="27" t="str" cm="1">
        <f t="array" ref="W119">IF(AB119="post","I" &amp;ToPascal(V119,"","")&amp;"Req","")</f>
        <v/>
      </c>
      <c r="X119" s="27" t="str" cm="1">
        <f t="array" ref="X119">"I" &amp;ToPascal(V119,"","")&amp;"Res"</f>
        <v>IGetLiveInterviewsRes</v>
      </c>
      <c r="Y119" s="21" t="s">
        <v>511</v>
      </c>
      <c r="Z119" s="44"/>
      <c r="AA119" s="18" t="s">
        <v>217</v>
      </c>
      <c r="AB119" s="18" t="s">
        <v>223</v>
      </c>
      <c r="AC119" s="120" t="s">
        <v>229</v>
      </c>
      <c r="AD119" s="112"/>
      <c r="AE119" s="157"/>
      <c r="AF119" s="14"/>
      <c r="AG119" s="14"/>
      <c r="AH119" s="14"/>
      <c r="AI119" s="10"/>
      <c r="AJ119" s="195" t="s">
        <v>42</v>
      </c>
      <c r="AK119" s="14"/>
      <c r="AL119" s="14" t="s">
        <v>596</v>
      </c>
      <c r="AM119" s="58" t="s">
        <v>596</v>
      </c>
      <c r="AN119" s="126" t="s">
        <v>596</v>
      </c>
      <c r="AO119" s="3" t="s">
        <v>114</v>
      </c>
      <c r="AP119" s="126"/>
      <c r="AQ119" s="126"/>
      <c r="AR119" s="126"/>
      <c r="AS119" s="10"/>
      <c r="AT119" s="13"/>
      <c r="AU119" s="13"/>
      <c r="AV119" s="183" t="s">
        <v>596</v>
      </c>
    </row>
    <row r="120" spans="2:48" ht="24.5" customHeight="1">
      <c r="B120" s="10">
        <v>82</v>
      </c>
      <c r="C120" s="10">
        <v>88</v>
      </c>
      <c r="D120" s="2" t="s">
        <v>141</v>
      </c>
      <c r="E120" s="2" t="s">
        <v>82</v>
      </c>
      <c r="F120" s="2"/>
      <c r="G120" s="2" t="s">
        <v>57</v>
      </c>
      <c r="H120" s="2"/>
      <c r="I120" s="2"/>
      <c r="J120" s="128" t="s">
        <v>575</v>
      </c>
      <c r="K120" s="344"/>
      <c r="L120" s="354"/>
      <c r="M120" s="140"/>
      <c r="N120" s="37" t="str" cm="1">
        <f t="array" ref="N120">ToCamel($J120,"","")</f>
        <v>logLiveInterview</v>
      </c>
      <c r="O120" s="140"/>
      <c r="P120" s="21"/>
      <c r="Q120" s="2"/>
      <c r="R120" s="21" t="s">
        <v>373</v>
      </c>
      <c r="S120" s="2" t="s">
        <v>223</v>
      </c>
      <c r="T120" s="2"/>
      <c r="U120" s="21" t="s">
        <v>479</v>
      </c>
      <c r="V120" s="27" t="str" cm="1">
        <f t="array" ref="V120">S120&amp;IF(ISBLANK(S120),ToCamel($U120,"",""),ToPascal($U120,"",""))</f>
        <v>getLiveInterviewForCompany</v>
      </c>
      <c r="W120" s="27" t="str" cm="1">
        <f t="array" ref="W120">IF(AB120="post","I" &amp;ToPascal(V120,"","")&amp;"Req","")</f>
        <v/>
      </c>
      <c r="X120" s="27" t="str" cm="1">
        <f t="array" ref="X120">"I" &amp;ToPascal(V120,"","")&amp;"Res"</f>
        <v>IGetLiveInterviewForCompanyRes</v>
      </c>
      <c r="Y120" s="21" t="s">
        <v>537</v>
      </c>
      <c r="Z120" s="44"/>
      <c r="AA120" s="18" t="s">
        <v>217</v>
      </c>
      <c r="AB120" s="18" t="s">
        <v>223</v>
      </c>
      <c r="AC120" s="120" t="s">
        <v>229</v>
      </c>
      <c r="AD120" s="112"/>
      <c r="AE120" s="157"/>
      <c r="AF120" s="14"/>
      <c r="AG120" s="14"/>
      <c r="AH120" s="14"/>
      <c r="AI120" s="10"/>
      <c r="AJ120" s="195" t="s">
        <v>42</v>
      </c>
      <c r="AK120" s="14"/>
      <c r="AL120" s="14" t="s">
        <v>596</v>
      </c>
      <c r="AM120" s="58" t="s">
        <v>596</v>
      </c>
      <c r="AN120" s="126" t="s">
        <v>596</v>
      </c>
      <c r="AO120" s="3" t="s">
        <v>176</v>
      </c>
      <c r="AP120" s="126"/>
      <c r="AQ120" s="126"/>
      <c r="AR120" s="126"/>
      <c r="AS120" s="10"/>
      <c r="AT120" s="13"/>
      <c r="AU120" s="13"/>
      <c r="AV120" s="183" t="s">
        <v>596</v>
      </c>
    </row>
    <row r="121" spans="2:48" ht="24.5" customHeight="1">
      <c r="B121" s="10">
        <v>81</v>
      </c>
      <c r="C121" s="10">
        <v>89</v>
      </c>
      <c r="D121" s="2" t="s">
        <v>141</v>
      </c>
      <c r="E121" s="2" t="s">
        <v>82</v>
      </c>
      <c r="F121" s="2"/>
      <c r="G121" s="2" t="s">
        <v>56</v>
      </c>
      <c r="H121" s="2"/>
      <c r="I121" s="2"/>
      <c r="J121" s="128" t="s">
        <v>575</v>
      </c>
      <c r="K121" s="344"/>
      <c r="L121" s="354"/>
      <c r="M121" s="140"/>
      <c r="N121" s="37" t="str" cm="1">
        <f t="array" ref="N121">ToCamel($J121,"","")</f>
        <v>logLiveInterview</v>
      </c>
      <c r="O121" s="140"/>
      <c r="P121" s="21"/>
      <c r="Q121" s="2"/>
      <c r="R121" s="21" t="s">
        <v>372</v>
      </c>
      <c r="S121" s="2" t="s">
        <v>223</v>
      </c>
      <c r="T121" s="2" t="s">
        <v>492</v>
      </c>
      <c r="U121" s="21" t="s">
        <v>486</v>
      </c>
      <c r="V121" s="27" t="str" cm="1">
        <f t="array" ref="V121">S121&amp;IF(ISBLANK(S121),ToCamel($U121,"",""),ToPascal($U121,"",""))</f>
        <v>getLiveInterviewsForCompany</v>
      </c>
      <c r="W121" s="27" t="str" cm="1">
        <f t="array" ref="W121">IF(AB121="post","I" &amp;ToPascal(V121,"","")&amp;"Req","")</f>
        <v/>
      </c>
      <c r="X121" s="27" t="str" cm="1">
        <f t="array" ref="X121">"I" &amp;ToPascal(V121,"","")&amp;"Res"</f>
        <v>IGetLiveInterviewsForCompanyRes</v>
      </c>
      <c r="Y121" s="21" t="s">
        <v>524</v>
      </c>
      <c r="Z121" s="44"/>
      <c r="AA121" s="18" t="s">
        <v>217</v>
      </c>
      <c r="AB121" s="18" t="s">
        <v>223</v>
      </c>
      <c r="AC121" s="120" t="s">
        <v>229</v>
      </c>
      <c r="AD121" s="112"/>
      <c r="AE121" s="157"/>
      <c r="AF121" s="14"/>
      <c r="AG121" s="14"/>
      <c r="AH121" s="14"/>
      <c r="AI121" s="10"/>
      <c r="AJ121" s="195" t="s">
        <v>42</v>
      </c>
      <c r="AK121" s="14"/>
      <c r="AL121" s="14" t="s">
        <v>596</v>
      </c>
      <c r="AM121" s="58" t="s">
        <v>596</v>
      </c>
      <c r="AN121" s="126" t="s">
        <v>596</v>
      </c>
      <c r="AO121" s="3" t="s">
        <v>175</v>
      </c>
      <c r="AP121" s="126"/>
      <c r="AQ121" s="126"/>
      <c r="AR121" s="126"/>
      <c r="AS121" s="10"/>
      <c r="AT121" s="13"/>
      <c r="AU121" s="13"/>
      <c r="AV121" s="183" t="s">
        <v>596</v>
      </c>
    </row>
    <row r="122" spans="2:48" ht="24.5" customHeight="1">
      <c r="B122" s="10">
        <v>83</v>
      </c>
      <c r="C122" s="10">
        <v>90</v>
      </c>
      <c r="D122" s="2" t="s">
        <v>141</v>
      </c>
      <c r="E122" s="2" t="s">
        <v>82</v>
      </c>
      <c r="F122" s="2"/>
      <c r="G122" s="2" t="s">
        <v>178</v>
      </c>
      <c r="H122" s="2"/>
      <c r="I122" s="2"/>
      <c r="J122" s="128" t="s">
        <v>575</v>
      </c>
      <c r="K122" s="344"/>
      <c r="L122" s="354"/>
      <c r="M122" s="140"/>
      <c r="N122" s="37" t="str" cm="1">
        <f t="array" ref="N122">ToCamel($J122,"","")</f>
        <v>logLiveInterview</v>
      </c>
      <c r="O122" s="140"/>
      <c r="P122" s="21"/>
      <c r="Q122" s="2"/>
      <c r="R122" s="21" t="s">
        <v>375</v>
      </c>
      <c r="S122" s="2" t="s">
        <v>490</v>
      </c>
      <c r="T122" s="2"/>
      <c r="U122" s="21" t="s">
        <v>472</v>
      </c>
      <c r="V122" s="27" t="str" cm="1">
        <f t="array" ref="V122">S122&amp;IF(ISBLANK(S122),ToCamel($U122,"",""),ToPascal($U122,"",""))</f>
        <v>updateLiveInterview</v>
      </c>
      <c r="W122" s="27" t="str" cm="1">
        <f t="array" ref="W122">IF(AB122="post","I" &amp;ToPascal(V122,"","")&amp;"Req","")</f>
        <v>IUpdateLiveInterviewReq</v>
      </c>
      <c r="X122" s="27" t="str" cm="1">
        <f t="array" ref="X122">"I" &amp;ToPascal(V122,"","")&amp;"Res"</f>
        <v>IUpdateLiveInterviewRes</v>
      </c>
      <c r="Y122" s="21" t="s">
        <v>525</v>
      </c>
      <c r="Z122" s="44" t="s">
        <v>586</v>
      </c>
      <c r="AA122" s="2" t="s">
        <v>219</v>
      </c>
      <c r="AB122" s="2" t="s">
        <v>222</v>
      </c>
      <c r="AC122" s="120" t="s">
        <v>229</v>
      </c>
      <c r="AD122" s="112"/>
      <c r="AE122" s="157"/>
      <c r="AF122" s="14"/>
      <c r="AG122" s="14"/>
      <c r="AH122" s="14"/>
      <c r="AI122" s="10"/>
      <c r="AJ122" s="195" t="s">
        <v>42</v>
      </c>
      <c r="AK122" s="14"/>
      <c r="AL122" s="14" t="s">
        <v>596</v>
      </c>
      <c r="AM122" s="58" t="s">
        <v>596</v>
      </c>
      <c r="AN122" s="126" t="s">
        <v>596</v>
      </c>
      <c r="AO122" s="3" t="s">
        <v>185</v>
      </c>
      <c r="AP122" s="126"/>
      <c r="AQ122" s="126"/>
      <c r="AR122" s="126"/>
      <c r="AS122" s="10"/>
      <c r="AT122" s="13"/>
      <c r="AU122" s="13"/>
      <c r="AV122" s="183" t="s">
        <v>596</v>
      </c>
    </row>
    <row r="123" spans="2:48" ht="24.5" customHeight="1">
      <c r="B123" s="10">
        <v>84</v>
      </c>
      <c r="C123" s="10">
        <v>91</v>
      </c>
      <c r="D123" s="2" t="s">
        <v>141</v>
      </c>
      <c r="E123" s="2" t="s">
        <v>82</v>
      </c>
      <c r="F123" s="2"/>
      <c r="G123" s="2" t="s">
        <v>171</v>
      </c>
      <c r="H123" s="2"/>
      <c r="I123" s="2"/>
      <c r="J123" s="128" t="s">
        <v>575</v>
      </c>
      <c r="K123" s="344"/>
      <c r="L123" s="354"/>
      <c r="M123" s="140"/>
      <c r="N123" s="37" t="str" cm="1">
        <f t="array" ref="N123">ToCamel($J123,"","")</f>
        <v>logLiveInterview</v>
      </c>
      <c r="O123" s="140"/>
      <c r="P123" s="21"/>
      <c r="Q123" s="2"/>
      <c r="R123" s="21" t="s">
        <v>387</v>
      </c>
      <c r="S123" s="2" t="s">
        <v>432</v>
      </c>
      <c r="T123" s="2"/>
      <c r="U123" s="21" t="s">
        <v>472</v>
      </c>
      <c r="V123" s="27" t="str" cm="1">
        <f t="array" ref="V123">S123&amp;IF(ISBLANK(S123),ToCamel($U123,"",""),ToPascal($U123,"",""))</f>
        <v>addLiveInterview</v>
      </c>
      <c r="W123" s="27" t="str" cm="1">
        <f t="array" ref="W123">IF(AB123="post","I" &amp;ToPascal(V123,"","")&amp;"Req","")</f>
        <v>IAddLiveInterviewReq</v>
      </c>
      <c r="X123" s="27" t="str" cm="1">
        <f t="array" ref="X123">"I" &amp;ToPascal(V123,"","")&amp;"Res"</f>
        <v>IAddLiveInterviewRes</v>
      </c>
      <c r="Y123" s="21" t="s">
        <v>526</v>
      </c>
      <c r="Z123" s="144" t="s">
        <v>587</v>
      </c>
      <c r="AA123" s="2" t="s">
        <v>218</v>
      </c>
      <c r="AB123" s="2" t="s">
        <v>222</v>
      </c>
      <c r="AC123" s="120" t="s">
        <v>229</v>
      </c>
      <c r="AD123" s="112"/>
      <c r="AE123" s="157"/>
      <c r="AF123" s="14"/>
      <c r="AG123" s="14"/>
      <c r="AH123" s="14"/>
      <c r="AI123" s="10"/>
      <c r="AJ123" s="195" t="s">
        <v>42</v>
      </c>
      <c r="AK123" s="14"/>
      <c r="AL123" s="14" t="s">
        <v>596</v>
      </c>
      <c r="AM123" s="58" t="s">
        <v>596</v>
      </c>
      <c r="AN123" s="126" t="s">
        <v>596</v>
      </c>
      <c r="AO123" s="3" t="s">
        <v>167</v>
      </c>
      <c r="AP123" s="126"/>
      <c r="AQ123" s="126"/>
      <c r="AR123" s="126"/>
      <c r="AS123" s="10"/>
      <c r="AT123" s="13"/>
      <c r="AU123" s="13"/>
      <c r="AV123" s="183" t="s">
        <v>596</v>
      </c>
    </row>
    <row r="124" spans="2:48" ht="17" customHeight="1">
      <c r="B124" s="10">
        <v>85</v>
      </c>
      <c r="C124" s="10">
        <v>92</v>
      </c>
      <c r="D124" s="2" t="s">
        <v>141</v>
      </c>
      <c r="E124" s="2" t="s">
        <v>82</v>
      </c>
      <c r="F124" s="2"/>
      <c r="G124" s="2" t="s">
        <v>177</v>
      </c>
      <c r="H124" s="2" t="s">
        <v>178</v>
      </c>
      <c r="I124" s="2"/>
      <c r="J124" s="128" t="s">
        <v>482</v>
      </c>
      <c r="K124" s="344"/>
      <c r="L124" s="354"/>
      <c r="M124" s="140"/>
      <c r="N124" s="37" t="str" cm="1">
        <f t="array" ref="N124">ToCamel($J124,"","")</f>
        <v>logLiveinterview</v>
      </c>
      <c r="O124" s="140"/>
      <c r="P124" s="21"/>
      <c r="Q124" s="2" t="s">
        <v>491</v>
      </c>
      <c r="R124" s="133" t="s">
        <v>388</v>
      </c>
      <c r="S124" s="2" t="s">
        <v>428</v>
      </c>
      <c r="T124" s="2"/>
      <c r="U124" s="21" t="s">
        <v>480</v>
      </c>
      <c r="V124" s="27" t="str" cm="1">
        <f t="array" ref="V124">S124&amp;IF(ISBLANK(S124),ToCamel($U124,"",""),ToPascal($U124,"",""))</f>
        <v>saveLiveInterviewDate</v>
      </c>
      <c r="W124" s="27" t="str" cm="1">
        <f t="array" ref="W124">"I" &amp;ToPascal(V124,"","")&amp;"Req"</f>
        <v>ISaveLiveInterviewDateReq</v>
      </c>
      <c r="X124" s="27" t="str" cm="1">
        <f t="array" ref="X124">"I" &amp;ToPascal(V124,"","")&amp;"Res"</f>
        <v>ISaveLiveInterviewDateRes</v>
      </c>
      <c r="Y124" s="21" t="s">
        <v>484</v>
      </c>
      <c r="Z124" s="2" t="s">
        <v>483</v>
      </c>
      <c r="AA124" s="2" t="s">
        <v>219</v>
      </c>
      <c r="AB124" s="2" t="s">
        <v>222</v>
      </c>
      <c r="AC124" s="120" t="s">
        <v>229</v>
      </c>
      <c r="AD124" s="120"/>
      <c r="AE124" s="157"/>
      <c r="AF124" s="14"/>
      <c r="AG124" s="14"/>
      <c r="AH124" s="14"/>
      <c r="AI124" s="10"/>
      <c r="AJ124" s="23"/>
      <c r="AL124" s="10"/>
      <c r="AM124" s="65"/>
      <c r="AN124" s="126" t="s">
        <v>596</v>
      </c>
      <c r="AO124" s="3" t="s">
        <v>176</v>
      </c>
      <c r="AP124" s="126"/>
      <c r="AQ124" s="126"/>
      <c r="AR124" s="126"/>
      <c r="AS124" s="10"/>
      <c r="AT124" s="13"/>
      <c r="AU124" s="13"/>
      <c r="AV124" s="14"/>
    </row>
    <row r="125" spans="2:48" ht="24.5" customHeight="1">
      <c r="B125" s="10">
        <v>86</v>
      </c>
      <c r="C125" s="10">
        <v>93</v>
      </c>
      <c r="D125" s="2" t="s">
        <v>141</v>
      </c>
      <c r="E125" s="2" t="s">
        <v>82</v>
      </c>
      <c r="F125" s="2"/>
      <c r="G125" s="2" t="s">
        <v>128</v>
      </c>
      <c r="H125" s="2"/>
      <c r="I125" s="2"/>
      <c r="J125" s="128" t="s">
        <v>575</v>
      </c>
      <c r="K125" s="344"/>
      <c r="L125" s="354"/>
      <c r="M125" s="140"/>
      <c r="N125" s="37" t="str" cm="1">
        <f t="array" ref="N125">ToCamel($J125,"","")</f>
        <v>logLiveInterview</v>
      </c>
      <c r="O125" s="140"/>
      <c r="P125" s="21"/>
      <c r="Q125" s="2"/>
      <c r="R125" s="21" t="s">
        <v>368</v>
      </c>
      <c r="S125" s="2" t="s">
        <v>474</v>
      </c>
      <c r="T125" s="2"/>
      <c r="U125" s="21" t="s">
        <v>479</v>
      </c>
      <c r="V125" s="27" t="str" cm="1">
        <f t="array" ref="V125">S125&amp;IF(ISBLANK(S125),ToCamel($U125,"",""),ToPascal($U125,"",""))</f>
        <v>cancelLiveInterviewForCompany</v>
      </c>
      <c r="W125" s="27" t="str" cm="1">
        <f t="array" ref="W125">IF(AB125="post","I" &amp;ToPascal(V125,"","")&amp;"Req","")</f>
        <v>ICancelLiveInterviewForCompanyReq</v>
      </c>
      <c r="X125" s="27" t="str" cm="1">
        <f t="array" ref="X125">"I" &amp;ToPascal(V125,"","")&amp;"Res"</f>
        <v>ICancelLiveInterviewForCompanyRes</v>
      </c>
      <c r="Y125" s="21" t="s">
        <v>527</v>
      </c>
      <c r="Z125" s="44" t="s">
        <v>586</v>
      </c>
      <c r="AA125" s="2" t="s">
        <v>219</v>
      </c>
      <c r="AB125" s="2" t="s">
        <v>222</v>
      </c>
      <c r="AC125" s="120" t="s">
        <v>229</v>
      </c>
      <c r="AD125" s="112"/>
      <c r="AE125" s="157"/>
      <c r="AF125" s="14"/>
      <c r="AG125" s="14"/>
      <c r="AH125" s="14"/>
      <c r="AI125" s="10"/>
      <c r="AJ125" s="195" t="s">
        <v>42</v>
      </c>
      <c r="AK125" s="14"/>
      <c r="AL125" s="14" t="s">
        <v>596</v>
      </c>
      <c r="AM125" s="58" t="s">
        <v>596</v>
      </c>
      <c r="AN125" s="126" t="s">
        <v>596</v>
      </c>
      <c r="AO125" s="3" t="s">
        <v>176</v>
      </c>
      <c r="AP125" s="126"/>
      <c r="AQ125" s="126"/>
      <c r="AR125" s="126"/>
      <c r="AS125" s="10"/>
      <c r="AT125" s="13"/>
      <c r="AU125" s="13"/>
      <c r="AV125" s="183" t="s">
        <v>596</v>
      </c>
    </row>
    <row r="126" spans="2:48" ht="24.5" customHeight="1">
      <c r="B126" s="10">
        <v>87</v>
      </c>
      <c r="C126" s="10">
        <v>94</v>
      </c>
      <c r="D126" s="2" t="s">
        <v>141</v>
      </c>
      <c r="E126" s="2" t="s">
        <v>82</v>
      </c>
      <c r="F126" s="2"/>
      <c r="G126" s="2" t="s">
        <v>172</v>
      </c>
      <c r="H126" s="2"/>
      <c r="I126" s="2"/>
      <c r="J126" s="128" t="s">
        <v>575</v>
      </c>
      <c r="K126" s="344"/>
      <c r="L126" s="354"/>
      <c r="M126" s="140"/>
      <c r="N126" s="37" t="str" cm="1">
        <f t="array" ref="N126">ToCamel($J126,"","")</f>
        <v>logLiveInterview</v>
      </c>
      <c r="O126" s="140"/>
      <c r="P126" s="21"/>
      <c r="Q126" s="2"/>
      <c r="R126" s="21" t="s">
        <v>369</v>
      </c>
      <c r="S126" s="2" t="s">
        <v>475</v>
      </c>
      <c r="T126" s="2"/>
      <c r="U126" s="21" t="s">
        <v>479</v>
      </c>
      <c r="V126" s="27" t="str" cm="1">
        <f t="array" ref="V126">S126&amp;IF(ISBLANK(S126),ToCamel($U126,"",""),ToPascal($U126,"",""))</f>
        <v>startLiveInterviewForCompany</v>
      </c>
      <c r="W126" s="27" t="str" cm="1">
        <f t="array" ref="W126">IF(AB126="post","I" &amp;ToPascal(V126,"","")&amp;"Req","")</f>
        <v>IStartLiveInterviewForCompanyReq</v>
      </c>
      <c r="X126" s="27" t="str" cm="1">
        <f t="array" ref="X126">"I" &amp;ToPascal(V126,"","")&amp;"Res"</f>
        <v>IStartLiveInterviewForCompanyRes</v>
      </c>
      <c r="Y126" s="21" t="s">
        <v>528</v>
      </c>
      <c r="Z126" s="44" t="s">
        <v>586</v>
      </c>
      <c r="AA126" s="2" t="s">
        <v>219</v>
      </c>
      <c r="AB126" s="2" t="s">
        <v>222</v>
      </c>
      <c r="AC126" s="120" t="s">
        <v>229</v>
      </c>
      <c r="AD126" s="112"/>
      <c r="AE126" s="157"/>
      <c r="AF126" s="14"/>
      <c r="AG126" s="14"/>
      <c r="AH126" s="14"/>
      <c r="AI126" s="10"/>
      <c r="AJ126" s="195" t="s">
        <v>42</v>
      </c>
      <c r="AK126" s="14"/>
      <c r="AL126" s="14" t="s">
        <v>596</v>
      </c>
      <c r="AM126" s="58" t="s">
        <v>596</v>
      </c>
      <c r="AN126" s="126" t="s">
        <v>596</v>
      </c>
      <c r="AO126" s="3" t="s">
        <v>179</v>
      </c>
      <c r="AP126" s="126"/>
      <c r="AQ126" s="126"/>
      <c r="AR126" s="126"/>
      <c r="AS126" s="10"/>
      <c r="AT126" s="13"/>
      <c r="AU126" s="13"/>
      <c r="AV126" s="183" t="s">
        <v>596</v>
      </c>
    </row>
    <row r="127" spans="2:48" ht="17" customHeight="1">
      <c r="B127" s="10">
        <v>88</v>
      </c>
      <c r="C127" s="61">
        <v>95</v>
      </c>
      <c r="D127" s="134" t="s">
        <v>141</v>
      </c>
      <c r="E127" s="2" t="s">
        <v>82</v>
      </c>
      <c r="F127" s="2"/>
      <c r="G127" s="2" t="s">
        <v>173</v>
      </c>
      <c r="H127" s="2"/>
      <c r="I127" s="2"/>
      <c r="J127" s="128" t="s">
        <v>482</v>
      </c>
      <c r="K127" s="344"/>
      <c r="L127" s="354"/>
      <c r="M127" s="140"/>
      <c r="N127" s="37" t="str" cm="1">
        <f t="array" ref="N127">ToCamel($J127,"","")</f>
        <v>logLiveinterview</v>
      </c>
      <c r="O127" s="140"/>
      <c r="P127" s="21"/>
      <c r="Q127" s="134" t="s">
        <v>491</v>
      </c>
      <c r="R127" s="154" t="s">
        <v>370</v>
      </c>
      <c r="S127" s="134"/>
      <c r="T127" s="2"/>
      <c r="U127" s="21" t="s">
        <v>370</v>
      </c>
      <c r="V127" s="27" t="str" cm="1">
        <f t="array" ref="V127">S127&amp;IF(ISBLANK(S127),ToCamel($U127,"",""),ToPascal($U127,"",""))</f>
        <v>라이브인터뷰가이드</v>
      </c>
      <c r="W127" s="27" t="str" cm="1">
        <f t="array" ref="W127">"I" &amp;ToPascal(V127,"","")&amp;"Req"</f>
        <v>I라이브인터뷰가이드Req</v>
      </c>
      <c r="X127" s="27" t="str" cm="1">
        <f t="array" ref="X127">"I" &amp;ToPascal(V127,"","")&amp;"Res"</f>
        <v>I라이브인터뷰가이드Res</v>
      </c>
      <c r="Y127" s="132"/>
      <c r="Z127" s="134"/>
      <c r="AA127" s="134"/>
      <c r="AB127" s="134"/>
      <c r="AC127" s="109"/>
      <c r="AD127" s="130"/>
      <c r="AE127" s="159"/>
      <c r="AF127" s="14"/>
      <c r="AG127" s="14"/>
      <c r="AH127" s="14"/>
      <c r="AI127" s="10"/>
      <c r="AJ127" s="23"/>
      <c r="AL127" s="61"/>
      <c r="AM127" s="71"/>
      <c r="AN127" s="126" t="s">
        <v>596</v>
      </c>
      <c r="AO127" s="51" t="s">
        <v>180</v>
      </c>
      <c r="AP127" s="126"/>
      <c r="AQ127" s="126"/>
      <c r="AR127" s="126"/>
      <c r="AS127" s="61"/>
      <c r="AT127" s="62"/>
      <c r="AU127" s="62"/>
      <c r="AV127" s="91"/>
    </row>
    <row r="128" spans="2:48" s="185" customFormat="1" ht="24.5" customHeight="1" thickBot="1">
      <c r="B128" s="10">
        <v>89</v>
      </c>
      <c r="C128" s="66">
        <v>96</v>
      </c>
      <c r="D128" s="155" t="s">
        <v>141</v>
      </c>
      <c r="E128" s="2" t="s">
        <v>82</v>
      </c>
      <c r="F128" s="2"/>
      <c r="G128" s="2" t="s">
        <v>174</v>
      </c>
      <c r="H128" s="2"/>
      <c r="I128" s="2"/>
      <c r="J128" s="186" t="s">
        <v>575</v>
      </c>
      <c r="K128" s="352"/>
      <c r="L128" s="355"/>
      <c r="M128" s="139"/>
      <c r="N128" s="37" t="str" cm="1">
        <f t="array" ref="N128">ToCamel($J128,"","")</f>
        <v>logLiveInterview</v>
      </c>
      <c r="O128" s="139"/>
      <c r="P128" s="21"/>
      <c r="Q128" s="155"/>
      <c r="R128" s="103" t="s">
        <v>371</v>
      </c>
      <c r="S128" s="155" t="s">
        <v>477</v>
      </c>
      <c r="T128" s="2"/>
      <c r="U128" s="21" t="s">
        <v>479</v>
      </c>
      <c r="V128" s="27" t="str" cm="1">
        <f t="array" ref="V128">S128&amp;IF(ISBLANK(S128),ToCamel($U128,"",""),ToPascal($U128,"",""))</f>
        <v>ingLiveInterviewForCompany</v>
      </c>
      <c r="W128" s="27" t="str" cm="1">
        <f t="array" ref="W128">IF(AB128="post","I" &amp;ToPascal(V128,"","")&amp;"Req","")</f>
        <v>IIngLiveInterviewForCompanyReq</v>
      </c>
      <c r="X128" s="27" t="str" cm="1">
        <f t="array" ref="X128">"I" &amp;ToPascal(V128,"","")&amp;"Res"</f>
        <v>IIngLiveInterviewForCompanyRes</v>
      </c>
      <c r="Y128" s="103" t="s">
        <v>529</v>
      </c>
      <c r="Z128" s="156" t="s">
        <v>586</v>
      </c>
      <c r="AA128" s="68" t="s">
        <v>219</v>
      </c>
      <c r="AB128" s="68" t="s">
        <v>222</v>
      </c>
      <c r="AC128" s="120" t="s">
        <v>229</v>
      </c>
      <c r="AD128" s="116"/>
      <c r="AE128" s="160"/>
      <c r="AF128" s="14"/>
      <c r="AG128" s="14"/>
      <c r="AH128" s="14"/>
      <c r="AI128" s="14"/>
      <c r="AJ128" s="198" t="s">
        <v>42</v>
      </c>
      <c r="AK128" s="92"/>
      <c r="AL128" s="92" t="s">
        <v>596</v>
      </c>
      <c r="AM128" s="58" t="s">
        <v>596</v>
      </c>
      <c r="AN128" s="126" t="s">
        <v>596</v>
      </c>
      <c r="AO128" s="52" t="s">
        <v>181</v>
      </c>
      <c r="AP128" s="126"/>
      <c r="AQ128" s="126"/>
      <c r="AR128" s="126"/>
      <c r="AS128" s="66"/>
      <c r="AT128" s="67"/>
      <c r="AU128" s="67"/>
      <c r="AV128" s="188" t="s">
        <v>596</v>
      </c>
    </row>
    <row r="129" spans="1:48" ht="24.5" customHeight="1" thickTop="1" thickBot="1">
      <c r="B129" s="10">
        <v>50</v>
      </c>
      <c r="C129" s="70">
        <v>97</v>
      </c>
      <c r="D129" s="136" t="s">
        <v>90</v>
      </c>
      <c r="E129" s="2" t="s">
        <v>93</v>
      </c>
      <c r="F129" s="2"/>
      <c r="G129" s="2" t="s">
        <v>61</v>
      </c>
      <c r="H129" s="2"/>
      <c r="I129" s="2"/>
      <c r="J129" s="127" t="s">
        <v>412</v>
      </c>
      <c r="K129" s="344" t="s">
        <v>93</v>
      </c>
      <c r="L129" s="395" t="s">
        <v>495</v>
      </c>
      <c r="M129" s="37" t="str" cm="1">
        <f t="array" ref="M129">ToPascal($J129,"","") &amp;"Contoller.ts"</f>
        <v>ConfigContoller.ts</v>
      </c>
      <c r="N129" s="37" t="str" cm="1">
        <f t="array" ref="N129">ToCamel($J129,"","")</f>
        <v>config</v>
      </c>
      <c r="O129" s="37" t="str" cm="1">
        <f t="array" ref="O129">ToCamel($J129,"","") &amp;"Repo.ts"</f>
        <v>configRepo.ts</v>
      </c>
      <c r="P129" s="21"/>
      <c r="Q129" s="136"/>
      <c r="R129" s="154" t="s">
        <v>391</v>
      </c>
      <c r="S129" s="136" t="s">
        <v>223</v>
      </c>
      <c r="T129" s="2"/>
      <c r="U129" s="21" t="s">
        <v>412</v>
      </c>
      <c r="V129" s="27" t="str" cm="1">
        <f t="array" ref="V129">S129&amp;IF(ISBLANK(S129),ToCamel($U129,"",""),ToPascal($U129,"",""))</f>
        <v>getConfig</v>
      </c>
      <c r="W129" s="27" t="str" cm="1">
        <f t="array" ref="W129">IF(AB129="post","I" &amp;ToPascal(V129,"","")&amp;"Req","")</f>
        <v/>
      </c>
      <c r="X129" s="27" t="str" cm="1">
        <f t="array" ref="X129">"I" &amp;ToPascal(V129,"","")&amp;"Res"</f>
        <v>IGetConfigRes</v>
      </c>
      <c r="Y129" s="154" t="s">
        <v>512</v>
      </c>
      <c r="Z129" s="140"/>
      <c r="AA129" s="145" t="s">
        <v>217</v>
      </c>
      <c r="AB129" s="145" t="s">
        <v>223</v>
      </c>
      <c r="AC129" s="120" t="s">
        <v>229</v>
      </c>
      <c r="AD129" s="72" t="s">
        <v>882</v>
      </c>
      <c r="AE129" s="162"/>
      <c r="AF129" s="348" t="s">
        <v>880</v>
      </c>
      <c r="AG129" s="14"/>
      <c r="AH129" s="14"/>
      <c r="AI129" s="10"/>
      <c r="AJ129" s="180" t="s">
        <v>42</v>
      </c>
      <c r="AK129" s="182"/>
      <c r="AL129" s="100" t="s">
        <v>596</v>
      </c>
      <c r="AM129" s="58" t="s">
        <v>596</v>
      </c>
      <c r="AN129" s="126" t="s">
        <v>596</v>
      </c>
      <c r="AO129" s="69" t="s">
        <v>133</v>
      </c>
      <c r="AP129" s="126"/>
      <c r="AQ129" s="126"/>
      <c r="AR129" s="126"/>
      <c r="AS129" s="70"/>
      <c r="AT129" s="71"/>
      <c r="AU129" s="71"/>
      <c r="AV129" s="206" t="s">
        <v>596</v>
      </c>
    </row>
    <row r="130" spans="1:48" s="185" customFormat="1" ht="24.5" customHeight="1" thickTop="1" thickBot="1">
      <c r="B130" s="10">
        <v>51</v>
      </c>
      <c r="C130" s="66">
        <v>98</v>
      </c>
      <c r="D130" s="155" t="s">
        <v>90</v>
      </c>
      <c r="E130" s="2" t="s">
        <v>93</v>
      </c>
      <c r="F130" s="2"/>
      <c r="G130" s="2" t="s">
        <v>125</v>
      </c>
      <c r="H130" s="2"/>
      <c r="I130" s="2"/>
      <c r="J130" s="186" t="s">
        <v>412</v>
      </c>
      <c r="K130" s="352"/>
      <c r="L130" s="415"/>
      <c r="M130" s="148"/>
      <c r="N130" s="37" t="str" cm="1">
        <f t="array" ref="N130">ToCamel($J130,"","")</f>
        <v>config</v>
      </c>
      <c r="O130" s="148"/>
      <c r="P130" s="21"/>
      <c r="Q130" s="155"/>
      <c r="R130" s="103" t="s">
        <v>392</v>
      </c>
      <c r="S130" s="155" t="s">
        <v>428</v>
      </c>
      <c r="T130" s="2"/>
      <c r="U130" s="21" t="s">
        <v>412</v>
      </c>
      <c r="V130" s="27" t="str" cm="1">
        <f t="array" ref="V130">S130&amp;IF(ISBLANK(S130),ToCamel($U130,"",""),ToPascal($U130,"",""))</f>
        <v>saveConfig</v>
      </c>
      <c r="W130" s="27" t="str" cm="1">
        <f t="array" ref="W130">IF(AB130="post","I" &amp;ToPascal(V130,"","")&amp;"Req","")</f>
        <v>ISaveConfigReq</v>
      </c>
      <c r="X130" s="27" t="str" cm="1">
        <f t="array" ref="X130">"I" &amp;ToPascal(V130,"","")&amp;"Res"</f>
        <v>ISaveConfigRes</v>
      </c>
      <c r="Y130" s="103" t="s">
        <v>513</v>
      </c>
      <c r="Z130" s="72" t="s">
        <v>882</v>
      </c>
      <c r="AA130" s="68" t="s">
        <v>219</v>
      </c>
      <c r="AB130" s="68" t="s">
        <v>222</v>
      </c>
      <c r="AC130" s="120" t="s">
        <v>229</v>
      </c>
      <c r="AD130" s="279" t="s">
        <v>800</v>
      </c>
      <c r="AE130" s="160"/>
      <c r="AF130" s="347"/>
      <c r="AG130" s="229" t="s">
        <v>881</v>
      </c>
      <c r="AH130" s="14"/>
      <c r="AI130" s="14"/>
      <c r="AJ130" s="198" t="s">
        <v>42</v>
      </c>
      <c r="AK130" s="182"/>
      <c r="AL130" s="88" t="s">
        <v>596</v>
      </c>
      <c r="AM130" s="58" t="s">
        <v>596</v>
      </c>
      <c r="AN130" s="126" t="s">
        <v>596</v>
      </c>
      <c r="AO130" s="52" t="s">
        <v>133</v>
      </c>
      <c r="AP130" s="126"/>
      <c r="AQ130" s="126"/>
      <c r="AR130" s="126"/>
      <c r="AS130" s="66"/>
      <c r="AT130" s="67"/>
      <c r="AU130" s="67"/>
      <c r="AV130" s="188" t="s">
        <v>596</v>
      </c>
    </row>
    <row r="131" spans="1:48" s="185" customFormat="1" ht="24.5" customHeight="1" thickTop="1" thickBot="1">
      <c r="A131" s="14"/>
      <c r="B131" s="10">
        <v>35</v>
      </c>
      <c r="C131" s="10"/>
      <c r="D131" s="2" t="s">
        <v>90</v>
      </c>
      <c r="E131" s="2" t="s">
        <v>202</v>
      </c>
      <c r="F131" s="2"/>
      <c r="G131" s="2" t="s">
        <v>92</v>
      </c>
      <c r="H131" s="2" t="s">
        <v>103</v>
      </c>
      <c r="I131" s="2" t="s">
        <v>104</v>
      </c>
      <c r="J131" s="186" t="s">
        <v>751</v>
      </c>
      <c r="K131" s="343" t="s">
        <v>750</v>
      </c>
      <c r="L131" s="107"/>
      <c r="M131" s="37" t="str" cm="1">
        <f t="array" ref="M131">ToPascal($J131,"","") &amp;"Contoller.ts"</f>
        <v>UploadContoller.ts</v>
      </c>
      <c r="N131" s="231" t="str" cm="1">
        <f t="array" ref="N131">ToCamel($J131,"","")</f>
        <v>upload</v>
      </c>
      <c r="O131" s="37" t="str" cm="1">
        <f t="array" ref="O131">ToCamel($J131,"","") &amp;"Repo.ts"</f>
        <v>uploadRepo.ts</v>
      </c>
      <c r="P131" s="21"/>
      <c r="Q131" s="2"/>
      <c r="R131" s="103" t="s">
        <v>772</v>
      </c>
      <c r="S131" s="2" t="s">
        <v>753</v>
      </c>
      <c r="T131" s="2"/>
      <c r="U131" s="21" t="s">
        <v>436</v>
      </c>
      <c r="V131" s="21" t="str" cm="1">
        <f t="array" ref="V131">S131&amp;IF(ISBLANK(S131),ToCamel($U131,"",""),ToPascal($U131,"",""))</f>
        <v>uploadUserProfile</v>
      </c>
      <c r="W131" s="21" t="str" cm="1">
        <f t="array" ref="W131">IF(AB131="post","I" &amp;ToPascal(V131,"","")&amp;"Req","")</f>
        <v>IUploadUserProfileReq</v>
      </c>
      <c r="X131" s="21" t="str" cm="1">
        <f t="array" ref="X131">"I" &amp;ToPascal(V131,"","")&amp;"Res"</f>
        <v>IUploadUserProfileRes</v>
      </c>
      <c r="Y131" s="21" t="s">
        <v>755</v>
      </c>
      <c r="Z131" s="144"/>
      <c r="AA131" s="2" t="s">
        <v>291</v>
      </c>
      <c r="AB131" s="2" t="s">
        <v>285</v>
      </c>
      <c r="AC131" s="109" t="s">
        <v>779</v>
      </c>
      <c r="AD131" s="157" t="s">
        <v>745</v>
      </c>
      <c r="AE131" s="232" t="s">
        <v>761</v>
      </c>
      <c r="AF131" s="14" t="s">
        <v>42</v>
      </c>
      <c r="AG131" s="14"/>
      <c r="AH131" s="179"/>
      <c r="AI131" s="179"/>
      <c r="AJ131" s="180" t="s">
        <v>42</v>
      </c>
      <c r="AK131" s="182"/>
      <c r="AL131" s="49" t="s">
        <v>596</v>
      </c>
      <c r="AM131" s="49" t="s">
        <v>596</v>
      </c>
      <c r="AN131" s="126" t="s">
        <v>596</v>
      </c>
      <c r="AO131" s="3" t="s">
        <v>94</v>
      </c>
      <c r="AP131" s="126"/>
      <c r="AQ131" s="223" t="s">
        <v>764</v>
      </c>
      <c r="AR131" s="126" t="s">
        <v>758</v>
      </c>
      <c r="AS131" s="10"/>
      <c r="AT131" s="13"/>
      <c r="AU131" s="13"/>
      <c r="AV131" s="183" t="s">
        <v>596</v>
      </c>
    </row>
    <row r="132" spans="1:48" s="185" customFormat="1" ht="24.5" customHeight="1" thickTop="1" thickBot="1">
      <c r="A132" s="14"/>
      <c r="B132" s="10">
        <v>111</v>
      </c>
      <c r="C132" s="10"/>
      <c r="D132" s="2" t="s">
        <v>141</v>
      </c>
      <c r="E132" s="2" t="s">
        <v>202</v>
      </c>
      <c r="F132" s="2" t="s">
        <v>92</v>
      </c>
      <c r="G132" s="2" t="s">
        <v>203</v>
      </c>
      <c r="H132" s="2" t="s">
        <v>202</v>
      </c>
      <c r="I132" s="2"/>
      <c r="J132" s="186" t="s">
        <v>751</v>
      </c>
      <c r="K132" s="344"/>
      <c r="L132" s="107"/>
      <c r="M132" s="106"/>
      <c r="N132" s="231" t="str" cm="1">
        <f t="array" ref="N132">ToCamel($J132,"","")</f>
        <v>upload</v>
      </c>
      <c r="O132" s="106"/>
      <c r="P132" s="21"/>
      <c r="Q132" s="98"/>
      <c r="R132" s="21" t="s">
        <v>773</v>
      </c>
      <c r="S132" s="2" t="s">
        <v>753</v>
      </c>
      <c r="T132" s="2"/>
      <c r="U132" s="21" t="s">
        <v>670</v>
      </c>
      <c r="V132" s="21" t="str" cm="1">
        <f t="array" ref="V132">S132&amp;IF(ISBLANK(S132),ToCamel($U132,"",""),ToPascal($U132,"",""))</f>
        <v>uploadCompanyLogo</v>
      </c>
      <c r="W132" s="21" t="str" cm="1">
        <f t="array" ref="W132">IF(AB132="post","I" &amp;ToPascal(V132,"","")&amp;"Req","")</f>
        <v>IUploadCompanyLogoReq</v>
      </c>
      <c r="X132" s="21" t="str" cm="1">
        <f t="array" ref="X132">"I" &amp;ToPascal(V132,"","")&amp;"Res"</f>
        <v>IUploadCompanyLogoRes</v>
      </c>
      <c r="Y132" s="21" t="s">
        <v>754</v>
      </c>
      <c r="Z132" s="44"/>
      <c r="AA132" s="2" t="s">
        <v>291</v>
      </c>
      <c r="AB132" s="2" t="s">
        <v>285</v>
      </c>
      <c r="AC132" s="109" t="s">
        <v>779</v>
      </c>
      <c r="AD132" s="157" t="s">
        <v>745</v>
      </c>
      <c r="AE132" s="232" t="s">
        <v>760</v>
      </c>
      <c r="AF132" s="14"/>
      <c r="AG132" s="14"/>
      <c r="AH132" s="179"/>
      <c r="AI132" s="179"/>
      <c r="AJ132" s="181" t="s">
        <v>42</v>
      </c>
      <c r="AK132" s="182"/>
      <c r="AL132" s="49" t="s">
        <v>596</v>
      </c>
      <c r="AM132" s="49" t="s">
        <v>596</v>
      </c>
      <c r="AN132" s="126" t="s">
        <v>596</v>
      </c>
      <c r="AO132" s="3" t="s">
        <v>107</v>
      </c>
      <c r="AP132" s="126"/>
      <c r="AQ132" s="223" t="s">
        <v>765</v>
      </c>
      <c r="AR132" s="126"/>
      <c r="AS132" s="10"/>
      <c r="AT132" s="13"/>
      <c r="AU132" s="13"/>
      <c r="AV132" s="183" t="s">
        <v>596</v>
      </c>
    </row>
    <row r="133" spans="1:48" ht="24.5" customHeight="1" thickTop="1" thickBot="1">
      <c r="A133" s="14"/>
      <c r="B133" s="10">
        <v>37</v>
      </c>
      <c r="C133" s="10"/>
      <c r="D133" s="2" t="s">
        <v>90</v>
      </c>
      <c r="E133" s="2" t="s">
        <v>202</v>
      </c>
      <c r="F133" s="2"/>
      <c r="G133" s="2" t="s">
        <v>92</v>
      </c>
      <c r="H133" s="2" t="s">
        <v>60</v>
      </c>
      <c r="I133" s="2" t="s">
        <v>105</v>
      </c>
      <c r="J133" s="186" t="s">
        <v>751</v>
      </c>
      <c r="K133" s="344"/>
      <c r="L133" s="107"/>
      <c r="M133" s="144"/>
      <c r="N133" s="231" t="str" cm="1">
        <f t="array" ref="N133">ToCamel($J133,"","")</f>
        <v>upload</v>
      </c>
      <c r="O133" s="144"/>
      <c r="P133" s="21"/>
      <c r="Q133" s="2"/>
      <c r="R133" s="21" t="s">
        <v>774</v>
      </c>
      <c r="S133" s="2" t="s">
        <v>753</v>
      </c>
      <c r="T133" s="2"/>
      <c r="U133" s="21" t="s">
        <v>752</v>
      </c>
      <c r="V133" s="21" t="str" cm="1">
        <f t="array" ref="V133">S133&amp;IF(ISBLANK(S133),ToCamel($U133,"",""),ToPascal($U133,"",""))</f>
        <v>uploadDocument</v>
      </c>
      <c r="W133" s="21" t="str" cm="1">
        <f t="array" ref="W133">IF(AB133="post","I" &amp;ToPascal(V133,"","")&amp;"Req","")</f>
        <v>IUploadDocumentReq</v>
      </c>
      <c r="X133" s="21" t="str" cm="1">
        <f t="array" ref="X133">"I" &amp;ToPascal(V133,"","")&amp;"Res"</f>
        <v>IUploadDocumentRes</v>
      </c>
      <c r="Y133" s="21" t="s">
        <v>766</v>
      </c>
      <c r="Z133" s="44"/>
      <c r="AA133" s="2" t="s">
        <v>291</v>
      </c>
      <c r="AB133" s="2" t="s">
        <v>285</v>
      </c>
      <c r="AC133" s="109" t="s">
        <v>779</v>
      </c>
      <c r="AD133" s="157" t="s">
        <v>745</v>
      </c>
      <c r="AE133" s="232" t="s">
        <v>759</v>
      </c>
      <c r="AF133" s="14" t="s">
        <v>42</v>
      </c>
      <c r="AG133" s="14"/>
      <c r="AH133" s="14"/>
      <c r="AI133" s="10"/>
      <c r="AJ133" s="14" t="s">
        <v>42</v>
      </c>
      <c r="AK133" s="182"/>
      <c r="AL133" s="49" t="s">
        <v>596</v>
      </c>
      <c r="AM133" s="58" t="s">
        <v>596</v>
      </c>
      <c r="AN133" s="126" t="s">
        <v>596</v>
      </c>
      <c r="AO133" s="3" t="s">
        <v>94</v>
      </c>
      <c r="AP133" s="126"/>
      <c r="AQ133" s="223" t="s">
        <v>778</v>
      </c>
      <c r="AR133" s="126"/>
      <c r="AS133" s="10"/>
      <c r="AT133" s="13"/>
      <c r="AU133" s="13"/>
      <c r="AV133" s="183" t="s">
        <v>596</v>
      </c>
    </row>
    <row r="134" spans="1:48" ht="24.5" customHeight="1" thickTop="1" thickBot="1">
      <c r="A134" s="14"/>
      <c r="B134" s="10">
        <v>37</v>
      </c>
      <c r="C134" s="10"/>
      <c r="D134" s="2" t="s">
        <v>90</v>
      </c>
      <c r="E134" s="2" t="s">
        <v>202</v>
      </c>
      <c r="F134" s="2"/>
      <c r="G134" s="2" t="s">
        <v>92</v>
      </c>
      <c r="H134" s="2" t="s">
        <v>60</v>
      </c>
      <c r="I134" s="2" t="s">
        <v>105</v>
      </c>
      <c r="J134" s="186" t="s">
        <v>751</v>
      </c>
      <c r="K134" s="344"/>
      <c r="L134" s="107"/>
      <c r="M134" s="144"/>
      <c r="N134" s="231" t="str" cm="1">
        <f t="array" ref="N134">ToCamel($J134,"","")</f>
        <v>upload</v>
      </c>
      <c r="O134" s="144"/>
      <c r="P134" s="21"/>
      <c r="Q134" s="2"/>
      <c r="R134" s="21" t="s">
        <v>806</v>
      </c>
      <c r="S134" s="2" t="s">
        <v>753</v>
      </c>
      <c r="T134" s="2"/>
      <c r="U134" s="21" t="s">
        <v>807</v>
      </c>
      <c r="V134" s="21" t="str" cm="1">
        <f t="array" ref="V134">S134&amp;IF(ISBLANK(S134),ToCamel($U134,"",""),ToPascal($U134,"",""))</f>
        <v>uploadInterview</v>
      </c>
      <c r="W134" s="21" t="str" cm="1">
        <f t="array" ref="W134">IF(AB134="post","I" &amp;ToPascal(V134,"","")&amp;"Req","")</f>
        <v>IUploadInterviewReq</v>
      </c>
      <c r="X134" s="21" t="str" cm="1">
        <f t="array" ref="X134">"I" &amp;ToPascal(V134,"","")&amp;"Res"</f>
        <v>IUploadInterviewRes</v>
      </c>
      <c r="Y134" s="21" t="s">
        <v>808</v>
      </c>
      <c r="Z134" s="44"/>
      <c r="AA134" s="2" t="s">
        <v>291</v>
      </c>
      <c r="AB134" s="2" t="s">
        <v>285</v>
      </c>
      <c r="AC134" s="109" t="s">
        <v>779</v>
      </c>
      <c r="AD134" s="157" t="s">
        <v>745</v>
      </c>
      <c r="AE134" s="232" t="s">
        <v>809</v>
      </c>
      <c r="AF134" s="14" t="s">
        <v>42</v>
      </c>
      <c r="AG134" s="14"/>
      <c r="AH134" s="14"/>
      <c r="AI134" s="10"/>
      <c r="AJ134" s="14" t="s">
        <v>42</v>
      </c>
      <c r="AK134" s="182"/>
      <c r="AL134" s="49" t="s">
        <v>596</v>
      </c>
      <c r="AM134" s="58" t="s">
        <v>596</v>
      </c>
      <c r="AN134" s="126" t="s">
        <v>596</v>
      </c>
      <c r="AO134" s="3" t="s">
        <v>94</v>
      </c>
      <c r="AP134" s="126"/>
      <c r="AQ134" s="223" t="s">
        <v>815</v>
      </c>
      <c r="AR134" s="126"/>
      <c r="AS134" s="10"/>
      <c r="AT134" s="13"/>
      <c r="AU134" s="13"/>
      <c r="AV134" s="183" t="s">
        <v>596</v>
      </c>
    </row>
    <row r="135" spans="1:48" ht="15" thickTop="1"/>
    <row r="140" spans="1:48">
      <c r="Z140" s="233"/>
    </row>
    <row r="141" spans="1:48">
      <c r="Z141" s="233"/>
    </row>
    <row r="142" spans="1:48">
      <c r="Z142" s="233"/>
    </row>
    <row r="143" spans="1:48">
      <c r="Z143" s="233"/>
    </row>
  </sheetData>
  <mergeCells count="179">
    <mergeCell ref="AF129:AF130"/>
    <mergeCell ref="K129:K130"/>
    <mergeCell ref="K17:K20"/>
    <mergeCell ref="U24:U25"/>
    <mergeCell ref="U52:U54"/>
    <mergeCell ref="R52:R54"/>
    <mergeCell ref="T107:T108"/>
    <mergeCell ref="T109:T110"/>
    <mergeCell ref="L43:L47"/>
    <mergeCell ref="L84:L86"/>
    <mergeCell ref="S17:S18"/>
    <mergeCell ref="S19:S20"/>
    <mergeCell ref="R109:R110"/>
    <mergeCell ref="S112:S113"/>
    <mergeCell ref="S100:S101"/>
    <mergeCell ref="K48:K64"/>
    <mergeCell ref="L48:L64"/>
    <mergeCell ref="L129:L130"/>
    <mergeCell ref="U17:U18"/>
    <mergeCell ref="R17:R18"/>
    <mergeCell ref="R19:R20"/>
    <mergeCell ref="L17:L20"/>
    <mergeCell ref="R114:R115"/>
    <mergeCell ref="L87:L94"/>
    <mergeCell ref="K3:K16"/>
    <mergeCell ref="K87:K94"/>
    <mergeCell ref="L3:L16"/>
    <mergeCell ref="T17:T18"/>
    <mergeCell ref="T19:T20"/>
    <mergeCell ref="U19:U20"/>
    <mergeCell ref="S114:S115"/>
    <mergeCell ref="Z114:Z115"/>
    <mergeCell ref="X114:X115"/>
    <mergeCell ref="Y114:Y115"/>
    <mergeCell ref="Y112:Y113"/>
    <mergeCell ref="U103:U104"/>
    <mergeCell ref="K112:K128"/>
    <mergeCell ref="R112:R113"/>
    <mergeCell ref="L75:L83"/>
    <mergeCell ref="S27:S28"/>
    <mergeCell ref="T27:T28"/>
    <mergeCell ref="T103:T104"/>
    <mergeCell ref="T105:T106"/>
    <mergeCell ref="L103:L111"/>
    <mergeCell ref="R100:R101"/>
    <mergeCell ref="R103:R104"/>
    <mergeCell ref="R105:R106"/>
    <mergeCell ref="R107:R108"/>
    <mergeCell ref="V52:V54"/>
    <mergeCell ref="W21:W22"/>
    <mergeCell ref="AF95:AF102"/>
    <mergeCell ref="AA112:AA113"/>
    <mergeCell ref="AA100:AA101"/>
    <mergeCell ref="V103:V104"/>
    <mergeCell ref="W19:W20"/>
    <mergeCell ref="V17:V18"/>
    <mergeCell ref="Z17:Z18"/>
    <mergeCell ref="W17:W18"/>
    <mergeCell ref="Z19:Z20"/>
    <mergeCell ref="X17:X18"/>
    <mergeCell ref="V19:V20"/>
    <mergeCell ref="AA105:AA106"/>
    <mergeCell ref="X105:X106"/>
    <mergeCell ref="X107:X108"/>
    <mergeCell ref="X109:X110"/>
    <mergeCell ref="X19:X20"/>
    <mergeCell ref="AA52:AA54"/>
    <mergeCell ref="AC19:AC20"/>
    <mergeCell ref="AC114:AC115"/>
    <mergeCell ref="AC112:AC113"/>
    <mergeCell ref="AB112:AB113"/>
    <mergeCell ref="AC107:AC108"/>
    <mergeCell ref="T100:T101"/>
    <mergeCell ref="L27:L42"/>
    <mergeCell ref="Z27:Z28"/>
    <mergeCell ref="X24:X25"/>
    <mergeCell ref="X52:X54"/>
    <mergeCell ref="V24:V25"/>
    <mergeCell ref="Z24:Z25"/>
    <mergeCell ref="AA24:AA25"/>
    <mergeCell ref="R27:R28"/>
    <mergeCell ref="X100:X101"/>
    <mergeCell ref="Z52:Z54"/>
    <mergeCell ref="V27:V28"/>
    <mergeCell ref="P24:P25"/>
    <mergeCell ref="S52:S54"/>
    <mergeCell ref="T52:T54"/>
    <mergeCell ref="L21:L25"/>
    <mergeCell ref="AB109:AB110"/>
    <mergeCell ref="AC109:AC110"/>
    <mergeCell ref="AC105:AC106"/>
    <mergeCell ref="AB105:AB106"/>
    <mergeCell ref="AK24:AK25"/>
    <mergeCell ref="K95:K102"/>
    <mergeCell ref="K103:K111"/>
    <mergeCell ref="U27:U28"/>
    <mergeCell ref="AC103:AC104"/>
    <mergeCell ref="T24:T25"/>
    <mergeCell ref="Y107:Y108"/>
    <mergeCell ref="Y109:Y110"/>
    <mergeCell ref="X103:X104"/>
    <mergeCell ref="AB100:AB101"/>
    <mergeCell ref="AC100:AC101"/>
    <mergeCell ref="U100:U101"/>
    <mergeCell ref="Z105:Z106"/>
    <mergeCell ref="Y105:Y106"/>
    <mergeCell ref="V105:V106"/>
    <mergeCell ref="Z103:Z104"/>
    <mergeCell ref="AA103:AA104"/>
    <mergeCell ref="AB103:AB104"/>
    <mergeCell ref="S24:S25"/>
    <mergeCell ref="U105:U106"/>
    <mergeCell ref="U107:U108"/>
    <mergeCell ref="U109:U110"/>
    <mergeCell ref="AA107:AA108"/>
    <mergeCell ref="AB107:AB108"/>
    <mergeCell ref="AH1:AI1"/>
    <mergeCell ref="AF48:AF60"/>
    <mergeCell ref="AB24:AB25"/>
    <mergeCell ref="AB27:AB28"/>
    <mergeCell ref="AC27:AC28"/>
    <mergeCell ref="AD27:AD28"/>
    <mergeCell ref="AE27:AE28"/>
    <mergeCell ref="AC17:AC18"/>
    <mergeCell ref="Y103:Y104"/>
    <mergeCell ref="AF3:AF16"/>
    <mergeCell ref="AF21:AF25"/>
    <mergeCell ref="Y17:Y18"/>
    <mergeCell ref="Y19:Y20"/>
    <mergeCell ref="AA17:AA18"/>
    <mergeCell ref="AB17:AB18"/>
    <mergeCell ref="AA19:AA20"/>
    <mergeCell ref="AB19:AB20"/>
    <mergeCell ref="AB52:AB54"/>
    <mergeCell ref="AC52:AC54"/>
    <mergeCell ref="AA27:AA28"/>
    <mergeCell ref="Y27:Y28"/>
    <mergeCell ref="AC24:AC25"/>
    <mergeCell ref="Y52:Y54"/>
    <mergeCell ref="Y24:Y25"/>
    <mergeCell ref="AA114:AA115"/>
    <mergeCell ref="L112:L128"/>
    <mergeCell ref="U112:U113"/>
    <mergeCell ref="U114:U115"/>
    <mergeCell ref="S107:S108"/>
    <mergeCell ref="S109:S110"/>
    <mergeCell ref="V109:V110"/>
    <mergeCell ref="V107:V108"/>
    <mergeCell ref="L95:L102"/>
    <mergeCell ref="Y100:Y101"/>
    <mergeCell ref="V100:V101"/>
    <mergeCell ref="Z100:Z101"/>
    <mergeCell ref="S105:S106"/>
    <mergeCell ref="S103:S104"/>
    <mergeCell ref="AA109:AA110"/>
    <mergeCell ref="K131:K134"/>
    <mergeCell ref="AF87:AF94"/>
    <mergeCell ref="AF75:AF81"/>
    <mergeCell ref="AF27:AF42"/>
    <mergeCell ref="K43:K47"/>
    <mergeCell ref="K75:K83"/>
    <mergeCell ref="K27:K42"/>
    <mergeCell ref="K21:K25"/>
    <mergeCell ref="K65:K68"/>
    <mergeCell ref="K69:K74"/>
    <mergeCell ref="K84:K86"/>
    <mergeCell ref="L65:L68"/>
    <mergeCell ref="R24:R25"/>
    <mergeCell ref="L69:L74"/>
    <mergeCell ref="W27:W28"/>
    <mergeCell ref="X27:X28"/>
    <mergeCell ref="W24:W25"/>
    <mergeCell ref="X112:X113"/>
    <mergeCell ref="AB114:AB115"/>
    <mergeCell ref="V114:V115"/>
    <mergeCell ref="Z107:Z108"/>
    <mergeCell ref="Z109:Z110"/>
    <mergeCell ref="Z112:Z113"/>
    <mergeCell ref="V112:V113"/>
  </mergeCells>
  <phoneticPr fontId="11" type="noConversion"/>
  <hyperlinks>
    <hyperlink ref="G53" location="공고상세" display="공고상세정보" xr:uid="{00000000-0004-0000-0000-000000000000}"/>
    <hyperlink ref="G113" location="라이브_인터뷰_확정" display="라이브_인터뷰_확정" xr:uid="{00000000-0004-0000-0000-000001000000}"/>
    <hyperlink ref="G115" location="라이브_인터뷰_취소" display="확정" xr:uid="{00000000-0004-0000-0000-000002000000}"/>
    <hyperlink ref="G101" location="인터뷰_목록" display="인터뷰_목록" xr:uid="{00000000-0004-0000-0000-000003000000}"/>
    <hyperlink ref="AL59" r:id="rId1" display="base_code/recruit.SaveRecruit.module.ts" xr:uid="{00000000-0004-0000-0000-000004000000}"/>
    <hyperlink ref="AL57" r:id="rId2" display="base_code/recruit.FinishRecruit.module.ts" xr:uid="{00000000-0004-0000-0000-000005000000}"/>
    <hyperlink ref="AL56" r:id="rId3" display="base_code/recruit.DeleteRecruit.module.ts" xr:uid="{00000000-0004-0000-0000-000006000000}"/>
    <hyperlink ref="AL55" r:id="rId4" display="base_code/recruit.GetRecruitsForCompany.module.ts" xr:uid="{00000000-0004-0000-0000-000007000000}"/>
    <hyperlink ref="AL51" r:id="rId5" display="base_code/recruit.GetRecruits.module.ts" xr:uid="{00000000-0004-0000-0000-000008000000}"/>
    <hyperlink ref="AL52" r:id="rId6" display="base_code/recruit.GetRecruit.module.ts" xr:uid="{00000000-0004-0000-0000-000009000000}"/>
    <hyperlink ref="AL58" r:id="rId7" display="base_code/recruit.AddRecruit.module.ts" xr:uid="{00000000-0004-0000-0000-00000A000000}"/>
    <hyperlink ref="AM48" r:id="rId8" display="base_code/recruit.GetRecruitsForHome.controller.ts" xr:uid="{00000000-0004-0000-0000-00000B000000}"/>
    <hyperlink ref="AL48" r:id="rId9" display="base_code\recruit.GetRecruitsForHome.module.ts" xr:uid="{00000000-0004-0000-0000-00000C000000}"/>
    <hyperlink ref="AM67" r:id="rId10" display="base_code/questionFolder.SaveQuestionFolder.controller.ts" xr:uid="{00000000-0004-0000-0000-00000D000000}"/>
    <hyperlink ref="AL67" r:id="rId11" display="base_code/questionFolder.SaveQuestionFolder.module.ts" xr:uid="{00000000-0004-0000-0000-00000E000000}"/>
    <hyperlink ref="AM66" r:id="rId12" display="base_code/questionFolder.DeleteQuestionFolder.controller.ts" xr:uid="{00000000-0004-0000-0000-00000F000000}"/>
    <hyperlink ref="AL66" r:id="rId13" display="base_code/questionFolder.DeleteQuestionFolder.module.ts" xr:uid="{00000000-0004-0000-0000-000010000000}"/>
    <hyperlink ref="AM69" r:id="rId14" display="base_code/question.GetQuestions.controller.ts" xr:uid="{00000000-0004-0000-0000-000011000000}"/>
    <hyperlink ref="AM74" r:id="rId15" display="base_code/question.MoveQuestion.controller.ts" xr:uid="{00000000-0004-0000-0000-000012000000}"/>
    <hyperlink ref="AM73" r:id="rId16" display="base_code/question.DeleteQuestion.controller.ts" xr:uid="{00000000-0004-0000-0000-000013000000}"/>
    <hyperlink ref="AM72" r:id="rId17" display="base_code/question.SaveQuestion.controller.ts" xr:uid="{00000000-0004-0000-0000-000014000000}"/>
    <hyperlink ref="AM71" r:id="rId18" display="base_code/question.GetQuestion.controller.ts" xr:uid="{00000000-0004-0000-0000-000015000000}"/>
    <hyperlink ref="AM70" r:id="rId19" display="base_code/question.AddQuestion.controller.ts" xr:uid="{00000000-0004-0000-0000-000016000000}"/>
    <hyperlink ref="AL74" r:id="rId20" display="base_code/question.MoveQuestion.module.ts" xr:uid="{00000000-0004-0000-0000-000017000000}"/>
    <hyperlink ref="AL73" r:id="rId21" display="base_code/question.DeleteQuestion.module.ts" xr:uid="{00000000-0004-0000-0000-000018000000}"/>
    <hyperlink ref="AL72" r:id="rId22" display="base_code/question.SaveQuestion.module.ts" xr:uid="{00000000-0004-0000-0000-000019000000}"/>
    <hyperlink ref="AL71" r:id="rId23" display="base_code/question.GetQuestion.module.ts" xr:uid="{00000000-0004-0000-0000-00001A000000}"/>
    <hyperlink ref="AL70" r:id="rId24" display="base_code/question.AddQuestion.module.ts" xr:uid="{00000000-0004-0000-0000-00001B000000}"/>
    <hyperlink ref="AL69" r:id="rId25" display="base_code/question.GetQuestions.module.ts" xr:uid="{00000000-0004-0000-0000-00001C000000}"/>
    <hyperlink ref="AM68" r:id="rId26" display="base_code/questionFolder.AddQuestionFolder.controller.ts" xr:uid="{00000000-0004-0000-0000-00001D000000}"/>
    <hyperlink ref="AL68" r:id="rId27" display="base_code/questionFolder.AddQuestionFolder.module.ts" xr:uid="{00000000-0004-0000-0000-00001E000000}"/>
    <hyperlink ref="AM65" r:id="rId28" display="base_code/questionFolder.GetQuestionFolders.controller.ts" xr:uid="{00000000-0004-0000-0000-00001F000000}"/>
    <hyperlink ref="AL65" r:id="rId29" display="base_code/questionFolder.GetQuestionFolders.module.ts" xr:uid="{00000000-0004-0000-0000-000020000000}"/>
    <hyperlink ref="AM42" r:id="rId30" display="base_code/company.SaveCompanyLogo.controller.ts" xr:uid="{00000000-0004-0000-0000-000021000000}"/>
    <hyperlink ref="AL42" r:id="rId31" display="base_code/company.SaveCompanyLogo.module.ts" xr:uid="{00000000-0004-0000-0000-000022000000}"/>
    <hyperlink ref="AM35" r:id="rId32" display="base_code/company.UpdatePasswordConfirmForCompany.controller.ts" xr:uid="{00000000-0004-0000-0000-000023000000}"/>
    <hyperlink ref="AL35" r:id="rId33" display="base_code/company.UpdatePasswordConfirmForCompany.module.ts" xr:uid="{00000000-0004-0000-0000-000024000000}"/>
    <hyperlink ref="AM34" r:id="rId34" display="base_code/company.SaveCompany.controller.ts" xr:uid="{00000000-0004-0000-0000-000025000000}"/>
    <hyperlink ref="AL34" r:id="rId35" display="base_code/company.SaveCompany.module.ts" xr:uid="{00000000-0004-0000-0000-000026000000}"/>
    <hyperlink ref="AM33" r:id="rId36" display="base_code/company.UpdatePasswordOfCompanyForRequest.controller.ts" xr:uid="{00000000-0004-0000-0000-000027000000}"/>
    <hyperlink ref="AL33" r:id="rId37" display="base_code/company.UpdatePasswordOfCompanyForRequest.module.ts" xr:uid="{00000000-0004-0000-0000-000028000000}"/>
    <hyperlink ref="AM32" r:id="rId38" display="base_code/company.RequestPasswordOfCompany.controller.ts" xr:uid="{00000000-0004-0000-0000-000029000000}"/>
    <hyperlink ref="AL32" r:id="rId39" display="base_code/company.RequestPasswordOfCompany.module.ts" xr:uid="{00000000-0004-0000-0000-00002A000000}"/>
    <hyperlink ref="AM31" r:id="rId40" display="base_code/company.GetTokenForCompany.controller.ts" xr:uid="{00000000-0004-0000-0000-00002B000000}"/>
    <hyperlink ref="AL31" r:id="rId41" display="base_code/company.GetTokenForCompany.module.ts" xr:uid="{00000000-0004-0000-0000-00002C000000}"/>
    <hyperlink ref="AM29" r:id="rId42" display="base_code/company.CheckCompanyEmail.controller.ts" xr:uid="{00000000-0004-0000-0000-00002D000000}"/>
    <hyperlink ref="AL29" r:id="rId43" display="base_code/company.CheckCompanyEmail.module.ts" xr:uid="{00000000-0004-0000-0000-00002E000000}"/>
    <hyperlink ref="AM30" r:id="rId44" display="base_code/company.CreateCompany.controller.ts" xr:uid="{00000000-0004-0000-0000-00002F000000}"/>
    <hyperlink ref="AL30" r:id="rId45" display="base_code/company.CreateCompany.module.ts" xr:uid="{00000000-0004-0000-0000-000030000000}"/>
    <hyperlink ref="AM27" r:id="rId46" display="base_code/company.GetCompanyDetail.controller.ts" xr:uid="{00000000-0004-0000-0000-000031000000}"/>
    <hyperlink ref="AL27" r:id="rId47" display="base_code/company.GetCompanyDetail.module.ts" xr:uid="{00000000-0004-0000-0000-000032000000}"/>
    <hyperlink ref="AM3" r:id="rId48" display="base_code/member.GetUserDetail.controller.ts" xr:uid="{00000000-0004-0000-0000-000033000000}"/>
    <hyperlink ref="AL3" r:id="rId49" display="base_code/member.GetUserDetail.module.ts" xr:uid="{00000000-0004-0000-0000-000034000000}"/>
    <hyperlink ref="AM11" r:id="rId50" display="base_code/member.SaveUser.controller.ts" xr:uid="{00000000-0004-0000-0000-000035000000}"/>
    <hyperlink ref="AM7" r:id="rId51" display="base_code/member.GetToken.controller.ts" xr:uid="{00000000-0004-0000-0000-000036000000}"/>
    <hyperlink ref="AM5" r:id="rId52" display="base_code/member.CheckUserEmail.controller.ts" xr:uid="{00000000-0004-0000-0000-000037000000}"/>
    <hyperlink ref="AL16" r:id="rId53" display="base_code/member.SaveUserProfile.module.ts" xr:uid="{00000000-0004-0000-0000-000038000000}"/>
    <hyperlink ref="AM16" r:id="rId54" display="base_code/member.SaveUserProfile.controller.ts" xr:uid="{00000000-0004-0000-0000-000039000000}"/>
    <hyperlink ref="AM14" r:id="rId55" display="base_code/member.UpdatePasswordConfirm.controller.ts" xr:uid="{00000000-0004-0000-0000-00003A000000}"/>
    <hyperlink ref="AM10" r:id="rId56" display="base_code/member.UpdatePasswordForRequest.controller.ts" xr:uid="{00000000-0004-0000-0000-00003B000000}"/>
    <hyperlink ref="AM9" r:id="rId57" display="base_code/member.RequestPassword.controller.ts" xr:uid="{00000000-0004-0000-0000-00003C000000}"/>
    <hyperlink ref="AM8" r:id="rId58" display="base_code/member.Logout.controller.ts" xr:uid="{00000000-0004-0000-0000-00003D000000}"/>
    <hyperlink ref="AM6" r:id="rId59" display="base_code/member.CreateUser.controller.ts" xr:uid="{00000000-0004-0000-0000-00003E000000}"/>
    <hyperlink ref="AL14" r:id="rId60" display="base_code/member.UpdatePasswordConfirm.module.ts" xr:uid="{00000000-0004-0000-0000-00003F000000}"/>
    <hyperlink ref="AL11" r:id="rId61" display="base_code/member.SaveUser.module.ts" xr:uid="{00000000-0004-0000-0000-000040000000}"/>
    <hyperlink ref="AL10" r:id="rId62" display="base_code/member.UpdatePasswordForRequest.module.ts" xr:uid="{00000000-0004-0000-0000-000041000000}"/>
    <hyperlink ref="AL9" r:id="rId63" display="base_code/member.RequestPassword.module.ts" xr:uid="{00000000-0004-0000-0000-000042000000}"/>
    <hyperlink ref="AL8" r:id="rId64" display="base_code/member.Logout.module.ts" xr:uid="{00000000-0004-0000-0000-000043000000}"/>
    <hyperlink ref="AL7" r:id="rId65" display="base_code/member.GetToken.module.ts" xr:uid="{00000000-0004-0000-0000-000044000000}"/>
    <hyperlink ref="AL6" r:id="rId66" display="base_code/member.CreateUser.module.ts" xr:uid="{00000000-0004-0000-0000-000045000000}"/>
    <hyperlink ref="AL5" r:id="rId67" display="base_code/member.CheckUserEmail.module.ts" xr:uid="{00000000-0004-0000-0000-000046000000}"/>
    <hyperlink ref="AL60" r:id="rId68" display="base_code/recruit.CopyRecruit.module.ts" xr:uid="{00000000-0004-0000-0000-000047000000}"/>
    <hyperlink ref="AL75" r:id="rId69" display="base_code/interviewQuestion.GetInterviewQuestionForUser.module.ts" xr:uid="{00000000-0004-0000-0000-000048000000}"/>
    <hyperlink ref="AL79" r:id="rId70" display="base_code/interviewQuestion.AddInterviewQuestion.module.ts" xr:uid="{00000000-0004-0000-0000-000049000000}"/>
    <hyperlink ref="AL78" r:id="rId71" display="base_code\interviewQuestion.GetInterviewQuestions.module.ts" xr:uid="{00000000-0004-0000-0000-00004A000000}"/>
    <hyperlink ref="AL81" r:id="rId72" display="base_code/interviewQuestion.DeleteInterviewQuestion.module.ts" xr:uid="{00000000-0004-0000-0000-00004B000000}"/>
    <hyperlink ref="AL77" r:id="rId73" display="base_code/interviewQuestion.GetInterviewQuestionsForUser.module.ts" xr:uid="{00000000-0004-0000-0000-00004C000000}"/>
    <hyperlink ref="AL87" r:id="rId74" display="base_code/apply.DoApply.module.ts" xr:uid="{00000000-0004-0000-0000-00004D000000}"/>
    <hyperlink ref="AL49" r:id="rId75" display="base_code/recruit.GetAutoCompleteForSearch.module.ts" xr:uid="{00000000-0004-0000-0000-00004E000000}"/>
    <hyperlink ref="AL88" r:id="rId76" display="base_code/apply.GetApplys.module.ts" xr:uid="{00000000-0004-0000-0000-00004F000000}"/>
    <hyperlink ref="AL90" r:id="rId77" display="base_code/apply.GetApply.module.ts" xr:uid="{00000000-0004-0000-0000-000050000000}"/>
    <hyperlink ref="AL91" r:id="rId78" display="base_code/apply.GetApplysForCompany.module.ts" xr:uid="{00000000-0004-0000-0000-000051000000}"/>
    <hyperlink ref="AL92" r:id="rId79" display="base_code/apply.ReadApply.module.ts" xr:uid="{00000000-0004-0000-0000-000052000000}"/>
    <hyperlink ref="AL94" r:id="rId80" display="base_code/apply.GetApplyDetail.module.ts" xr:uid="{00000000-0004-0000-0000-000053000000}"/>
    <hyperlink ref="AL93" r:id="rId81" display="base_code/apply.SaveApply.module.ts" xr:uid="{00000000-0004-0000-0000-000054000000}"/>
    <hyperlink ref="AL84" r:id="rId82" display="base_code/favorite.SaveFavorite.module.ts" xr:uid="{00000000-0004-0000-0000-000055000000}"/>
    <hyperlink ref="AL86" r:id="rId83" display="base_code/favorite.GetFavorites.module.ts" xr:uid="{00000000-0004-0000-0000-000056000000}"/>
    <hyperlink ref="AL24" r:id="rId84" display="base_code/document.AddDocument.module.ts" xr:uid="{00000000-0004-0000-0000-000057000000}"/>
    <hyperlink ref="AL21" r:id="rId85" display="base_code/document.GetDocuments.module.ts" xr:uid="{00000000-0004-0000-0000-000058000000}"/>
    <hyperlink ref="AL22" r:id="rId86" display="base_code/document.GetDocumentsForApply.module.ts" xr:uid="{00000000-0004-0000-0000-000059000000}"/>
    <hyperlink ref="AL23" r:id="rId87" display="base_code/document.DeleteDocument.module.ts" xr:uid="{00000000-0004-0000-0000-00005A000000}"/>
    <hyperlink ref="AL131" r:id="rId88" display="base_code/upload.UploadUserProfile.module.ts" xr:uid="{00000000-0004-0000-0000-00005B000000}"/>
    <hyperlink ref="AM131" r:id="rId89" display="base_code/member.SaveUserProfile.controller.ts" xr:uid="{00000000-0004-0000-0000-00005C000000}"/>
    <hyperlink ref="AM132" r:id="rId90" display="base_code/company.SaveCompanyLogo.controller.ts" xr:uid="{00000000-0004-0000-0000-00005D000000}"/>
    <hyperlink ref="AL132" r:id="rId91" display="base_code/upload.UploadCompanyLogo.module.ts" xr:uid="{00000000-0004-0000-0000-00005E000000}"/>
    <hyperlink ref="AL133" r:id="rId92" display="base_code/upload.UploadDocument.module.ts" xr:uid="{00000000-0004-0000-0000-00005F000000}"/>
    <hyperlink ref="AL89" r:id="rId93" display="base_code/apply.SubmitDocumentForApply.module.ts" xr:uid="{00000000-0004-0000-0000-000060000000}"/>
    <hyperlink ref="AL95" r:id="rId94" display="base_code/interview.AddInterview.module.ts" xr:uid="{00000000-0004-0000-0000-000061000000}"/>
    <hyperlink ref="AL64" r:id="rId95" display="base_code/recruit.GetInterviewQuestionsForUser.module.ts" xr:uid="{00000000-0004-0000-0000-000062000000}"/>
    <hyperlink ref="AL63" r:id="rId96" display="base_code/recruit.GetInterviewQuestions.module.ts" xr:uid="{00000000-0004-0000-0000-000063000000}"/>
    <hyperlink ref="AL61" r:id="rId97" display="base_code/recruit.GetInterviewQuestionForUser.module.ts" xr:uid="{00000000-0004-0000-0000-000064000000}"/>
    <hyperlink ref="AL76" r:id="rId98" display="base_code/interviewQuestion.GetInterviewQuestion.module.ts" xr:uid="{00000000-0004-0000-0000-000065000000}"/>
    <hyperlink ref="AL62" r:id="rId99" display="base_code/recruit.GetInterviewQuestion.module.ts" xr:uid="{00000000-0004-0000-0000-000066000000}"/>
    <hyperlink ref="AL134" r:id="rId100" display="base_code/upload.UploadInterview.module.ts" xr:uid="{00000000-0004-0000-0000-000067000000}"/>
    <hyperlink ref="AL97" r:id="rId101" display="base_code/interview.SaveInterview.module.ts" xr:uid="{00000000-0004-0000-0000-000068000000}"/>
    <hyperlink ref="AL102" r:id="rId102" display="base_code/interview.FinishInterview.module.ts" xr:uid="{00000000-0004-0000-0000-000069000000}"/>
    <hyperlink ref="AM91" r:id="rId103" display="base_code/apply.GetApplysForCompany.controller.ts" xr:uid="{00000000-0004-0000-0000-00006A000000}"/>
    <hyperlink ref="AM51" r:id="rId104" display="base_code/recruit.GetRecruits.controller.ts" xr:uid="{00000000-0004-0000-0000-00006B000000}"/>
    <hyperlink ref="AL130" r:id="rId105" display="base_code/config.SaveConfig.module.ts" xr:uid="{00000000-0004-0000-0000-00006C000000}"/>
    <hyperlink ref="AL129" r:id="rId106" display="base_code/config.GetConfig.module.ts" xr:uid="{00000000-0004-0000-0000-00006D000000}"/>
    <hyperlink ref="AL85" r:id="rId107" display="base_code/favorite.DeleteFavorite.module.ts" xr:uid="{00000000-0004-0000-0000-00006E000000}"/>
  </hyperlinks>
  <pageMargins left="0.7" right="0.7" top="0.75" bottom="0.75" header="0.3" footer="0.3"/>
  <pageSetup paperSize="9" orientation="portrait" horizontalDpi="300" verticalDpi="300" r:id="rId108"/>
  <drawing r:id="rId109"/>
  <legacyDrawing r:id="rId1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111" name="Button 1">
              <controlPr defaultSize="0" print="0" autoFill="0" autoPict="0" macro="[0]!단추_ALL_Click">
                <anchor moveWithCells="1" sizeWithCells="1">
                  <from>
                    <xdr:col>26</xdr:col>
                    <xdr:colOff>558800</xdr:colOff>
                    <xdr:row>0</xdr:row>
                    <xdr:rowOff>304800</xdr:rowOff>
                  </from>
                  <to>
                    <xdr:col>27</xdr:col>
                    <xdr:colOff>647700</xdr:colOff>
                    <xdr:row>0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112" name="Button 2">
              <controlPr defaultSize="0" print="0" autoFill="0" autoPict="0" macro="[0]!단추_CONTROLLER_Click">
                <anchor moveWithCells="1" sizeWithCells="1">
                  <from>
                    <xdr:col>25</xdr:col>
                    <xdr:colOff>850900</xdr:colOff>
                    <xdr:row>0</xdr:row>
                    <xdr:rowOff>304800</xdr:rowOff>
                  </from>
                  <to>
                    <xdr:col>26</xdr:col>
                    <xdr:colOff>520700</xdr:colOff>
                    <xdr:row>0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113" name="Button 3">
              <controlPr defaultSize="0" print="0" autoFill="0" autoPict="0" macro="[0]!단추_MODULE_INTERFACE_Click">
                <anchor moveWithCells="1" sizeWithCells="1">
                  <from>
                    <xdr:col>24</xdr:col>
                    <xdr:colOff>1803400</xdr:colOff>
                    <xdr:row>0</xdr:row>
                    <xdr:rowOff>304800</xdr:rowOff>
                  </from>
                  <to>
                    <xdr:col>25</xdr:col>
                    <xdr:colOff>825500</xdr:colOff>
                    <xdr:row>0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114" name="Button 4">
              <controlPr defaultSize="0" print="0" autoFill="0" autoPict="0" macro="[0]!단추_MODULE_INDEX_Click">
                <anchor moveWithCells="1" sizeWithCells="1">
                  <from>
                    <xdr:col>24</xdr:col>
                    <xdr:colOff>850900</xdr:colOff>
                    <xdr:row>0</xdr:row>
                    <xdr:rowOff>304800</xdr:rowOff>
                  </from>
                  <to>
                    <xdr:col>24</xdr:col>
                    <xdr:colOff>1778000</xdr:colOff>
                    <xdr:row>0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97" r:id="rId115" name="Button 153">
              <controlPr defaultSize="0" print="0" autoFill="0" autoPict="0" macro="[0]!단추_Make_Import_test_Click">
                <anchor moveWithCells="1" sizeWithCells="1">
                  <from>
                    <xdr:col>28</xdr:col>
                    <xdr:colOff>393700</xdr:colOff>
                    <xdr:row>0</xdr:row>
                    <xdr:rowOff>304800</xdr:rowOff>
                  </from>
                  <to>
                    <xdr:col>29</xdr:col>
                    <xdr:colOff>952500</xdr:colOff>
                    <xdr:row>0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3" r:id="rId116" name="Button 629">
              <controlPr defaultSize="0" print="0" autoFill="0" autoPict="0" macro="[0]!단추_Make_Unit_MODULE_INTERFACE_Click">
                <anchor moveWithCells="1" sizeWithCells="1">
                  <from>
                    <xdr:col>35</xdr:col>
                    <xdr:colOff>457200</xdr:colOff>
                    <xdr:row>2</xdr:row>
                    <xdr:rowOff>76200</xdr:rowOff>
                  </from>
                  <to>
                    <xdr:col>35</xdr:col>
                    <xdr:colOff>876300</xdr:colOff>
                    <xdr:row>2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4" r:id="rId117" name="Button 630">
              <controlPr defaultSize="0" print="0" autoFill="0" autoPict="0" macro="[0]!단추_Make_Unit_MODULE_INDEX_Click">
                <anchor moveWithCells="1" sizeWithCells="1">
                  <from>
                    <xdr:col>31</xdr:col>
                    <xdr:colOff>12700</xdr:colOff>
                    <xdr:row>2</xdr:row>
                    <xdr:rowOff>76200</xdr:rowOff>
                  </from>
                  <to>
                    <xdr:col>35</xdr:col>
                    <xdr:colOff>431800</xdr:colOff>
                    <xdr:row>2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5" r:id="rId118" name="Button 631">
              <controlPr defaultSize="0" print="0" autoFill="0" autoPict="0" macro="[0]!단추_Make_Unit_MODULE_CONTROLLER_Click">
                <anchor moveWithCells="1" sizeWithCells="1">
                  <from>
                    <xdr:col>35</xdr:col>
                    <xdr:colOff>889000</xdr:colOff>
                    <xdr:row>2</xdr:row>
                    <xdr:rowOff>76200</xdr:rowOff>
                  </from>
                  <to>
                    <xdr:col>35</xdr:col>
                    <xdr:colOff>1409700</xdr:colOff>
                    <xdr:row>2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6" r:id="rId119" name="Button 632">
              <controlPr defaultSize="0" print="0" autoFill="0" autoPict="0" macro="[0]!단추_Make_Unit_ALL_Click">
                <anchor moveWithCells="1" sizeWithCells="1">
                  <from>
                    <xdr:col>35</xdr:col>
                    <xdr:colOff>1422400</xdr:colOff>
                    <xdr:row>2</xdr:row>
                    <xdr:rowOff>76200</xdr:rowOff>
                  </from>
                  <to>
                    <xdr:col>36</xdr:col>
                    <xdr:colOff>0</xdr:colOff>
                    <xdr:row>2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120" name="Button 1049">
              <controlPr defaultSize="0" print="0" autoFill="0" autoPict="0" macro="[0]!단추_Reload_Working_File_ModuleNController_Click">
                <anchor moveWithCells="1" sizeWithCells="1">
                  <from>
                    <xdr:col>37</xdr:col>
                    <xdr:colOff>12700</xdr:colOff>
                    <xdr:row>0</xdr:row>
                    <xdr:rowOff>177800</xdr:rowOff>
                  </from>
                  <to>
                    <xdr:col>38</xdr:col>
                    <xdr:colOff>203200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8" r:id="rId121" name="Button 1084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2</xdr:row>
                    <xdr:rowOff>63500</xdr:rowOff>
                  </from>
                  <to>
                    <xdr:col>36</xdr:col>
                    <xdr:colOff>508000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9" r:id="rId122" name="Button 1085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2</xdr:row>
                    <xdr:rowOff>63500</xdr:rowOff>
                  </from>
                  <to>
                    <xdr:col>37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123" name="Button 1090">
              <controlPr defaultSize="0" print="0" autoFill="0" autoPict="0" macro="[0]!단추_Make_Unit_MODULE_INTERFACE_Click">
                <anchor moveWithCells="1" sizeWithCells="1">
                  <from>
                    <xdr:col>35</xdr:col>
                    <xdr:colOff>457200</xdr:colOff>
                    <xdr:row>16</xdr:row>
                    <xdr:rowOff>76200</xdr:rowOff>
                  </from>
                  <to>
                    <xdr:col>35</xdr:col>
                    <xdr:colOff>876300</xdr:colOff>
                    <xdr:row>16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124" name="Button 1091">
              <controlPr defaultSize="0" print="0" autoFill="0" autoPict="0" macro="[0]!단추_Make_Unit_MODULE_INDEX_Click">
                <anchor moveWithCells="1" sizeWithCells="1">
                  <from>
                    <xdr:col>31</xdr:col>
                    <xdr:colOff>12700</xdr:colOff>
                    <xdr:row>16</xdr:row>
                    <xdr:rowOff>76200</xdr:rowOff>
                  </from>
                  <to>
                    <xdr:col>35</xdr:col>
                    <xdr:colOff>431800</xdr:colOff>
                    <xdr:row>16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125" name="Button 1092">
              <controlPr defaultSize="0" print="0" autoFill="0" autoPict="0" macro="[0]!단추_Make_Unit_MODULE_CONTROLLER_Click">
                <anchor moveWithCells="1" sizeWithCells="1">
                  <from>
                    <xdr:col>35</xdr:col>
                    <xdr:colOff>889000</xdr:colOff>
                    <xdr:row>16</xdr:row>
                    <xdr:rowOff>76200</xdr:rowOff>
                  </from>
                  <to>
                    <xdr:col>35</xdr:col>
                    <xdr:colOff>1409700</xdr:colOff>
                    <xdr:row>16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126" name="Button 1093">
              <controlPr defaultSize="0" print="0" autoFill="0" autoPict="0" macro="[0]!단추_Make_Unit_ALL_Click">
                <anchor moveWithCells="1" sizeWithCells="1">
                  <from>
                    <xdr:col>35</xdr:col>
                    <xdr:colOff>1422400</xdr:colOff>
                    <xdr:row>16</xdr:row>
                    <xdr:rowOff>76200</xdr:rowOff>
                  </from>
                  <to>
                    <xdr:col>36</xdr:col>
                    <xdr:colOff>0</xdr:colOff>
                    <xdr:row>16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127" name="Button 1094">
              <controlPr defaultSize="0" print="0" autoFill="0" autoPict="0" macro="[0]!단추_Make_Unit_MODULE_INTERFACE_Click">
                <anchor moveWithCells="1" sizeWithCells="1">
                  <from>
                    <xdr:col>35</xdr:col>
                    <xdr:colOff>457200</xdr:colOff>
                    <xdr:row>20</xdr:row>
                    <xdr:rowOff>76200</xdr:rowOff>
                  </from>
                  <to>
                    <xdr:col>35</xdr:col>
                    <xdr:colOff>876300</xdr:colOff>
                    <xdr:row>20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128" name="Button 1095">
              <controlPr defaultSize="0" print="0" autoFill="0" autoPict="0" macro="[0]!단추_Make_Unit_MODULE_INDEX_Click">
                <anchor moveWithCells="1" sizeWithCells="1">
                  <from>
                    <xdr:col>31</xdr:col>
                    <xdr:colOff>12700</xdr:colOff>
                    <xdr:row>20</xdr:row>
                    <xdr:rowOff>76200</xdr:rowOff>
                  </from>
                  <to>
                    <xdr:col>35</xdr:col>
                    <xdr:colOff>431800</xdr:colOff>
                    <xdr:row>20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129" name="Button 1096">
              <controlPr defaultSize="0" print="0" autoFill="0" autoPict="0" macro="[0]!단추_Make_Unit_MODULE_CONTROLLER_Click">
                <anchor moveWithCells="1" sizeWithCells="1">
                  <from>
                    <xdr:col>35</xdr:col>
                    <xdr:colOff>889000</xdr:colOff>
                    <xdr:row>20</xdr:row>
                    <xdr:rowOff>76200</xdr:rowOff>
                  </from>
                  <to>
                    <xdr:col>35</xdr:col>
                    <xdr:colOff>1409700</xdr:colOff>
                    <xdr:row>20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130" name="Button 1097">
              <controlPr defaultSize="0" print="0" autoFill="0" autoPict="0" macro="[0]!단추_Make_Unit_ALL_Click">
                <anchor moveWithCells="1" sizeWithCells="1">
                  <from>
                    <xdr:col>35</xdr:col>
                    <xdr:colOff>1422400</xdr:colOff>
                    <xdr:row>20</xdr:row>
                    <xdr:rowOff>76200</xdr:rowOff>
                  </from>
                  <to>
                    <xdr:col>36</xdr:col>
                    <xdr:colOff>0</xdr:colOff>
                    <xdr:row>20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131" name="Button 1102">
              <controlPr defaultSize="0" print="0" autoFill="0" autoPict="0" macro="[0]!단추_Make_Unit_MODULE_INTERFACE_Click">
                <anchor moveWithCells="1" sizeWithCells="1">
                  <from>
                    <xdr:col>35</xdr:col>
                    <xdr:colOff>457200</xdr:colOff>
                    <xdr:row>47</xdr:row>
                    <xdr:rowOff>76200</xdr:rowOff>
                  </from>
                  <to>
                    <xdr:col>35</xdr:col>
                    <xdr:colOff>876300</xdr:colOff>
                    <xdr:row>47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7" r:id="rId132" name="Button 1103">
              <controlPr defaultSize="0" print="0" autoFill="0" autoPict="0" macro="[0]!단추_Make_Unit_MODULE_INDEX_Click">
                <anchor moveWithCells="1" sizeWithCells="1">
                  <from>
                    <xdr:col>31</xdr:col>
                    <xdr:colOff>12700</xdr:colOff>
                    <xdr:row>47</xdr:row>
                    <xdr:rowOff>76200</xdr:rowOff>
                  </from>
                  <to>
                    <xdr:col>35</xdr:col>
                    <xdr:colOff>431800</xdr:colOff>
                    <xdr:row>47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133" name="Button 1104">
              <controlPr defaultSize="0" print="0" autoFill="0" autoPict="0" macro="[0]!단추_Make_Unit_MODULE_CONTROLLER_Click">
                <anchor moveWithCells="1" sizeWithCells="1">
                  <from>
                    <xdr:col>35</xdr:col>
                    <xdr:colOff>889000</xdr:colOff>
                    <xdr:row>47</xdr:row>
                    <xdr:rowOff>76200</xdr:rowOff>
                  </from>
                  <to>
                    <xdr:col>35</xdr:col>
                    <xdr:colOff>1409700</xdr:colOff>
                    <xdr:row>47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134" name="Button 1105">
              <controlPr defaultSize="0" print="0" autoFill="0" autoPict="0" macro="[0]!단추_Make_Unit_ALL_Click">
                <anchor moveWithCells="1" sizeWithCells="1">
                  <from>
                    <xdr:col>35</xdr:col>
                    <xdr:colOff>1422400</xdr:colOff>
                    <xdr:row>47</xdr:row>
                    <xdr:rowOff>76200</xdr:rowOff>
                  </from>
                  <to>
                    <xdr:col>36</xdr:col>
                    <xdr:colOff>0</xdr:colOff>
                    <xdr:row>47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135" name="Button 1114">
              <controlPr defaultSize="0" print="0" autoFill="0" autoPict="0" macro="[0]!단추_Make_Unit_MODULE_INTERFACE_Click">
                <anchor moveWithCells="1" sizeWithCells="1">
                  <from>
                    <xdr:col>35</xdr:col>
                    <xdr:colOff>88900</xdr:colOff>
                    <xdr:row>74</xdr:row>
                    <xdr:rowOff>241300</xdr:rowOff>
                  </from>
                  <to>
                    <xdr:col>35</xdr:col>
                    <xdr:colOff>546100</xdr:colOff>
                    <xdr:row>74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9" r:id="rId136" name="Button 1115">
              <controlPr defaultSize="0" print="0" autoFill="0" autoPict="0" macro="[0]!단추_Make_Unit_MODULE_INDEX_Click">
                <anchor moveWithCells="1" sizeWithCells="1">
                  <from>
                    <xdr:col>31</xdr:col>
                    <xdr:colOff>12700</xdr:colOff>
                    <xdr:row>74</xdr:row>
                    <xdr:rowOff>241300</xdr:rowOff>
                  </from>
                  <to>
                    <xdr:col>35</xdr:col>
                    <xdr:colOff>469900</xdr:colOff>
                    <xdr:row>74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0" r:id="rId137" name="Button 1116">
              <controlPr defaultSize="0" print="0" autoFill="0" autoPict="0" macro="[0]!단추_Make_Unit_MODULE_CONTROLLER_Click">
                <anchor moveWithCells="1" sizeWithCells="1">
                  <from>
                    <xdr:col>35</xdr:col>
                    <xdr:colOff>114300</xdr:colOff>
                    <xdr:row>74</xdr:row>
                    <xdr:rowOff>241300</xdr:rowOff>
                  </from>
                  <to>
                    <xdr:col>35</xdr:col>
                    <xdr:colOff>673100</xdr:colOff>
                    <xdr:row>74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1" r:id="rId138" name="Button 1117">
              <controlPr defaultSize="0" print="0" autoFill="0" autoPict="0" macro="[0]!단추_Make_Unit_ALL_Click">
                <anchor moveWithCells="1" sizeWithCells="1">
                  <from>
                    <xdr:col>35</xdr:col>
                    <xdr:colOff>1397000</xdr:colOff>
                    <xdr:row>74</xdr:row>
                    <xdr:rowOff>76200</xdr:rowOff>
                  </from>
                  <to>
                    <xdr:col>36</xdr:col>
                    <xdr:colOff>0</xdr:colOff>
                    <xdr:row>74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2" r:id="rId139" name="Button 1118">
              <controlPr defaultSize="0" print="0" autoFill="0" autoPict="0" macro="[0]!단추_Make_Unit_MODULE_INTERFACE_Click">
                <anchor moveWithCells="1" sizeWithCells="1">
                  <from>
                    <xdr:col>35</xdr:col>
                    <xdr:colOff>457200</xdr:colOff>
                    <xdr:row>83</xdr:row>
                    <xdr:rowOff>76200</xdr:rowOff>
                  </from>
                  <to>
                    <xdr:col>35</xdr:col>
                    <xdr:colOff>876300</xdr:colOff>
                    <xdr:row>83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3" r:id="rId140" name="Button 1119">
              <controlPr defaultSize="0" print="0" autoFill="0" autoPict="0" macro="[0]!단추_Make_Unit_MODULE_INDEX_Click">
                <anchor moveWithCells="1" sizeWithCells="1">
                  <from>
                    <xdr:col>31</xdr:col>
                    <xdr:colOff>12700</xdr:colOff>
                    <xdr:row>83</xdr:row>
                    <xdr:rowOff>76200</xdr:rowOff>
                  </from>
                  <to>
                    <xdr:col>35</xdr:col>
                    <xdr:colOff>431800</xdr:colOff>
                    <xdr:row>83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4" r:id="rId141" name="Button 1120">
              <controlPr defaultSize="0" print="0" autoFill="0" autoPict="0" macro="[0]!단추_Make_Unit_MODULE_CONTROLLER_Click">
                <anchor moveWithCells="1" sizeWithCells="1">
                  <from>
                    <xdr:col>35</xdr:col>
                    <xdr:colOff>889000</xdr:colOff>
                    <xdr:row>83</xdr:row>
                    <xdr:rowOff>76200</xdr:rowOff>
                  </from>
                  <to>
                    <xdr:col>35</xdr:col>
                    <xdr:colOff>1409700</xdr:colOff>
                    <xdr:row>83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5" r:id="rId142" name="Button 1121">
              <controlPr defaultSize="0" print="0" autoFill="0" autoPict="0" macro="[0]!단추_Make_Unit_ALL_Click">
                <anchor moveWithCells="1" sizeWithCells="1">
                  <from>
                    <xdr:col>35</xdr:col>
                    <xdr:colOff>1422400</xdr:colOff>
                    <xdr:row>83</xdr:row>
                    <xdr:rowOff>76200</xdr:rowOff>
                  </from>
                  <to>
                    <xdr:col>36</xdr:col>
                    <xdr:colOff>0</xdr:colOff>
                    <xdr:row>83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6" r:id="rId143" name="Button 1122">
              <controlPr defaultSize="0" print="0" autoFill="0" autoPict="0" macro="[0]!단추_Make_Unit_MODULE_INTERFACE_Click">
                <anchor moveWithCells="1" sizeWithCells="1">
                  <from>
                    <xdr:col>35</xdr:col>
                    <xdr:colOff>457200</xdr:colOff>
                    <xdr:row>86</xdr:row>
                    <xdr:rowOff>76200</xdr:rowOff>
                  </from>
                  <to>
                    <xdr:col>35</xdr:col>
                    <xdr:colOff>876300</xdr:colOff>
                    <xdr:row>86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7" r:id="rId144" name="Button 1123">
              <controlPr defaultSize="0" print="0" autoFill="0" autoPict="0" macro="[0]!단추_Make_Unit_MODULE_INDEX_Click">
                <anchor moveWithCells="1" sizeWithCells="1">
                  <from>
                    <xdr:col>31</xdr:col>
                    <xdr:colOff>12700</xdr:colOff>
                    <xdr:row>86</xdr:row>
                    <xdr:rowOff>76200</xdr:rowOff>
                  </from>
                  <to>
                    <xdr:col>35</xdr:col>
                    <xdr:colOff>431800</xdr:colOff>
                    <xdr:row>86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8" r:id="rId145" name="Button 1124">
              <controlPr defaultSize="0" print="0" autoFill="0" autoPict="0" macro="[0]!단추_Make_Unit_MODULE_CONTROLLER_Click">
                <anchor moveWithCells="1" sizeWithCells="1">
                  <from>
                    <xdr:col>35</xdr:col>
                    <xdr:colOff>889000</xdr:colOff>
                    <xdr:row>86</xdr:row>
                    <xdr:rowOff>76200</xdr:rowOff>
                  </from>
                  <to>
                    <xdr:col>35</xdr:col>
                    <xdr:colOff>1409700</xdr:colOff>
                    <xdr:row>86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9" r:id="rId146" name="Button 1125">
              <controlPr defaultSize="0" print="0" autoFill="0" autoPict="0" macro="[0]!단추_Make_Unit_ALL_Click">
                <anchor moveWithCells="1" sizeWithCells="1">
                  <from>
                    <xdr:col>35</xdr:col>
                    <xdr:colOff>1422400</xdr:colOff>
                    <xdr:row>86</xdr:row>
                    <xdr:rowOff>76200</xdr:rowOff>
                  </from>
                  <to>
                    <xdr:col>36</xdr:col>
                    <xdr:colOff>0</xdr:colOff>
                    <xdr:row>86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" r:id="rId147" name="Button 1126">
              <controlPr defaultSize="0" print="0" autoFill="0" autoPict="0" macro="[0]!단추_Make_Unit_MODULE_INTERFACE_Click">
                <anchor moveWithCells="1" sizeWithCells="1">
                  <from>
                    <xdr:col>35</xdr:col>
                    <xdr:colOff>457200</xdr:colOff>
                    <xdr:row>94</xdr:row>
                    <xdr:rowOff>76200</xdr:rowOff>
                  </from>
                  <to>
                    <xdr:col>35</xdr:col>
                    <xdr:colOff>876300</xdr:colOff>
                    <xdr:row>94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" r:id="rId148" name="Button 1127">
              <controlPr defaultSize="0" print="0" autoFill="0" autoPict="0" macro="[0]!단추_Make_Unit_MODULE_INDEX_Click">
                <anchor moveWithCells="1" sizeWithCells="1">
                  <from>
                    <xdr:col>31</xdr:col>
                    <xdr:colOff>12700</xdr:colOff>
                    <xdr:row>94</xdr:row>
                    <xdr:rowOff>76200</xdr:rowOff>
                  </from>
                  <to>
                    <xdr:col>35</xdr:col>
                    <xdr:colOff>431800</xdr:colOff>
                    <xdr:row>94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2" r:id="rId149" name="Button 1128">
              <controlPr defaultSize="0" print="0" autoFill="0" autoPict="0" macro="[0]!단추_Make_Unit_MODULE_CONTROLLER_Click">
                <anchor moveWithCells="1" sizeWithCells="1">
                  <from>
                    <xdr:col>35</xdr:col>
                    <xdr:colOff>889000</xdr:colOff>
                    <xdr:row>94</xdr:row>
                    <xdr:rowOff>76200</xdr:rowOff>
                  </from>
                  <to>
                    <xdr:col>35</xdr:col>
                    <xdr:colOff>1409700</xdr:colOff>
                    <xdr:row>94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3" r:id="rId150" name="Button 1129">
              <controlPr defaultSize="0" print="0" autoFill="0" autoPict="0" macro="[0]!단추_Make_Unit_ALL_Click">
                <anchor moveWithCells="1" sizeWithCells="1">
                  <from>
                    <xdr:col>35</xdr:col>
                    <xdr:colOff>1422400</xdr:colOff>
                    <xdr:row>94</xdr:row>
                    <xdr:rowOff>76200</xdr:rowOff>
                  </from>
                  <to>
                    <xdr:col>36</xdr:col>
                    <xdr:colOff>0</xdr:colOff>
                    <xdr:row>94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4" r:id="rId151" name="Button 1130">
              <controlPr defaultSize="0" print="0" autoFill="0" autoPict="0" macro="[0]!단추_Make_Unit_MODULE_INTERFACE_Click">
                <anchor moveWithCells="1" sizeWithCells="1">
                  <from>
                    <xdr:col>35</xdr:col>
                    <xdr:colOff>457200</xdr:colOff>
                    <xdr:row>102</xdr:row>
                    <xdr:rowOff>76200</xdr:rowOff>
                  </from>
                  <to>
                    <xdr:col>35</xdr:col>
                    <xdr:colOff>876300</xdr:colOff>
                    <xdr:row>102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152" name="Button 1131">
              <controlPr defaultSize="0" print="0" autoFill="0" autoPict="0" macro="[0]!단추_Make_Unit_MODULE_INDEX_Click">
                <anchor moveWithCells="1" sizeWithCells="1">
                  <from>
                    <xdr:col>31</xdr:col>
                    <xdr:colOff>12700</xdr:colOff>
                    <xdr:row>102</xdr:row>
                    <xdr:rowOff>76200</xdr:rowOff>
                  </from>
                  <to>
                    <xdr:col>35</xdr:col>
                    <xdr:colOff>431800</xdr:colOff>
                    <xdr:row>102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153" name="Button 1132">
              <controlPr defaultSize="0" print="0" autoFill="0" autoPict="0" macro="[0]!단추_Make_Unit_MODULE_CONTROLLER_Click">
                <anchor moveWithCells="1" sizeWithCells="1">
                  <from>
                    <xdr:col>35</xdr:col>
                    <xdr:colOff>889000</xdr:colOff>
                    <xdr:row>102</xdr:row>
                    <xdr:rowOff>76200</xdr:rowOff>
                  </from>
                  <to>
                    <xdr:col>35</xdr:col>
                    <xdr:colOff>1409700</xdr:colOff>
                    <xdr:row>102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154" name="Button 1133">
              <controlPr defaultSize="0" print="0" autoFill="0" autoPict="0" macro="[0]!단추_Make_Unit_ALL_Click">
                <anchor moveWithCells="1" sizeWithCells="1">
                  <from>
                    <xdr:col>35</xdr:col>
                    <xdr:colOff>1422400</xdr:colOff>
                    <xdr:row>102</xdr:row>
                    <xdr:rowOff>76200</xdr:rowOff>
                  </from>
                  <to>
                    <xdr:col>36</xdr:col>
                    <xdr:colOff>0</xdr:colOff>
                    <xdr:row>102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155" name="Button 1134">
              <controlPr defaultSize="0" print="0" autoFill="0" autoPict="0" macro="[0]!단추_Make_Unit_MODULE_INTERFACE_Click">
                <anchor moveWithCells="1" sizeWithCells="1">
                  <from>
                    <xdr:col>35</xdr:col>
                    <xdr:colOff>457200</xdr:colOff>
                    <xdr:row>111</xdr:row>
                    <xdr:rowOff>76200</xdr:rowOff>
                  </from>
                  <to>
                    <xdr:col>35</xdr:col>
                    <xdr:colOff>876300</xdr:colOff>
                    <xdr:row>111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156" name="Button 1135">
              <controlPr defaultSize="0" print="0" autoFill="0" autoPict="0" macro="[0]!단추_Make_Unit_MODULE_INDEX_Click">
                <anchor moveWithCells="1" sizeWithCells="1">
                  <from>
                    <xdr:col>31</xdr:col>
                    <xdr:colOff>12700</xdr:colOff>
                    <xdr:row>111</xdr:row>
                    <xdr:rowOff>76200</xdr:rowOff>
                  </from>
                  <to>
                    <xdr:col>35</xdr:col>
                    <xdr:colOff>431800</xdr:colOff>
                    <xdr:row>111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157" name="Button 1136">
              <controlPr defaultSize="0" print="0" autoFill="0" autoPict="0" macro="[0]!단추_Make_Unit_MODULE_CONTROLLER_Click">
                <anchor moveWithCells="1" sizeWithCells="1">
                  <from>
                    <xdr:col>35</xdr:col>
                    <xdr:colOff>889000</xdr:colOff>
                    <xdr:row>111</xdr:row>
                    <xdr:rowOff>76200</xdr:rowOff>
                  </from>
                  <to>
                    <xdr:col>35</xdr:col>
                    <xdr:colOff>1409700</xdr:colOff>
                    <xdr:row>111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158" name="Button 1137">
              <controlPr defaultSize="0" print="0" autoFill="0" autoPict="0" macro="[0]!단추_Make_Unit_ALL_Click">
                <anchor moveWithCells="1" sizeWithCells="1">
                  <from>
                    <xdr:col>35</xdr:col>
                    <xdr:colOff>1422400</xdr:colOff>
                    <xdr:row>111</xdr:row>
                    <xdr:rowOff>76200</xdr:rowOff>
                  </from>
                  <to>
                    <xdr:col>36</xdr:col>
                    <xdr:colOff>0</xdr:colOff>
                    <xdr:row>111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159" name="Button 1138">
              <controlPr defaultSize="0" print="0" autoFill="0" autoPict="0" macro="[0]!단추_Make_Unit_MODULE_INTERFACE_Click">
                <anchor moveWithCells="1" sizeWithCells="1">
                  <from>
                    <xdr:col>35</xdr:col>
                    <xdr:colOff>457200</xdr:colOff>
                    <xdr:row>128</xdr:row>
                    <xdr:rowOff>76200</xdr:rowOff>
                  </from>
                  <to>
                    <xdr:col>35</xdr:col>
                    <xdr:colOff>876300</xdr:colOff>
                    <xdr:row>128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160" name="Button 1139">
              <controlPr defaultSize="0" print="0" autoFill="0" autoPict="0" macro="[0]!단추_Make_Unit_MODULE_INDEX_Click">
                <anchor moveWithCells="1" sizeWithCells="1">
                  <from>
                    <xdr:col>31</xdr:col>
                    <xdr:colOff>12700</xdr:colOff>
                    <xdr:row>128</xdr:row>
                    <xdr:rowOff>76200</xdr:rowOff>
                  </from>
                  <to>
                    <xdr:col>35</xdr:col>
                    <xdr:colOff>431800</xdr:colOff>
                    <xdr:row>128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161" name="Button 1140">
              <controlPr defaultSize="0" print="0" autoFill="0" autoPict="0" macro="[0]!단추_Make_Unit_MODULE_CONTROLLER_Click">
                <anchor moveWithCells="1" sizeWithCells="1">
                  <from>
                    <xdr:col>35</xdr:col>
                    <xdr:colOff>889000</xdr:colOff>
                    <xdr:row>128</xdr:row>
                    <xdr:rowOff>76200</xdr:rowOff>
                  </from>
                  <to>
                    <xdr:col>35</xdr:col>
                    <xdr:colOff>1409700</xdr:colOff>
                    <xdr:row>128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162" name="Button 1141">
              <controlPr defaultSize="0" print="0" autoFill="0" autoPict="0" macro="[0]!단추_Make_Unit_ALL_Click">
                <anchor moveWithCells="1" sizeWithCells="1">
                  <from>
                    <xdr:col>35</xdr:col>
                    <xdr:colOff>1422400</xdr:colOff>
                    <xdr:row>128</xdr:row>
                    <xdr:rowOff>76200</xdr:rowOff>
                  </from>
                  <to>
                    <xdr:col>36</xdr:col>
                    <xdr:colOff>0</xdr:colOff>
                    <xdr:row>128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163" name="Button 1165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4</xdr:row>
                    <xdr:rowOff>63500</xdr:rowOff>
                  </from>
                  <to>
                    <xdr:col>36</xdr:col>
                    <xdr:colOff>508000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64" name="Button 1166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4</xdr:row>
                    <xdr:rowOff>63500</xdr:rowOff>
                  </from>
                  <to>
                    <xdr:col>37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65" name="Button 1167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5</xdr:row>
                    <xdr:rowOff>63500</xdr:rowOff>
                  </from>
                  <to>
                    <xdr:col>36</xdr:col>
                    <xdr:colOff>508000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66" name="Button 1168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5</xdr:row>
                    <xdr:rowOff>63500</xdr:rowOff>
                  </from>
                  <to>
                    <xdr:col>37</xdr:col>
                    <xdr:colOff>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67" name="Button 1169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6</xdr:row>
                    <xdr:rowOff>63500</xdr:rowOff>
                  </from>
                  <to>
                    <xdr:col>36</xdr:col>
                    <xdr:colOff>508000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68" name="Button 1170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6</xdr:row>
                    <xdr:rowOff>63500</xdr:rowOff>
                  </from>
                  <to>
                    <xdr:col>37</xdr:col>
                    <xdr:colOff>0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69" name="Button 1171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7</xdr:row>
                    <xdr:rowOff>63500</xdr:rowOff>
                  </from>
                  <to>
                    <xdr:col>36</xdr:col>
                    <xdr:colOff>508000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70" name="Button 1172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7</xdr:row>
                    <xdr:rowOff>63500</xdr:rowOff>
                  </from>
                  <to>
                    <xdr:col>37</xdr:col>
                    <xdr:colOff>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71" name="Button 1173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8</xdr:row>
                    <xdr:rowOff>63500</xdr:rowOff>
                  </from>
                  <to>
                    <xdr:col>36</xdr:col>
                    <xdr:colOff>508000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72" name="Button 1174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8</xdr:row>
                    <xdr:rowOff>63500</xdr:rowOff>
                  </from>
                  <to>
                    <xdr:col>37</xdr:col>
                    <xdr:colOff>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73" name="Button 1175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9</xdr:row>
                    <xdr:rowOff>63500</xdr:rowOff>
                  </from>
                  <to>
                    <xdr:col>36</xdr:col>
                    <xdr:colOff>508000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74" name="Button 1176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9</xdr:row>
                    <xdr:rowOff>63500</xdr:rowOff>
                  </from>
                  <to>
                    <xdr:col>37</xdr:col>
                    <xdr:colOff>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75" name="Button 1177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10</xdr:row>
                    <xdr:rowOff>63500</xdr:rowOff>
                  </from>
                  <to>
                    <xdr:col>36</xdr:col>
                    <xdr:colOff>508000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76" name="Button 1178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10</xdr:row>
                    <xdr:rowOff>63500</xdr:rowOff>
                  </from>
                  <to>
                    <xdr:col>37</xdr:col>
                    <xdr:colOff>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77" name="Button 1179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13</xdr:row>
                    <xdr:rowOff>63500</xdr:rowOff>
                  </from>
                  <to>
                    <xdr:col>36</xdr:col>
                    <xdr:colOff>508000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78" name="Button 1180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13</xdr:row>
                    <xdr:rowOff>63500</xdr:rowOff>
                  </from>
                  <to>
                    <xdr:col>37</xdr:col>
                    <xdr:colOff>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79" name="Button 1181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15</xdr:row>
                    <xdr:rowOff>63500</xdr:rowOff>
                  </from>
                  <to>
                    <xdr:col>36</xdr:col>
                    <xdr:colOff>508000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6" r:id="rId180" name="Button 1182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15</xdr:row>
                    <xdr:rowOff>63500</xdr:rowOff>
                  </from>
                  <to>
                    <xdr:col>37</xdr:col>
                    <xdr:colOff>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9" r:id="rId181" name="Check Box 1185">
              <controlPr defaultSize="0" autoFill="0" autoLine="0" autoPict="0">
                <anchor moveWithCells="1">
                  <from>
                    <xdr:col>10</xdr:col>
                    <xdr:colOff>63500</xdr:colOff>
                    <xdr:row>17</xdr:row>
                    <xdr:rowOff>165100</xdr:rowOff>
                  </from>
                  <to>
                    <xdr:col>10</xdr:col>
                    <xdr:colOff>469900</xdr:colOff>
                    <xdr:row>18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0" r:id="rId182" name="Check Box 1186">
              <controlPr defaultSize="0" autoFill="0" autoLine="0" autoPict="0">
                <anchor moveWithCells="1">
                  <from>
                    <xdr:col>10</xdr:col>
                    <xdr:colOff>63500</xdr:colOff>
                    <xdr:row>7</xdr:row>
                    <xdr:rowOff>152400</xdr:rowOff>
                  </from>
                  <to>
                    <xdr:col>10</xdr:col>
                    <xdr:colOff>469900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3" r:id="rId183" name="Check Box 1189">
              <controlPr defaultSize="0" autoFill="0" autoLine="0" autoPict="0">
                <anchor moveWithCells="1">
                  <from>
                    <xdr:col>10</xdr:col>
                    <xdr:colOff>50800</xdr:colOff>
                    <xdr:row>22</xdr:row>
                    <xdr:rowOff>50800</xdr:rowOff>
                  </from>
                  <to>
                    <xdr:col>10</xdr:col>
                    <xdr:colOff>457200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4" r:id="rId184" name="Check Box 1190">
              <controlPr defaultSize="0" autoFill="0" autoLine="0" autoPict="0">
                <anchor moveWithCells="1">
                  <from>
                    <xdr:col>4</xdr:col>
                    <xdr:colOff>12700</xdr:colOff>
                    <xdr:row>25</xdr:row>
                    <xdr:rowOff>12700</xdr:rowOff>
                  </from>
                  <to>
                    <xdr:col>10</xdr:col>
                    <xdr:colOff>431800</xdr:colOff>
                    <xdr:row>25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5" r:id="rId185" name="Check Box 1191">
              <controlPr defaultSize="0" autoFill="0" autoLine="0" autoPict="0">
                <anchor moveWithCells="1">
                  <from>
                    <xdr:col>4</xdr:col>
                    <xdr:colOff>12700</xdr:colOff>
                    <xdr:row>31</xdr:row>
                    <xdr:rowOff>25400</xdr:rowOff>
                  </from>
                  <to>
                    <xdr:col>10</xdr:col>
                    <xdr:colOff>406400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7" r:id="rId186" name="Check Box 1193">
              <controlPr defaultSize="0" autoFill="0" autoLine="0" autoPict="0">
                <anchor moveWithCells="1">
                  <from>
                    <xdr:col>10</xdr:col>
                    <xdr:colOff>88900</xdr:colOff>
                    <xdr:row>53</xdr:row>
                    <xdr:rowOff>12700</xdr:rowOff>
                  </from>
                  <to>
                    <xdr:col>10</xdr:col>
                    <xdr:colOff>482600</xdr:colOff>
                    <xdr:row>53</xdr:row>
                    <xdr:rowOff>279400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8" r:id="rId187" name="Check Box 1194">
              <controlPr defaultSize="0" autoFill="0" autoLine="0" autoPict="0">
                <anchor moveWithCells="1">
                  <from>
                    <xdr:col>10</xdr:col>
                    <xdr:colOff>25400</xdr:colOff>
                    <xdr:row>64</xdr:row>
                    <xdr:rowOff>38100</xdr:rowOff>
                  </from>
                  <to>
                    <xdr:col>10</xdr:col>
                    <xdr:colOff>431800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1" r:id="rId188" name="Check Box 1197">
              <controlPr defaultSize="0" autoFill="0" autoLine="0" autoPict="0">
                <anchor moveWithCells="1">
                  <from>
                    <xdr:col>4</xdr:col>
                    <xdr:colOff>0</xdr:colOff>
                    <xdr:row>78</xdr:row>
                    <xdr:rowOff>50800</xdr:rowOff>
                  </from>
                  <to>
                    <xdr:col>10</xdr:col>
                    <xdr:colOff>406400</xdr:colOff>
                    <xdr:row>79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3" r:id="rId189" name="Check Box 1199">
              <controlPr defaultSize="0" autoFill="0" autoLine="0" autoPict="0">
                <anchor moveWithCells="1">
                  <from>
                    <xdr:col>4</xdr:col>
                    <xdr:colOff>0</xdr:colOff>
                    <xdr:row>86</xdr:row>
                    <xdr:rowOff>152400</xdr:rowOff>
                  </from>
                  <to>
                    <xdr:col>10</xdr:col>
                    <xdr:colOff>406400</xdr:colOff>
                    <xdr:row>87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4" r:id="rId190" name="Check Box 1200">
              <controlPr defaultSize="0" autoFill="0" autoLine="0" autoPict="0">
                <anchor moveWithCells="1">
                  <from>
                    <xdr:col>4</xdr:col>
                    <xdr:colOff>0</xdr:colOff>
                    <xdr:row>94</xdr:row>
                    <xdr:rowOff>152400</xdr:rowOff>
                  </from>
                  <to>
                    <xdr:col>10</xdr:col>
                    <xdr:colOff>406400</xdr:colOff>
                    <xdr:row>95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5" r:id="rId191" name="Check Box 1201">
              <controlPr defaultSize="0" autoFill="0" autoLine="0" autoPict="0">
                <anchor moveWithCells="1">
                  <from>
                    <xdr:col>4</xdr:col>
                    <xdr:colOff>0</xdr:colOff>
                    <xdr:row>102</xdr:row>
                    <xdr:rowOff>152400</xdr:rowOff>
                  </from>
                  <to>
                    <xdr:col>10</xdr:col>
                    <xdr:colOff>406400</xdr:colOff>
                    <xdr:row>103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6" r:id="rId192" name="Check Box 1202">
              <controlPr defaultSize="0" autoFill="0" autoLine="0" autoPict="0">
                <anchor moveWithCells="1">
                  <from>
                    <xdr:col>4</xdr:col>
                    <xdr:colOff>0</xdr:colOff>
                    <xdr:row>111</xdr:row>
                    <xdr:rowOff>152400</xdr:rowOff>
                  </from>
                  <to>
                    <xdr:col>10</xdr:col>
                    <xdr:colOff>406400</xdr:colOff>
                    <xdr:row>112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7" r:id="rId193" name="Check Box 1203">
              <controlPr defaultSize="0" autoFill="0" autoLine="0" autoPict="0">
                <anchor moveWithCells="1">
                  <from>
                    <xdr:col>4</xdr:col>
                    <xdr:colOff>0</xdr:colOff>
                    <xdr:row>128</xdr:row>
                    <xdr:rowOff>152400</xdr:rowOff>
                  </from>
                  <to>
                    <xdr:col>10</xdr:col>
                    <xdr:colOff>406400</xdr:colOff>
                    <xdr:row>129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4" r:id="rId194" name="Button 1210">
              <controlPr defaultSize="0" print="0" autoFill="0" autoPict="0" macro="[0]!단추_Make_Unit_MODULE_INTERFACE_Click">
                <anchor moveWithCells="1" sizeWithCells="1">
                  <from>
                    <xdr:col>35</xdr:col>
                    <xdr:colOff>457200</xdr:colOff>
                    <xdr:row>26</xdr:row>
                    <xdr:rowOff>76200</xdr:rowOff>
                  </from>
                  <to>
                    <xdr:col>35</xdr:col>
                    <xdr:colOff>876300</xdr:colOff>
                    <xdr:row>26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5" r:id="rId195" name="Button 1211">
              <controlPr defaultSize="0" print="0" autoFill="0" autoPict="0" macro="[0]!단추_Make_Unit_MODULE_INDEX_Click">
                <anchor moveWithCells="1" sizeWithCells="1">
                  <from>
                    <xdr:col>31</xdr:col>
                    <xdr:colOff>12700</xdr:colOff>
                    <xdr:row>26</xdr:row>
                    <xdr:rowOff>76200</xdr:rowOff>
                  </from>
                  <to>
                    <xdr:col>35</xdr:col>
                    <xdr:colOff>431800</xdr:colOff>
                    <xdr:row>26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6" r:id="rId196" name="Button 1212">
              <controlPr defaultSize="0" print="0" autoFill="0" autoPict="0" macro="[0]!단추_Make_Unit_MODULE_CONTROLLER_Click">
                <anchor moveWithCells="1" sizeWithCells="1">
                  <from>
                    <xdr:col>35</xdr:col>
                    <xdr:colOff>889000</xdr:colOff>
                    <xdr:row>26</xdr:row>
                    <xdr:rowOff>76200</xdr:rowOff>
                  </from>
                  <to>
                    <xdr:col>35</xdr:col>
                    <xdr:colOff>1409700</xdr:colOff>
                    <xdr:row>26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7" r:id="rId197" name="Button 1213">
              <controlPr defaultSize="0" print="0" autoFill="0" autoPict="0" macro="[0]!단추_Make_Unit_ALL_Click">
                <anchor moveWithCells="1" sizeWithCells="1">
                  <from>
                    <xdr:col>35</xdr:col>
                    <xdr:colOff>1422400</xdr:colOff>
                    <xdr:row>26</xdr:row>
                    <xdr:rowOff>76200</xdr:rowOff>
                  </from>
                  <to>
                    <xdr:col>36</xdr:col>
                    <xdr:colOff>0</xdr:colOff>
                    <xdr:row>26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0" r:id="rId198" name="Button 1216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26</xdr:row>
                    <xdr:rowOff>63500</xdr:rowOff>
                  </from>
                  <to>
                    <xdr:col>36</xdr:col>
                    <xdr:colOff>508000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1" r:id="rId199" name="Button 1217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26</xdr:row>
                    <xdr:rowOff>63500</xdr:rowOff>
                  </from>
                  <to>
                    <xdr:col>37</xdr:col>
                    <xdr:colOff>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2" r:id="rId200" name="Button 1218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28</xdr:row>
                    <xdr:rowOff>63500</xdr:rowOff>
                  </from>
                  <to>
                    <xdr:col>36</xdr:col>
                    <xdr:colOff>508000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3" r:id="rId201" name="Button 1219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28</xdr:row>
                    <xdr:rowOff>63500</xdr:rowOff>
                  </from>
                  <to>
                    <xdr:col>37</xdr:col>
                    <xdr:colOff>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4" r:id="rId202" name="Button 1220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29</xdr:row>
                    <xdr:rowOff>63500</xdr:rowOff>
                  </from>
                  <to>
                    <xdr:col>36</xdr:col>
                    <xdr:colOff>508000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5" r:id="rId203" name="Button 1221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29</xdr:row>
                    <xdr:rowOff>63500</xdr:rowOff>
                  </from>
                  <to>
                    <xdr:col>37</xdr:col>
                    <xdr:colOff>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204" name="Button 1222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30</xdr:row>
                    <xdr:rowOff>63500</xdr:rowOff>
                  </from>
                  <to>
                    <xdr:col>36</xdr:col>
                    <xdr:colOff>508000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205" name="Button 1223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30</xdr:row>
                    <xdr:rowOff>63500</xdr:rowOff>
                  </from>
                  <to>
                    <xdr:col>37</xdr:col>
                    <xdr:colOff>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206" name="Button 1224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31</xdr:row>
                    <xdr:rowOff>63500</xdr:rowOff>
                  </from>
                  <to>
                    <xdr:col>36</xdr:col>
                    <xdr:colOff>508000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9" r:id="rId207" name="Button 1225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31</xdr:row>
                    <xdr:rowOff>63500</xdr:rowOff>
                  </from>
                  <to>
                    <xdr:col>37</xdr:col>
                    <xdr:colOff>0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208" name="Button 1226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32</xdr:row>
                    <xdr:rowOff>63500</xdr:rowOff>
                  </from>
                  <to>
                    <xdr:col>36</xdr:col>
                    <xdr:colOff>508000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209" name="Button 1227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32</xdr:row>
                    <xdr:rowOff>63500</xdr:rowOff>
                  </from>
                  <to>
                    <xdr:col>37</xdr:col>
                    <xdr:colOff>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210" name="Button 1228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33</xdr:row>
                    <xdr:rowOff>63500</xdr:rowOff>
                  </from>
                  <to>
                    <xdr:col>36</xdr:col>
                    <xdr:colOff>508000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211" name="Button 1229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33</xdr:row>
                    <xdr:rowOff>63500</xdr:rowOff>
                  </from>
                  <to>
                    <xdr:col>37</xdr:col>
                    <xdr:colOff>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212" name="Button 1230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34</xdr:row>
                    <xdr:rowOff>63500</xdr:rowOff>
                  </from>
                  <to>
                    <xdr:col>36</xdr:col>
                    <xdr:colOff>508000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213" name="Button 1231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34</xdr:row>
                    <xdr:rowOff>63500</xdr:rowOff>
                  </from>
                  <to>
                    <xdr:col>37</xdr:col>
                    <xdr:colOff>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214" name="Button 1232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41</xdr:row>
                    <xdr:rowOff>63500</xdr:rowOff>
                  </from>
                  <to>
                    <xdr:col>36</xdr:col>
                    <xdr:colOff>508000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7" r:id="rId215" name="Button 1233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41</xdr:row>
                    <xdr:rowOff>63500</xdr:rowOff>
                  </from>
                  <to>
                    <xdr:col>37</xdr:col>
                    <xdr:colOff>0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216" name="Button 1255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47</xdr:row>
                    <xdr:rowOff>63500</xdr:rowOff>
                  </from>
                  <to>
                    <xdr:col>36</xdr:col>
                    <xdr:colOff>508000</xdr:colOff>
                    <xdr:row>47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217" name="Button 1256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47</xdr:row>
                    <xdr:rowOff>63500</xdr:rowOff>
                  </from>
                  <to>
                    <xdr:col>37</xdr:col>
                    <xdr:colOff>0</xdr:colOff>
                    <xdr:row>47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1" r:id="rId218" name="Button 1257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48</xdr:row>
                    <xdr:rowOff>63500</xdr:rowOff>
                  </from>
                  <to>
                    <xdr:col>36</xdr:col>
                    <xdr:colOff>508000</xdr:colOff>
                    <xdr:row>48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219" name="Button 1258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48</xdr:row>
                    <xdr:rowOff>63500</xdr:rowOff>
                  </from>
                  <to>
                    <xdr:col>37</xdr:col>
                    <xdr:colOff>0</xdr:colOff>
                    <xdr:row>48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220" name="Button 1259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49</xdr:row>
                    <xdr:rowOff>63500</xdr:rowOff>
                  </from>
                  <to>
                    <xdr:col>36</xdr:col>
                    <xdr:colOff>508000</xdr:colOff>
                    <xdr:row>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221" name="Button 1260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49</xdr:row>
                    <xdr:rowOff>63500</xdr:rowOff>
                  </from>
                  <to>
                    <xdr:col>37</xdr:col>
                    <xdr:colOff>0</xdr:colOff>
                    <xdr:row>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222" name="Button 1261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50</xdr:row>
                    <xdr:rowOff>63500</xdr:rowOff>
                  </from>
                  <to>
                    <xdr:col>36</xdr:col>
                    <xdr:colOff>508000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223" name="Button 1262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50</xdr:row>
                    <xdr:rowOff>63500</xdr:rowOff>
                  </from>
                  <to>
                    <xdr:col>37</xdr:col>
                    <xdr:colOff>0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224" name="Button 1263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51</xdr:row>
                    <xdr:rowOff>63500</xdr:rowOff>
                  </from>
                  <to>
                    <xdr:col>36</xdr:col>
                    <xdr:colOff>508000</xdr:colOff>
                    <xdr:row>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225" name="Button 1264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51</xdr:row>
                    <xdr:rowOff>63500</xdr:rowOff>
                  </from>
                  <to>
                    <xdr:col>37</xdr:col>
                    <xdr:colOff>0</xdr:colOff>
                    <xdr:row>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226" name="Button 1269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54</xdr:row>
                    <xdr:rowOff>63500</xdr:rowOff>
                  </from>
                  <to>
                    <xdr:col>36</xdr:col>
                    <xdr:colOff>508000</xdr:colOff>
                    <xdr:row>54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227" name="Button 1270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54</xdr:row>
                    <xdr:rowOff>63500</xdr:rowOff>
                  </from>
                  <to>
                    <xdr:col>37</xdr:col>
                    <xdr:colOff>0</xdr:colOff>
                    <xdr:row>54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228" name="Button 1271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55</xdr:row>
                    <xdr:rowOff>63500</xdr:rowOff>
                  </from>
                  <to>
                    <xdr:col>36</xdr:col>
                    <xdr:colOff>508000</xdr:colOff>
                    <xdr:row>55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229" name="Button 1272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55</xdr:row>
                    <xdr:rowOff>63500</xdr:rowOff>
                  </from>
                  <to>
                    <xdr:col>37</xdr:col>
                    <xdr:colOff>0</xdr:colOff>
                    <xdr:row>55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7" r:id="rId230" name="Button 1273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56</xdr:row>
                    <xdr:rowOff>63500</xdr:rowOff>
                  </from>
                  <to>
                    <xdr:col>36</xdr:col>
                    <xdr:colOff>508000</xdr:colOff>
                    <xdr:row>56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231" name="Button 1274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56</xdr:row>
                    <xdr:rowOff>63500</xdr:rowOff>
                  </from>
                  <to>
                    <xdr:col>37</xdr:col>
                    <xdr:colOff>0</xdr:colOff>
                    <xdr:row>56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232" name="Button 1275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57</xdr:row>
                    <xdr:rowOff>63500</xdr:rowOff>
                  </from>
                  <to>
                    <xdr:col>36</xdr:col>
                    <xdr:colOff>508000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233" name="Button 1276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57</xdr:row>
                    <xdr:rowOff>63500</xdr:rowOff>
                  </from>
                  <to>
                    <xdr:col>37</xdr:col>
                    <xdr:colOff>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234" name="Button 1277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58</xdr:row>
                    <xdr:rowOff>63500</xdr:rowOff>
                  </from>
                  <to>
                    <xdr:col>36</xdr:col>
                    <xdr:colOff>508000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235" name="Button 1278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58</xdr:row>
                    <xdr:rowOff>63500</xdr:rowOff>
                  </from>
                  <to>
                    <xdr:col>37</xdr:col>
                    <xdr:colOff>0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236" name="Button 1279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59</xdr:row>
                    <xdr:rowOff>63500</xdr:rowOff>
                  </from>
                  <to>
                    <xdr:col>36</xdr:col>
                    <xdr:colOff>508000</xdr:colOff>
                    <xdr:row>59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237" name="Button 1280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59</xdr:row>
                    <xdr:rowOff>63500</xdr:rowOff>
                  </from>
                  <to>
                    <xdr:col>37</xdr:col>
                    <xdr:colOff>0</xdr:colOff>
                    <xdr:row>59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5" r:id="rId238" name="Button 1281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711200</xdr:colOff>
                    <xdr:row>74</xdr:row>
                    <xdr:rowOff>63500</xdr:rowOff>
                  </from>
                  <to>
                    <xdr:col>37</xdr:col>
                    <xdr:colOff>0</xdr:colOff>
                    <xdr:row>74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239" name="Button 1282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101600</xdr:colOff>
                    <xdr:row>74</xdr:row>
                    <xdr:rowOff>63500</xdr:rowOff>
                  </from>
                  <to>
                    <xdr:col>36</xdr:col>
                    <xdr:colOff>495300</xdr:colOff>
                    <xdr:row>74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240" name="Button 1283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711200</xdr:colOff>
                    <xdr:row>77</xdr:row>
                    <xdr:rowOff>63500</xdr:rowOff>
                  </from>
                  <to>
                    <xdr:col>37</xdr:col>
                    <xdr:colOff>0</xdr:colOff>
                    <xdr:row>77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241" name="Button 1284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101600</xdr:colOff>
                    <xdr:row>77</xdr:row>
                    <xdr:rowOff>63500</xdr:rowOff>
                  </from>
                  <to>
                    <xdr:col>36</xdr:col>
                    <xdr:colOff>495300</xdr:colOff>
                    <xdr:row>77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242" name="Button 1285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711200</xdr:colOff>
                    <xdr:row>78</xdr:row>
                    <xdr:rowOff>63500</xdr:rowOff>
                  </from>
                  <to>
                    <xdr:col>37</xdr:col>
                    <xdr:colOff>0</xdr:colOff>
                    <xdr:row>78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243" name="Button 1286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101600</xdr:colOff>
                    <xdr:row>78</xdr:row>
                    <xdr:rowOff>63500</xdr:rowOff>
                  </from>
                  <to>
                    <xdr:col>36</xdr:col>
                    <xdr:colOff>495300</xdr:colOff>
                    <xdr:row>78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3" r:id="rId244" name="Button 1289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79</xdr:row>
                    <xdr:rowOff>63500</xdr:rowOff>
                  </from>
                  <to>
                    <xdr:col>36</xdr:col>
                    <xdr:colOff>584200</xdr:colOff>
                    <xdr:row>79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245" name="Button 1290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508000</xdr:colOff>
                    <xdr:row>79</xdr:row>
                    <xdr:rowOff>63500</xdr:rowOff>
                  </from>
                  <to>
                    <xdr:col>37</xdr:col>
                    <xdr:colOff>0</xdr:colOff>
                    <xdr:row>79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246" name="Button 1291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711200</xdr:colOff>
                    <xdr:row>80</xdr:row>
                    <xdr:rowOff>63500</xdr:rowOff>
                  </from>
                  <to>
                    <xdr:col>37</xdr:col>
                    <xdr:colOff>0</xdr:colOff>
                    <xdr:row>80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247" name="Button 1292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101600</xdr:colOff>
                    <xdr:row>80</xdr:row>
                    <xdr:rowOff>63500</xdr:rowOff>
                  </from>
                  <to>
                    <xdr:col>36</xdr:col>
                    <xdr:colOff>495300</xdr:colOff>
                    <xdr:row>80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3" r:id="rId248" name="Button 1879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711200</xdr:colOff>
                    <xdr:row>76</xdr:row>
                    <xdr:rowOff>63500</xdr:rowOff>
                  </from>
                  <to>
                    <xdr:col>37</xdr:col>
                    <xdr:colOff>0</xdr:colOff>
                    <xdr:row>76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4" r:id="rId249" name="Button 1880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101600</xdr:colOff>
                    <xdr:row>76</xdr:row>
                    <xdr:rowOff>63500</xdr:rowOff>
                  </from>
                  <to>
                    <xdr:col>36</xdr:col>
                    <xdr:colOff>495300</xdr:colOff>
                    <xdr:row>76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1" r:id="rId250" name="Button 1887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86</xdr:row>
                    <xdr:rowOff>63500</xdr:rowOff>
                  </from>
                  <to>
                    <xdr:col>36</xdr:col>
                    <xdr:colOff>508000</xdr:colOff>
                    <xdr:row>86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2" r:id="rId251" name="Button 1888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86</xdr:row>
                    <xdr:rowOff>63500</xdr:rowOff>
                  </from>
                  <to>
                    <xdr:col>37</xdr:col>
                    <xdr:colOff>0</xdr:colOff>
                    <xdr:row>86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3" r:id="rId252" name="Button 1889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87</xdr:row>
                    <xdr:rowOff>63500</xdr:rowOff>
                  </from>
                  <to>
                    <xdr:col>36</xdr:col>
                    <xdr:colOff>508000</xdr:colOff>
                    <xdr:row>87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4" r:id="rId253" name="Button 1890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87</xdr:row>
                    <xdr:rowOff>63500</xdr:rowOff>
                  </from>
                  <to>
                    <xdr:col>37</xdr:col>
                    <xdr:colOff>0</xdr:colOff>
                    <xdr:row>87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5" r:id="rId254" name="Button 1891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89</xdr:row>
                    <xdr:rowOff>63500</xdr:rowOff>
                  </from>
                  <to>
                    <xdr:col>36</xdr:col>
                    <xdr:colOff>508000</xdr:colOff>
                    <xdr:row>89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6" r:id="rId255" name="Button 1892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89</xdr:row>
                    <xdr:rowOff>63500</xdr:rowOff>
                  </from>
                  <to>
                    <xdr:col>37</xdr:col>
                    <xdr:colOff>0</xdr:colOff>
                    <xdr:row>89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7" r:id="rId256" name="Button 1893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90</xdr:row>
                    <xdr:rowOff>63500</xdr:rowOff>
                  </from>
                  <to>
                    <xdr:col>36</xdr:col>
                    <xdr:colOff>508000</xdr:colOff>
                    <xdr:row>90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8" r:id="rId257" name="Button 1894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90</xdr:row>
                    <xdr:rowOff>63500</xdr:rowOff>
                  </from>
                  <to>
                    <xdr:col>37</xdr:col>
                    <xdr:colOff>0</xdr:colOff>
                    <xdr:row>90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9" r:id="rId258" name="Button 1895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91</xdr:row>
                    <xdr:rowOff>63500</xdr:rowOff>
                  </from>
                  <to>
                    <xdr:col>36</xdr:col>
                    <xdr:colOff>508000</xdr:colOff>
                    <xdr:row>91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0" r:id="rId259" name="Button 1896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91</xdr:row>
                    <xdr:rowOff>63500</xdr:rowOff>
                  </from>
                  <to>
                    <xdr:col>37</xdr:col>
                    <xdr:colOff>0</xdr:colOff>
                    <xdr:row>91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1" r:id="rId260" name="Button 1897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93</xdr:row>
                    <xdr:rowOff>63500</xdr:rowOff>
                  </from>
                  <to>
                    <xdr:col>36</xdr:col>
                    <xdr:colOff>508000</xdr:colOff>
                    <xdr:row>93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2" r:id="rId261" name="Button 1898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93</xdr:row>
                    <xdr:rowOff>63500</xdr:rowOff>
                  </from>
                  <to>
                    <xdr:col>37</xdr:col>
                    <xdr:colOff>0</xdr:colOff>
                    <xdr:row>93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9" r:id="rId262" name="Button 1905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92</xdr:row>
                    <xdr:rowOff>63500</xdr:rowOff>
                  </from>
                  <to>
                    <xdr:col>36</xdr:col>
                    <xdr:colOff>508000</xdr:colOff>
                    <xdr:row>92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0" r:id="rId263" name="Button 1906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92</xdr:row>
                    <xdr:rowOff>63500</xdr:rowOff>
                  </from>
                  <to>
                    <xdr:col>37</xdr:col>
                    <xdr:colOff>0</xdr:colOff>
                    <xdr:row>92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3" r:id="rId264" name="Button 1929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2</xdr:row>
                    <xdr:rowOff>63500</xdr:rowOff>
                  </from>
                  <to>
                    <xdr:col>39</xdr:col>
                    <xdr:colOff>406400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4" r:id="rId265" name="Button 1930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2</xdr:row>
                    <xdr:rowOff>63500</xdr:rowOff>
                  </from>
                  <to>
                    <xdr:col>39</xdr:col>
                    <xdr:colOff>774700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5" r:id="rId266" name="Button 1931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3</xdr:row>
                    <xdr:rowOff>63500</xdr:rowOff>
                  </from>
                  <to>
                    <xdr:col>39</xdr:col>
                    <xdr:colOff>203200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6" r:id="rId267" name="Button 1932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711200</xdr:colOff>
                    <xdr:row>3</xdr:row>
                    <xdr:rowOff>63500</xdr:rowOff>
                  </from>
                  <to>
                    <xdr:col>39</xdr:col>
                    <xdr:colOff>774700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7" r:id="rId268" name="Button 1933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4</xdr:row>
                    <xdr:rowOff>63500</xdr:rowOff>
                  </from>
                  <to>
                    <xdr:col>39</xdr:col>
                    <xdr:colOff>406400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8" r:id="rId269" name="Button 1934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4</xdr:row>
                    <xdr:rowOff>63500</xdr:rowOff>
                  </from>
                  <to>
                    <xdr:col>39</xdr:col>
                    <xdr:colOff>774700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9" r:id="rId270" name="Button 1935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5</xdr:row>
                    <xdr:rowOff>63500</xdr:rowOff>
                  </from>
                  <to>
                    <xdr:col>39</xdr:col>
                    <xdr:colOff>406400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0" r:id="rId271" name="Button 1936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5</xdr:row>
                    <xdr:rowOff>63500</xdr:rowOff>
                  </from>
                  <to>
                    <xdr:col>39</xdr:col>
                    <xdr:colOff>774700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1" r:id="rId272" name="Button 193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6</xdr:row>
                    <xdr:rowOff>63500</xdr:rowOff>
                  </from>
                  <to>
                    <xdr:col>39</xdr:col>
                    <xdr:colOff>406400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2" r:id="rId273" name="Button 193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6</xdr:row>
                    <xdr:rowOff>63500</xdr:rowOff>
                  </from>
                  <to>
                    <xdr:col>39</xdr:col>
                    <xdr:colOff>774700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3" r:id="rId274" name="Button 1939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7</xdr:row>
                    <xdr:rowOff>63500</xdr:rowOff>
                  </from>
                  <to>
                    <xdr:col>39</xdr:col>
                    <xdr:colOff>406400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4" r:id="rId275" name="Button 1940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7</xdr:row>
                    <xdr:rowOff>63500</xdr:rowOff>
                  </from>
                  <to>
                    <xdr:col>39</xdr:col>
                    <xdr:colOff>774700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5" r:id="rId276" name="Button 1941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8</xdr:row>
                    <xdr:rowOff>63500</xdr:rowOff>
                  </from>
                  <to>
                    <xdr:col>39</xdr:col>
                    <xdr:colOff>406400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6" r:id="rId277" name="Button 1942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8</xdr:row>
                    <xdr:rowOff>63500</xdr:rowOff>
                  </from>
                  <to>
                    <xdr:col>39</xdr:col>
                    <xdr:colOff>774700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7" r:id="rId278" name="Button 1943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9</xdr:row>
                    <xdr:rowOff>63500</xdr:rowOff>
                  </from>
                  <to>
                    <xdr:col>39</xdr:col>
                    <xdr:colOff>406400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8" r:id="rId279" name="Button 1944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9</xdr:row>
                    <xdr:rowOff>63500</xdr:rowOff>
                  </from>
                  <to>
                    <xdr:col>39</xdr:col>
                    <xdr:colOff>774700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9" r:id="rId280" name="Button 1945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10</xdr:row>
                    <xdr:rowOff>63500</xdr:rowOff>
                  </from>
                  <to>
                    <xdr:col>39</xdr:col>
                    <xdr:colOff>406400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0" r:id="rId281" name="Button 1946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10</xdr:row>
                    <xdr:rowOff>63500</xdr:rowOff>
                  </from>
                  <to>
                    <xdr:col>39</xdr:col>
                    <xdr:colOff>774700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1" r:id="rId282" name="Button 194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11</xdr:row>
                    <xdr:rowOff>63500</xdr:rowOff>
                  </from>
                  <to>
                    <xdr:col>39</xdr:col>
                    <xdr:colOff>203200</xdr:colOff>
                    <xdr:row>11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2" r:id="rId283" name="Button 194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711200</xdr:colOff>
                    <xdr:row>11</xdr:row>
                    <xdr:rowOff>63500</xdr:rowOff>
                  </from>
                  <to>
                    <xdr:col>39</xdr:col>
                    <xdr:colOff>774700</xdr:colOff>
                    <xdr:row>11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3" r:id="rId284" name="Button 1949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12</xdr:row>
                    <xdr:rowOff>63500</xdr:rowOff>
                  </from>
                  <to>
                    <xdr:col>39</xdr:col>
                    <xdr:colOff>203200</xdr:colOff>
                    <xdr:row>12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4" r:id="rId285" name="Button 1950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711200</xdr:colOff>
                    <xdr:row>12</xdr:row>
                    <xdr:rowOff>63500</xdr:rowOff>
                  </from>
                  <to>
                    <xdr:col>39</xdr:col>
                    <xdr:colOff>774700</xdr:colOff>
                    <xdr:row>12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5" r:id="rId286" name="Button 1951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13</xdr:row>
                    <xdr:rowOff>63500</xdr:rowOff>
                  </from>
                  <to>
                    <xdr:col>39</xdr:col>
                    <xdr:colOff>406400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6" r:id="rId287" name="Button 1952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13</xdr:row>
                    <xdr:rowOff>63500</xdr:rowOff>
                  </from>
                  <to>
                    <xdr:col>39</xdr:col>
                    <xdr:colOff>774700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7" r:id="rId288" name="Button 1953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14</xdr:row>
                    <xdr:rowOff>63500</xdr:rowOff>
                  </from>
                  <to>
                    <xdr:col>39</xdr:col>
                    <xdr:colOff>203200</xdr:colOff>
                    <xdr:row>14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8" r:id="rId289" name="Button 1954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711200</xdr:colOff>
                    <xdr:row>14</xdr:row>
                    <xdr:rowOff>63500</xdr:rowOff>
                  </from>
                  <to>
                    <xdr:col>39</xdr:col>
                    <xdr:colOff>774700</xdr:colOff>
                    <xdr:row>14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" r:id="rId290" name="Button 1955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15</xdr:row>
                    <xdr:rowOff>63500</xdr:rowOff>
                  </from>
                  <to>
                    <xdr:col>39</xdr:col>
                    <xdr:colOff>406400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0" r:id="rId291" name="Button 1956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15</xdr:row>
                    <xdr:rowOff>63500</xdr:rowOff>
                  </from>
                  <to>
                    <xdr:col>39</xdr:col>
                    <xdr:colOff>774700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1" r:id="rId292" name="Button 195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16</xdr:row>
                    <xdr:rowOff>63500</xdr:rowOff>
                  </from>
                  <to>
                    <xdr:col>39</xdr:col>
                    <xdr:colOff>406400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2" r:id="rId293" name="Button 195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16</xdr:row>
                    <xdr:rowOff>63500</xdr:rowOff>
                  </from>
                  <to>
                    <xdr:col>39</xdr:col>
                    <xdr:colOff>774700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3" r:id="rId294" name="Button 1959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17</xdr:row>
                    <xdr:rowOff>63500</xdr:rowOff>
                  </from>
                  <to>
                    <xdr:col>39</xdr:col>
                    <xdr:colOff>406400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4" r:id="rId295" name="Button 1960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17</xdr:row>
                    <xdr:rowOff>63500</xdr:rowOff>
                  </from>
                  <to>
                    <xdr:col>39</xdr:col>
                    <xdr:colOff>774700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5" r:id="rId296" name="Button 1961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18</xdr:row>
                    <xdr:rowOff>63500</xdr:rowOff>
                  </from>
                  <to>
                    <xdr:col>39</xdr:col>
                    <xdr:colOff>406400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6" r:id="rId297" name="Button 1962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18</xdr:row>
                    <xdr:rowOff>63500</xdr:rowOff>
                  </from>
                  <to>
                    <xdr:col>39</xdr:col>
                    <xdr:colOff>774700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7" r:id="rId298" name="Button 1963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19</xdr:row>
                    <xdr:rowOff>63500</xdr:rowOff>
                  </from>
                  <to>
                    <xdr:col>39</xdr:col>
                    <xdr:colOff>406400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8" r:id="rId299" name="Button 1964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19</xdr:row>
                    <xdr:rowOff>63500</xdr:rowOff>
                  </from>
                  <to>
                    <xdr:col>39</xdr:col>
                    <xdr:colOff>774700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9" r:id="rId300" name="Button 1965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20</xdr:row>
                    <xdr:rowOff>63500</xdr:rowOff>
                  </from>
                  <to>
                    <xdr:col>39</xdr:col>
                    <xdr:colOff>406400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0" r:id="rId301" name="Button 1966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20</xdr:row>
                    <xdr:rowOff>63500</xdr:rowOff>
                  </from>
                  <to>
                    <xdr:col>39</xdr:col>
                    <xdr:colOff>774700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1" r:id="rId302" name="Button 196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21</xdr:row>
                    <xdr:rowOff>63500</xdr:rowOff>
                  </from>
                  <to>
                    <xdr:col>39</xdr:col>
                    <xdr:colOff>406400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2" r:id="rId303" name="Button 196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21</xdr:row>
                    <xdr:rowOff>63500</xdr:rowOff>
                  </from>
                  <to>
                    <xdr:col>39</xdr:col>
                    <xdr:colOff>774700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3" r:id="rId304" name="Button 1969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22</xdr:row>
                    <xdr:rowOff>63500</xdr:rowOff>
                  </from>
                  <to>
                    <xdr:col>39</xdr:col>
                    <xdr:colOff>406400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4" r:id="rId305" name="Button 1970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22</xdr:row>
                    <xdr:rowOff>63500</xdr:rowOff>
                  </from>
                  <to>
                    <xdr:col>39</xdr:col>
                    <xdr:colOff>774700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5" r:id="rId306" name="Button 1971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23</xdr:row>
                    <xdr:rowOff>63500</xdr:rowOff>
                  </from>
                  <to>
                    <xdr:col>39</xdr:col>
                    <xdr:colOff>406400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6" r:id="rId307" name="Button 1972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23</xdr:row>
                    <xdr:rowOff>63500</xdr:rowOff>
                  </from>
                  <to>
                    <xdr:col>39</xdr:col>
                    <xdr:colOff>774700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7" r:id="rId308" name="Button 1973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24</xdr:row>
                    <xdr:rowOff>63500</xdr:rowOff>
                  </from>
                  <to>
                    <xdr:col>39</xdr:col>
                    <xdr:colOff>406400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8" r:id="rId309" name="Button 1974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24</xdr:row>
                    <xdr:rowOff>63500</xdr:rowOff>
                  </from>
                  <to>
                    <xdr:col>39</xdr:col>
                    <xdr:colOff>774700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9" r:id="rId310" name="Button 1975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25</xdr:row>
                    <xdr:rowOff>63500</xdr:rowOff>
                  </from>
                  <to>
                    <xdr:col>39</xdr:col>
                    <xdr:colOff>406400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0" r:id="rId311" name="Button 1976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25</xdr:row>
                    <xdr:rowOff>63500</xdr:rowOff>
                  </from>
                  <to>
                    <xdr:col>39</xdr:col>
                    <xdr:colOff>774700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1" r:id="rId312" name="Button 197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26</xdr:row>
                    <xdr:rowOff>63500</xdr:rowOff>
                  </from>
                  <to>
                    <xdr:col>39</xdr:col>
                    <xdr:colOff>406400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2" r:id="rId313" name="Button 197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26</xdr:row>
                    <xdr:rowOff>63500</xdr:rowOff>
                  </from>
                  <to>
                    <xdr:col>39</xdr:col>
                    <xdr:colOff>774700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3" r:id="rId314" name="Button 1979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27</xdr:row>
                    <xdr:rowOff>63500</xdr:rowOff>
                  </from>
                  <to>
                    <xdr:col>39</xdr:col>
                    <xdr:colOff>406400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4" r:id="rId315" name="Button 1980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27</xdr:row>
                    <xdr:rowOff>63500</xdr:rowOff>
                  </from>
                  <to>
                    <xdr:col>39</xdr:col>
                    <xdr:colOff>774700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5" r:id="rId316" name="Button 1981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28</xdr:row>
                    <xdr:rowOff>63500</xdr:rowOff>
                  </from>
                  <to>
                    <xdr:col>39</xdr:col>
                    <xdr:colOff>406400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6" r:id="rId317" name="Button 1982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28</xdr:row>
                    <xdr:rowOff>63500</xdr:rowOff>
                  </from>
                  <to>
                    <xdr:col>39</xdr:col>
                    <xdr:colOff>774700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7" r:id="rId318" name="Button 1983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29</xdr:row>
                    <xdr:rowOff>63500</xdr:rowOff>
                  </from>
                  <to>
                    <xdr:col>39</xdr:col>
                    <xdr:colOff>406400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8" r:id="rId319" name="Button 1984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29</xdr:row>
                    <xdr:rowOff>63500</xdr:rowOff>
                  </from>
                  <to>
                    <xdr:col>39</xdr:col>
                    <xdr:colOff>774700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9" r:id="rId320" name="Button 1985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30</xdr:row>
                    <xdr:rowOff>63500</xdr:rowOff>
                  </from>
                  <to>
                    <xdr:col>39</xdr:col>
                    <xdr:colOff>406400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0" r:id="rId321" name="Button 1986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30</xdr:row>
                    <xdr:rowOff>63500</xdr:rowOff>
                  </from>
                  <to>
                    <xdr:col>39</xdr:col>
                    <xdr:colOff>774700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1" r:id="rId322" name="Button 198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31</xdr:row>
                    <xdr:rowOff>63500</xdr:rowOff>
                  </from>
                  <to>
                    <xdr:col>39</xdr:col>
                    <xdr:colOff>406400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2" r:id="rId323" name="Button 198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31</xdr:row>
                    <xdr:rowOff>63500</xdr:rowOff>
                  </from>
                  <to>
                    <xdr:col>39</xdr:col>
                    <xdr:colOff>774700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3" r:id="rId324" name="Button 1989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32</xdr:row>
                    <xdr:rowOff>63500</xdr:rowOff>
                  </from>
                  <to>
                    <xdr:col>39</xdr:col>
                    <xdr:colOff>406400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4" r:id="rId325" name="Button 1990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32</xdr:row>
                    <xdr:rowOff>63500</xdr:rowOff>
                  </from>
                  <to>
                    <xdr:col>39</xdr:col>
                    <xdr:colOff>774700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5" r:id="rId326" name="Button 1991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33</xdr:row>
                    <xdr:rowOff>63500</xdr:rowOff>
                  </from>
                  <to>
                    <xdr:col>39</xdr:col>
                    <xdr:colOff>406400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6" r:id="rId327" name="Button 1992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33</xdr:row>
                    <xdr:rowOff>63500</xdr:rowOff>
                  </from>
                  <to>
                    <xdr:col>39</xdr:col>
                    <xdr:colOff>774700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7" r:id="rId328" name="Button 1993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34</xdr:row>
                    <xdr:rowOff>63500</xdr:rowOff>
                  </from>
                  <to>
                    <xdr:col>39</xdr:col>
                    <xdr:colOff>406400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8" r:id="rId329" name="Button 1994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34</xdr:row>
                    <xdr:rowOff>63500</xdr:rowOff>
                  </from>
                  <to>
                    <xdr:col>39</xdr:col>
                    <xdr:colOff>774700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9" r:id="rId330" name="Button 1995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35</xdr:row>
                    <xdr:rowOff>63500</xdr:rowOff>
                  </from>
                  <to>
                    <xdr:col>39</xdr:col>
                    <xdr:colOff>203200</xdr:colOff>
                    <xdr:row>35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0" r:id="rId331" name="Button 1996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711200</xdr:colOff>
                    <xdr:row>35</xdr:row>
                    <xdr:rowOff>63500</xdr:rowOff>
                  </from>
                  <to>
                    <xdr:col>39</xdr:col>
                    <xdr:colOff>774700</xdr:colOff>
                    <xdr:row>35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1" r:id="rId332" name="Button 199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36</xdr:row>
                    <xdr:rowOff>63500</xdr:rowOff>
                  </from>
                  <to>
                    <xdr:col>39</xdr:col>
                    <xdr:colOff>203200</xdr:colOff>
                    <xdr:row>36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2" r:id="rId333" name="Button 199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711200</xdr:colOff>
                    <xdr:row>36</xdr:row>
                    <xdr:rowOff>63500</xdr:rowOff>
                  </from>
                  <to>
                    <xdr:col>39</xdr:col>
                    <xdr:colOff>774700</xdr:colOff>
                    <xdr:row>36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3" r:id="rId334" name="Button 1999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37</xdr:row>
                    <xdr:rowOff>63500</xdr:rowOff>
                  </from>
                  <to>
                    <xdr:col>39</xdr:col>
                    <xdr:colOff>203200</xdr:colOff>
                    <xdr:row>37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4" r:id="rId335" name="Button 2000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711200</xdr:colOff>
                    <xdr:row>37</xdr:row>
                    <xdr:rowOff>63500</xdr:rowOff>
                  </from>
                  <to>
                    <xdr:col>39</xdr:col>
                    <xdr:colOff>774700</xdr:colOff>
                    <xdr:row>37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5" r:id="rId336" name="Button 2001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38</xdr:row>
                    <xdr:rowOff>63500</xdr:rowOff>
                  </from>
                  <to>
                    <xdr:col>39</xdr:col>
                    <xdr:colOff>203200</xdr:colOff>
                    <xdr:row>38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6" r:id="rId337" name="Button 2002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711200</xdr:colOff>
                    <xdr:row>38</xdr:row>
                    <xdr:rowOff>63500</xdr:rowOff>
                  </from>
                  <to>
                    <xdr:col>39</xdr:col>
                    <xdr:colOff>774700</xdr:colOff>
                    <xdr:row>38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7" r:id="rId338" name="Button 2003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39</xdr:row>
                    <xdr:rowOff>63500</xdr:rowOff>
                  </from>
                  <to>
                    <xdr:col>39</xdr:col>
                    <xdr:colOff>203200</xdr:colOff>
                    <xdr:row>39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8" r:id="rId339" name="Button 2004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711200</xdr:colOff>
                    <xdr:row>39</xdr:row>
                    <xdr:rowOff>63500</xdr:rowOff>
                  </from>
                  <to>
                    <xdr:col>39</xdr:col>
                    <xdr:colOff>774700</xdr:colOff>
                    <xdr:row>39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9" r:id="rId340" name="Button 2005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40</xdr:row>
                    <xdr:rowOff>63500</xdr:rowOff>
                  </from>
                  <to>
                    <xdr:col>39</xdr:col>
                    <xdr:colOff>406400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0" r:id="rId341" name="Button 2006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40</xdr:row>
                    <xdr:rowOff>63500</xdr:rowOff>
                  </from>
                  <to>
                    <xdr:col>39</xdr:col>
                    <xdr:colOff>774700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1" r:id="rId342" name="Button 200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41</xdr:row>
                    <xdr:rowOff>63500</xdr:rowOff>
                  </from>
                  <to>
                    <xdr:col>39</xdr:col>
                    <xdr:colOff>406400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2" r:id="rId343" name="Button 200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41</xdr:row>
                    <xdr:rowOff>63500</xdr:rowOff>
                  </from>
                  <to>
                    <xdr:col>39</xdr:col>
                    <xdr:colOff>774700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5" r:id="rId344" name="Button 2011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42</xdr:row>
                    <xdr:rowOff>63500</xdr:rowOff>
                  </from>
                  <to>
                    <xdr:col>39</xdr:col>
                    <xdr:colOff>203200</xdr:colOff>
                    <xdr:row>42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6" r:id="rId345" name="Button 2012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711200</xdr:colOff>
                    <xdr:row>42</xdr:row>
                    <xdr:rowOff>63500</xdr:rowOff>
                  </from>
                  <to>
                    <xdr:col>39</xdr:col>
                    <xdr:colOff>774700</xdr:colOff>
                    <xdr:row>42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7" r:id="rId346" name="Button 2013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43</xdr:row>
                    <xdr:rowOff>63500</xdr:rowOff>
                  </from>
                  <to>
                    <xdr:col>39</xdr:col>
                    <xdr:colOff>203200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8" r:id="rId347" name="Button 2014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711200</xdr:colOff>
                    <xdr:row>43</xdr:row>
                    <xdr:rowOff>63500</xdr:rowOff>
                  </from>
                  <to>
                    <xdr:col>39</xdr:col>
                    <xdr:colOff>774700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9" r:id="rId348" name="Button 2015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44</xdr:row>
                    <xdr:rowOff>63500</xdr:rowOff>
                  </from>
                  <to>
                    <xdr:col>39</xdr:col>
                    <xdr:colOff>203200</xdr:colOff>
                    <xdr:row>44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0" r:id="rId349" name="Button 2016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711200</xdr:colOff>
                    <xdr:row>44</xdr:row>
                    <xdr:rowOff>63500</xdr:rowOff>
                  </from>
                  <to>
                    <xdr:col>39</xdr:col>
                    <xdr:colOff>774700</xdr:colOff>
                    <xdr:row>44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1" r:id="rId350" name="Button 201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45</xdr:row>
                    <xdr:rowOff>63500</xdr:rowOff>
                  </from>
                  <to>
                    <xdr:col>39</xdr:col>
                    <xdr:colOff>203200</xdr:colOff>
                    <xdr:row>45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2" r:id="rId351" name="Button 201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711200</xdr:colOff>
                    <xdr:row>45</xdr:row>
                    <xdr:rowOff>63500</xdr:rowOff>
                  </from>
                  <to>
                    <xdr:col>39</xdr:col>
                    <xdr:colOff>774700</xdr:colOff>
                    <xdr:row>45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3" r:id="rId352" name="Button 2019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46</xdr:row>
                    <xdr:rowOff>63500</xdr:rowOff>
                  </from>
                  <to>
                    <xdr:col>39</xdr:col>
                    <xdr:colOff>406400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4" r:id="rId353" name="Button 2020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46</xdr:row>
                    <xdr:rowOff>63500</xdr:rowOff>
                  </from>
                  <to>
                    <xdr:col>39</xdr:col>
                    <xdr:colOff>774700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5" r:id="rId354" name="Button 2021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47</xdr:row>
                    <xdr:rowOff>63500</xdr:rowOff>
                  </from>
                  <to>
                    <xdr:col>39</xdr:col>
                    <xdr:colOff>406400</xdr:colOff>
                    <xdr:row>47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6" r:id="rId355" name="Button 2022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47</xdr:row>
                    <xdr:rowOff>63500</xdr:rowOff>
                  </from>
                  <to>
                    <xdr:col>39</xdr:col>
                    <xdr:colOff>774700</xdr:colOff>
                    <xdr:row>47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7" r:id="rId356" name="Button 2023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48</xdr:row>
                    <xdr:rowOff>63500</xdr:rowOff>
                  </from>
                  <to>
                    <xdr:col>39</xdr:col>
                    <xdr:colOff>406400</xdr:colOff>
                    <xdr:row>48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8" r:id="rId357" name="Button 2024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48</xdr:row>
                    <xdr:rowOff>63500</xdr:rowOff>
                  </from>
                  <to>
                    <xdr:col>39</xdr:col>
                    <xdr:colOff>774700</xdr:colOff>
                    <xdr:row>48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9" r:id="rId358" name="Button 2025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49</xdr:row>
                    <xdr:rowOff>63500</xdr:rowOff>
                  </from>
                  <to>
                    <xdr:col>39</xdr:col>
                    <xdr:colOff>406400</xdr:colOff>
                    <xdr:row>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0" r:id="rId359" name="Button 2026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49</xdr:row>
                    <xdr:rowOff>63500</xdr:rowOff>
                  </from>
                  <to>
                    <xdr:col>39</xdr:col>
                    <xdr:colOff>774700</xdr:colOff>
                    <xdr:row>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1" r:id="rId360" name="Button 202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50</xdr:row>
                    <xdr:rowOff>63500</xdr:rowOff>
                  </from>
                  <to>
                    <xdr:col>39</xdr:col>
                    <xdr:colOff>406400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2" r:id="rId361" name="Button 202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50</xdr:row>
                    <xdr:rowOff>63500</xdr:rowOff>
                  </from>
                  <to>
                    <xdr:col>39</xdr:col>
                    <xdr:colOff>774700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3" r:id="rId362" name="Button 2029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51</xdr:row>
                    <xdr:rowOff>63500</xdr:rowOff>
                  </from>
                  <to>
                    <xdr:col>39</xdr:col>
                    <xdr:colOff>406400</xdr:colOff>
                    <xdr:row>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4" r:id="rId363" name="Button 2030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51</xdr:row>
                    <xdr:rowOff>63500</xdr:rowOff>
                  </from>
                  <to>
                    <xdr:col>39</xdr:col>
                    <xdr:colOff>774700</xdr:colOff>
                    <xdr:row>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5" r:id="rId364" name="Button 2031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52</xdr:row>
                    <xdr:rowOff>63500</xdr:rowOff>
                  </from>
                  <to>
                    <xdr:col>39</xdr:col>
                    <xdr:colOff>406400</xdr:colOff>
                    <xdr:row>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6" r:id="rId365" name="Button 2032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52</xdr:row>
                    <xdr:rowOff>63500</xdr:rowOff>
                  </from>
                  <to>
                    <xdr:col>39</xdr:col>
                    <xdr:colOff>774700</xdr:colOff>
                    <xdr:row>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7" r:id="rId366" name="Button 2033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53</xdr:row>
                    <xdr:rowOff>63500</xdr:rowOff>
                  </from>
                  <to>
                    <xdr:col>39</xdr:col>
                    <xdr:colOff>406400</xdr:colOff>
                    <xdr:row>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8" r:id="rId367" name="Button 2034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53</xdr:row>
                    <xdr:rowOff>63500</xdr:rowOff>
                  </from>
                  <to>
                    <xdr:col>39</xdr:col>
                    <xdr:colOff>774700</xdr:colOff>
                    <xdr:row>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9" r:id="rId368" name="Button 2035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54</xdr:row>
                    <xdr:rowOff>63500</xdr:rowOff>
                  </from>
                  <to>
                    <xdr:col>39</xdr:col>
                    <xdr:colOff>406400</xdr:colOff>
                    <xdr:row>54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0" r:id="rId369" name="Button 2036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54</xdr:row>
                    <xdr:rowOff>63500</xdr:rowOff>
                  </from>
                  <to>
                    <xdr:col>39</xdr:col>
                    <xdr:colOff>774700</xdr:colOff>
                    <xdr:row>54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1" r:id="rId370" name="Button 203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55</xdr:row>
                    <xdr:rowOff>63500</xdr:rowOff>
                  </from>
                  <to>
                    <xdr:col>39</xdr:col>
                    <xdr:colOff>406400</xdr:colOff>
                    <xdr:row>55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2" r:id="rId371" name="Button 203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55</xdr:row>
                    <xdr:rowOff>63500</xdr:rowOff>
                  </from>
                  <to>
                    <xdr:col>39</xdr:col>
                    <xdr:colOff>774700</xdr:colOff>
                    <xdr:row>55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3" r:id="rId372" name="Button 2039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56</xdr:row>
                    <xdr:rowOff>63500</xdr:rowOff>
                  </from>
                  <to>
                    <xdr:col>39</xdr:col>
                    <xdr:colOff>406400</xdr:colOff>
                    <xdr:row>56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4" r:id="rId373" name="Button 2040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56</xdr:row>
                    <xdr:rowOff>63500</xdr:rowOff>
                  </from>
                  <to>
                    <xdr:col>39</xdr:col>
                    <xdr:colOff>774700</xdr:colOff>
                    <xdr:row>56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5" r:id="rId374" name="Button 2041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57</xdr:row>
                    <xdr:rowOff>63500</xdr:rowOff>
                  </from>
                  <to>
                    <xdr:col>39</xdr:col>
                    <xdr:colOff>406400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6" r:id="rId375" name="Button 2042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57</xdr:row>
                    <xdr:rowOff>63500</xdr:rowOff>
                  </from>
                  <to>
                    <xdr:col>39</xdr:col>
                    <xdr:colOff>774700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7" r:id="rId376" name="Button 2043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58</xdr:row>
                    <xdr:rowOff>63500</xdr:rowOff>
                  </from>
                  <to>
                    <xdr:col>39</xdr:col>
                    <xdr:colOff>406400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8" r:id="rId377" name="Button 2044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58</xdr:row>
                    <xdr:rowOff>63500</xdr:rowOff>
                  </from>
                  <to>
                    <xdr:col>39</xdr:col>
                    <xdr:colOff>774700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9" r:id="rId378" name="Button 2045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59</xdr:row>
                    <xdr:rowOff>63500</xdr:rowOff>
                  </from>
                  <to>
                    <xdr:col>39</xdr:col>
                    <xdr:colOff>406400</xdr:colOff>
                    <xdr:row>59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0" r:id="rId379" name="Button 2046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59</xdr:row>
                    <xdr:rowOff>63500</xdr:rowOff>
                  </from>
                  <to>
                    <xdr:col>39</xdr:col>
                    <xdr:colOff>774700</xdr:colOff>
                    <xdr:row>59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1" r:id="rId380" name="Button 204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64</xdr:row>
                    <xdr:rowOff>228600</xdr:rowOff>
                  </from>
                  <to>
                    <xdr:col>39</xdr:col>
                    <xdr:colOff>190500</xdr:colOff>
                    <xdr:row>64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" r:id="rId381" name="Button 204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723900</xdr:colOff>
                    <xdr:row>64</xdr:row>
                    <xdr:rowOff>63500</xdr:rowOff>
                  </from>
                  <to>
                    <xdr:col>39</xdr:col>
                    <xdr:colOff>774700</xdr:colOff>
                    <xdr:row>64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3" r:id="rId382" name="Button 2049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65</xdr:row>
                    <xdr:rowOff>228600</xdr:rowOff>
                  </from>
                  <to>
                    <xdr:col>39</xdr:col>
                    <xdr:colOff>190500</xdr:colOff>
                    <xdr:row>65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383" name="Button 2050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723900</xdr:colOff>
                    <xdr:row>65</xdr:row>
                    <xdr:rowOff>63500</xdr:rowOff>
                  </from>
                  <to>
                    <xdr:col>39</xdr:col>
                    <xdr:colOff>774700</xdr:colOff>
                    <xdr:row>65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384" name="Button 2051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66</xdr:row>
                    <xdr:rowOff>228600</xdr:rowOff>
                  </from>
                  <to>
                    <xdr:col>39</xdr:col>
                    <xdr:colOff>190500</xdr:colOff>
                    <xdr:row>66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385" name="Button 2052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723900</xdr:colOff>
                    <xdr:row>66</xdr:row>
                    <xdr:rowOff>63500</xdr:rowOff>
                  </from>
                  <to>
                    <xdr:col>39</xdr:col>
                    <xdr:colOff>774700</xdr:colOff>
                    <xdr:row>66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386" name="Button 2053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67</xdr:row>
                    <xdr:rowOff>228600</xdr:rowOff>
                  </from>
                  <to>
                    <xdr:col>39</xdr:col>
                    <xdr:colOff>190500</xdr:colOff>
                    <xdr:row>67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387" name="Button 2054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723900</xdr:colOff>
                    <xdr:row>67</xdr:row>
                    <xdr:rowOff>63500</xdr:rowOff>
                  </from>
                  <to>
                    <xdr:col>39</xdr:col>
                    <xdr:colOff>774700</xdr:colOff>
                    <xdr:row>67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388" name="Button 2055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68</xdr:row>
                    <xdr:rowOff>228600</xdr:rowOff>
                  </from>
                  <to>
                    <xdr:col>39</xdr:col>
                    <xdr:colOff>190500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389" name="Button 2056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723900</xdr:colOff>
                    <xdr:row>68</xdr:row>
                    <xdr:rowOff>63500</xdr:rowOff>
                  </from>
                  <to>
                    <xdr:col>39</xdr:col>
                    <xdr:colOff>774700</xdr:colOff>
                    <xdr:row>68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390" name="Button 205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69</xdr:row>
                    <xdr:rowOff>228600</xdr:rowOff>
                  </from>
                  <to>
                    <xdr:col>39</xdr:col>
                    <xdr:colOff>190500</xdr:colOff>
                    <xdr:row>69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391" name="Button 205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723900</xdr:colOff>
                    <xdr:row>69</xdr:row>
                    <xdr:rowOff>63500</xdr:rowOff>
                  </from>
                  <to>
                    <xdr:col>39</xdr:col>
                    <xdr:colOff>774700</xdr:colOff>
                    <xdr:row>69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392" name="Button 2059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70</xdr:row>
                    <xdr:rowOff>228600</xdr:rowOff>
                  </from>
                  <to>
                    <xdr:col>39</xdr:col>
                    <xdr:colOff>190500</xdr:colOff>
                    <xdr:row>70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393" name="Button 2060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723900</xdr:colOff>
                    <xdr:row>70</xdr:row>
                    <xdr:rowOff>63500</xdr:rowOff>
                  </from>
                  <to>
                    <xdr:col>39</xdr:col>
                    <xdr:colOff>774700</xdr:colOff>
                    <xdr:row>70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394" name="Button 2061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71</xdr:row>
                    <xdr:rowOff>228600</xdr:rowOff>
                  </from>
                  <to>
                    <xdr:col>39</xdr:col>
                    <xdr:colOff>190500</xdr:colOff>
                    <xdr:row>71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395" name="Button 2062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723900</xdr:colOff>
                    <xdr:row>71</xdr:row>
                    <xdr:rowOff>63500</xdr:rowOff>
                  </from>
                  <to>
                    <xdr:col>39</xdr:col>
                    <xdr:colOff>774700</xdr:colOff>
                    <xdr:row>71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396" name="Button 2063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72</xdr:row>
                    <xdr:rowOff>228600</xdr:rowOff>
                  </from>
                  <to>
                    <xdr:col>39</xdr:col>
                    <xdr:colOff>190500</xdr:colOff>
                    <xdr:row>72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8" r:id="rId397" name="Button 2064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723900</xdr:colOff>
                    <xdr:row>72</xdr:row>
                    <xdr:rowOff>63500</xdr:rowOff>
                  </from>
                  <to>
                    <xdr:col>39</xdr:col>
                    <xdr:colOff>774700</xdr:colOff>
                    <xdr:row>72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9" r:id="rId398" name="Button 2065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73</xdr:row>
                    <xdr:rowOff>228600</xdr:rowOff>
                  </from>
                  <to>
                    <xdr:col>39</xdr:col>
                    <xdr:colOff>190500</xdr:colOff>
                    <xdr:row>73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399" name="Button 2066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723900</xdr:colOff>
                    <xdr:row>73</xdr:row>
                    <xdr:rowOff>63500</xdr:rowOff>
                  </from>
                  <to>
                    <xdr:col>39</xdr:col>
                    <xdr:colOff>774700</xdr:colOff>
                    <xdr:row>73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400" name="Button 206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74</xdr:row>
                    <xdr:rowOff>63500</xdr:rowOff>
                  </from>
                  <to>
                    <xdr:col>39</xdr:col>
                    <xdr:colOff>266700</xdr:colOff>
                    <xdr:row>74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401" name="Button 206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622300</xdr:colOff>
                    <xdr:row>74</xdr:row>
                    <xdr:rowOff>63500</xdr:rowOff>
                  </from>
                  <to>
                    <xdr:col>39</xdr:col>
                    <xdr:colOff>774700</xdr:colOff>
                    <xdr:row>74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402" name="Button 2069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76</xdr:row>
                    <xdr:rowOff>63500</xdr:rowOff>
                  </from>
                  <to>
                    <xdr:col>39</xdr:col>
                    <xdr:colOff>266700</xdr:colOff>
                    <xdr:row>76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403" name="Button 2070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622300</xdr:colOff>
                    <xdr:row>76</xdr:row>
                    <xdr:rowOff>63500</xdr:rowOff>
                  </from>
                  <to>
                    <xdr:col>39</xdr:col>
                    <xdr:colOff>774700</xdr:colOff>
                    <xdr:row>76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5" r:id="rId404" name="Button 2071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77</xdr:row>
                    <xdr:rowOff>63500</xdr:rowOff>
                  </from>
                  <to>
                    <xdr:col>39</xdr:col>
                    <xdr:colOff>266700</xdr:colOff>
                    <xdr:row>77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405" name="Button 2072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622300</xdr:colOff>
                    <xdr:row>77</xdr:row>
                    <xdr:rowOff>63500</xdr:rowOff>
                  </from>
                  <to>
                    <xdr:col>39</xdr:col>
                    <xdr:colOff>774700</xdr:colOff>
                    <xdr:row>77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406" name="Button 2073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78</xdr:row>
                    <xdr:rowOff>63500</xdr:rowOff>
                  </from>
                  <to>
                    <xdr:col>39</xdr:col>
                    <xdr:colOff>266700</xdr:colOff>
                    <xdr:row>78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8" r:id="rId407" name="Button 2074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622300</xdr:colOff>
                    <xdr:row>78</xdr:row>
                    <xdr:rowOff>63500</xdr:rowOff>
                  </from>
                  <to>
                    <xdr:col>39</xdr:col>
                    <xdr:colOff>774700</xdr:colOff>
                    <xdr:row>78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1" r:id="rId408" name="Button 207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79</xdr:row>
                    <xdr:rowOff>63500</xdr:rowOff>
                  </from>
                  <to>
                    <xdr:col>39</xdr:col>
                    <xdr:colOff>203200</xdr:colOff>
                    <xdr:row>79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2" r:id="rId409" name="Button 207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711200</xdr:colOff>
                    <xdr:row>79</xdr:row>
                    <xdr:rowOff>63500</xdr:rowOff>
                  </from>
                  <to>
                    <xdr:col>39</xdr:col>
                    <xdr:colOff>774700</xdr:colOff>
                    <xdr:row>79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3" r:id="rId410" name="Button 2079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80</xdr:row>
                    <xdr:rowOff>63500</xdr:rowOff>
                  </from>
                  <to>
                    <xdr:col>39</xdr:col>
                    <xdr:colOff>266700</xdr:colOff>
                    <xdr:row>80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4" r:id="rId411" name="Button 2080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622300</xdr:colOff>
                    <xdr:row>80</xdr:row>
                    <xdr:rowOff>63500</xdr:rowOff>
                  </from>
                  <to>
                    <xdr:col>39</xdr:col>
                    <xdr:colOff>774700</xdr:colOff>
                    <xdr:row>80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5" r:id="rId412" name="Button 2081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81</xdr:row>
                    <xdr:rowOff>63500</xdr:rowOff>
                  </from>
                  <to>
                    <xdr:col>39</xdr:col>
                    <xdr:colOff>203200</xdr:colOff>
                    <xdr:row>81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6" r:id="rId413" name="Button 2082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711200</xdr:colOff>
                    <xdr:row>81</xdr:row>
                    <xdr:rowOff>63500</xdr:rowOff>
                  </from>
                  <to>
                    <xdr:col>39</xdr:col>
                    <xdr:colOff>774700</xdr:colOff>
                    <xdr:row>81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7" r:id="rId414" name="Button 2083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82</xdr:row>
                    <xdr:rowOff>63500</xdr:rowOff>
                  </from>
                  <to>
                    <xdr:col>39</xdr:col>
                    <xdr:colOff>203200</xdr:colOff>
                    <xdr:row>82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8" r:id="rId415" name="Button 2084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711200</xdr:colOff>
                    <xdr:row>82</xdr:row>
                    <xdr:rowOff>63500</xdr:rowOff>
                  </from>
                  <to>
                    <xdr:col>39</xdr:col>
                    <xdr:colOff>774700</xdr:colOff>
                    <xdr:row>82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9" r:id="rId416" name="Button 2085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83</xdr:row>
                    <xdr:rowOff>63500</xdr:rowOff>
                  </from>
                  <to>
                    <xdr:col>39</xdr:col>
                    <xdr:colOff>406400</xdr:colOff>
                    <xdr:row>83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0" r:id="rId417" name="Button 2086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83</xdr:row>
                    <xdr:rowOff>63500</xdr:rowOff>
                  </from>
                  <to>
                    <xdr:col>39</xdr:col>
                    <xdr:colOff>774700</xdr:colOff>
                    <xdr:row>83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1" r:id="rId418" name="Button 208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85</xdr:row>
                    <xdr:rowOff>63500</xdr:rowOff>
                  </from>
                  <to>
                    <xdr:col>39</xdr:col>
                    <xdr:colOff>266700</xdr:colOff>
                    <xdr:row>85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2" r:id="rId419" name="Button 208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622300</xdr:colOff>
                    <xdr:row>85</xdr:row>
                    <xdr:rowOff>63500</xdr:rowOff>
                  </from>
                  <to>
                    <xdr:col>39</xdr:col>
                    <xdr:colOff>774700</xdr:colOff>
                    <xdr:row>85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3" r:id="rId420" name="Button 2089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86</xdr:row>
                    <xdr:rowOff>63500</xdr:rowOff>
                  </from>
                  <to>
                    <xdr:col>39</xdr:col>
                    <xdr:colOff>406400</xdr:colOff>
                    <xdr:row>86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4" r:id="rId421" name="Button 2090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86</xdr:row>
                    <xdr:rowOff>63500</xdr:rowOff>
                  </from>
                  <to>
                    <xdr:col>39</xdr:col>
                    <xdr:colOff>774700</xdr:colOff>
                    <xdr:row>86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5" r:id="rId422" name="Button 2091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87</xdr:row>
                    <xdr:rowOff>63500</xdr:rowOff>
                  </from>
                  <to>
                    <xdr:col>39</xdr:col>
                    <xdr:colOff>406400</xdr:colOff>
                    <xdr:row>87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6" r:id="rId423" name="Button 2092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87</xdr:row>
                    <xdr:rowOff>63500</xdr:rowOff>
                  </from>
                  <to>
                    <xdr:col>39</xdr:col>
                    <xdr:colOff>774700</xdr:colOff>
                    <xdr:row>87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7" r:id="rId424" name="Button 2093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89</xdr:row>
                    <xdr:rowOff>63500</xdr:rowOff>
                  </from>
                  <to>
                    <xdr:col>39</xdr:col>
                    <xdr:colOff>406400</xdr:colOff>
                    <xdr:row>89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8" r:id="rId425" name="Button 2094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89</xdr:row>
                    <xdr:rowOff>63500</xdr:rowOff>
                  </from>
                  <to>
                    <xdr:col>39</xdr:col>
                    <xdr:colOff>774700</xdr:colOff>
                    <xdr:row>89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9" r:id="rId426" name="Button 2095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90</xdr:row>
                    <xdr:rowOff>63500</xdr:rowOff>
                  </from>
                  <to>
                    <xdr:col>39</xdr:col>
                    <xdr:colOff>406400</xdr:colOff>
                    <xdr:row>90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0" r:id="rId427" name="Button 2096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90</xdr:row>
                    <xdr:rowOff>63500</xdr:rowOff>
                  </from>
                  <to>
                    <xdr:col>39</xdr:col>
                    <xdr:colOff>774700</xdr:colOff>
                    <xdr:row>90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1" r:id="rId428" name="Button 209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91</xdr:row>
                    <xdr:rowOff>63500</xdr:rowOff>
                  </from>
                  <to>
                    <xdr:col>39</xdr:col>
                    <xdr:colOff>406400</xdr:colOff>
                    <xdr:row>91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2" r:id="rId429" name="Button 209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91</xdr:row>
                    <xdr:rowOff>63500</xdr:rowOff>
                  </from>
                  <to>
                    <xdr:col>39</xdr:col>
                    <xdr:colOff>774700</xdr:colOff>
                    <xdr:row>91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3" r:id="rId430" name="Button 2099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92</xdr:row>
                    <xdr:rowOff>63500</xdr:rowOff>
                  </from>
                  <to>
                    <xdr:col>39</xdr:col>
                    <xdr:colOff>406400</xdr:colOff>
                    <xdr:row>92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4" r:id="rId431" name="Button 2100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92</xdr:row>
                    <xdr:rowOff>63500</xdr:rowOff>
                  </from>
                  <to>
                    <xdr:col>39</xdr:col>
                    <xdr:colOff>774700</xdr:colOff>
                    <xdr:row>92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5" r:id="rId432" name="Button 2101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93</xdr:row>
                    <xdr:rowOff>63500</xdr:rowOff>
                  </from>
                  <to>
                    <xdr:col>39</xdr:col>
                    <xdr:colOff>406400</xdr:colOff>
                    <xdr:row>93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6" r:id="rId433" name="Button 2102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93</xdr:row>
                    <xdr:rowOff>63500</xdr:rowOff>
                  </from>
                  <to>
                    <xdr:col>39</xdr:col>
                    <xdr:colOff>774700</xdr:colOff>
                    <xdr:row>93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7" r:id="rId434" name="Button 2103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94</xdr:row>
                    <xdr:rowOff>63500</xdr:rowOff>
                  </from>
                  <to>
                    <xdr:col>39</xdr:col>
                    <xdr:colOff>406400</xdr:colOff>
                    <xdr:row>94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8" r:id="rId435" name="Button 2104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94</xdr:row>
                    <xdr:rowOff>63500</xdr:rowOff>
                  </from>
                  <to>
                    <xdr:col>39</xdr:col>
                    <xdr:colOff>774700</xdr:colOff>
                    <xdr:row>94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9" r:id="rId436" name="Button 2105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95</xdr:row>
                    <xdr:rowOff>63500</xdr:rowOff>
                  </from>
                  <to>
                    <xdr:col>39</xdr:col>
                    <xdr:colOff>266700</xdr:colOff>
                    <xdr:row>95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0" r:id="rId437" name="Button 2106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622300</xdr:colOff>
                    <xdr:row>95</xdr:row>
                    <xdr:rowOff>63500</xdr:rowOff>
                  </from>
                  <to>
                    <xdr:col>39</xdr:col>
                    <xdr:colOff>774700</xdr:colOff>
                    <xdr:row>95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1" r:id="rId438" name="Button 210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96</xdr:row>
                    <xdr:rowOff>63500</xdr:rowOff>
                  </from>
                  <to>
                    <xdr:col>39</xdr:col>
                    <xdr:colOff>406400</xdr:colOff>
                    <xdr:row>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2" r:id="rId439" name="Button 210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96</xdr:row>
                    <xdr:rowOff>63500</xdr:rowOff>
                  </from>
                  <to>
                    <xdr:col>39</xdr:col>
                    <xdr:colOff>774700</xdr:colOff>
                    <xdr:row>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3" r:id="rId440" name="Button 2109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97</xdr:row>
                    <xdr:rowOff>63500</xdr:rowOff>
                  </from>
                  <to>
                    <xdr:col>39</xdr:col>
                    <xdr:colOff>266700</xdr:colOff>
                    <xdr:row>97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4" r:id="rId441" name="Button 2110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622300</xdr:colOff>
                    <xdr:row>97</xdr:row>
                    <xdr:rowOff>63500</xdr:rowOff>
                  </from>
                  <to>
                    <xdr:col>39</xdr:col>
                    <xdr:colOff>774700</xdr:colOff>
                    <xdr:row>97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5" r:id="rId442" name="Button 2111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98</xdr:row>
                    <xdr:rowOff>63500</xdr:rowOff>
                  </from>
                  <to>
                    <xdr:col>39</xdr:col>
                    <xdr:colOff>203200</xdr:colOff>
                    <xdr:row>98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6" r:id="rId443" name="Button 2112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711200</xdr:colOff>
                    <xdr:row>98</xdr:row>
                    <xdr:rowOff>63500</xdr:rowOff>
                  </from>
                  <to>
                    <xdr:col>39</xdr:col>
                    <xdr:colOff>774700</xdr:colOff>
                    <xdr:row>98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7" r:id="rId444" name="Button 2113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99</xdr:row>
                    <xdr:rowOff>63500</xdr:rowOff>
                  </from>
                  <to>
                    <xdr:col>39</xdr:col>
                    <xdr:colOff>266700</xdr:colOff>
                    <xdr:row>99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8" r:id="rId445" name="Button 2114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622300</xdr:colOff>
                    <xdr:row>99</xdr:row>
                    <xdr:rowOff>63500</xdr:rowOff>
                  </from>
                  <to>
                    <xdr:col>39</xdr:col>
                    <xdr:colOff>774700</xdr:colOff>
                    <xdr:row>99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9" r:id="rId446" name="Button 2115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100</xdr:row>
                    <xdr:rowOff>63500</xdr:rowOff>
                  </from>
                  <to>
                    <xdr:col>39</xdr:col>
                    <xdr:colOff>266700</xdr:colOff>
                    <xdr:row>100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0" r:id="rId447" name="Button 2116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622300</xdr:colOff>
                    <xdr:row>100</xdr:row>
                    <xdr:rowOff>63500</xdr:rowOff>
                  </from>
                  <to>
                    <xdr:col>39</xdr:col>
                    <xdr:colOff>774700</xdr:colOff>
                    <xdr:row>100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1" r:id="rId448" name="Button 211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101</xdr:row>
                    <xdr:rowOff>63500</xdr:rowOff>
                  </from>
                  <to>
                    <xdr:col>39</xdr:col>
                    <xdr:colOff>406400</xdr:colOff>
                    <xdr:row>101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2" r:id="rId449" name="Button 211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101</xdr:row>
                    <xdr:rowOff>63500</xdr:rowOff>
                  </from>
                  <to>
                    <xdr:col>39</xdr:col>
                    <xdr:colOff>774700</xdr:colOff>
                    <xdr:row>101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3" r:id="rId450" name="Button 2119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102</xdr:row>
                    <xdr:rowOff>63500</xdr:rowOff>
                  </from>
                  <to>
                    <xdr:col>39</xdr:col>
                    <xdr:colOff>406400</xdr:colOff>
                    <xdr:row>102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4" r:id="rId451" name="Button 2120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102</xdr:row>
                    <xdr:rowOff>63500</xdr:rowOff>
                  </from>
                  <to>
                    <xdr:col>39</xdr:col>
                    <xdr:colOff>774700</xdr:colOff>
                    <xdr:row>102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5" r:id="rId452" name="Button 2121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103</xdr:row>
                    <xdr:rowOff>63500</xdr:rowOff>
                  </from>
                  <to>
                    <xdr:col>39</xdr:col>
                    <xdr:colOff>406400</xdr:colOff>
                    <xdr:row>103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453" name="Button 2122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103</xdr:row>
                    <xdr:rowOff>63500</xdr:rowOff>
                  </from>
                  <to>
                    <xdr:col>39</xdr:col>
                    <xdr:colOff>774700</xdr:colOff>
                    <xdr:row>103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7" r:id="rId454" name="Button 2123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104</xdr:row>
                    <xdr:rowOff>63500</xdr:rowOff>
                  </from>
                  <to>
                    <xdr:col>39</xdr:col>
                    <xdr:colOff>406400</xdr:colOff>
                    <xdr:row>104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8" r:id="rId455" name="Button 2124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104</xdr:row>
                    <xdr:rowOff>63500</xdr:rowOff>
                  </from>
                  <to>
                    <xdr:col>39</xdr:col>
                    <xdr:colOff>774700</xdr:colOff>
                    <xdr:row>104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9" r:id="rId456" name="Button 2125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105</xdr:row>
                    <xdr:rowOff>63500</xdr:rowOff>
                  </from>
                  <to>
                    <xdr:col>39</xdr:col>
                    <xdr:colOff>406400</xdr:colOff>
                    <xdr:row>105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457" name="Button 2126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105</xdr:row>
                    <xdr:rowOff>63500</xdr:rowOff>
                  </from>
                  <to>
                    <xdr:col>39</xdr:col>
                    <xdr:colOff>774700</xdr:colOff>
                    <xdr:row>105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458" name="Button 212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106</xdr:row>
                    <xdr:rowOff>63500</xdr:rowOff>
                  </from>
                  <to>
                    <xdr:col>39</xdr:col>
                    <xdr:colOff>406400</xdr:colOff>
                    <xdr:row>106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2" r:id="rId459" name="Button 212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106</xdr:row>
                    <xdr:rowOff>63500</xdr:rowOff>
                  </from>
                  <to>
                    <xdr:col>39</xdr:col>
                    <xdr:colOff>774700</xdr:colOff>
                    <xdr:row>106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3" r:id="rId460" name="Button 2129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107</xdr:row>
                    <xdr:rowOff>63500</xdr:rowOff>
                  </from>
                  <to>
                    <xdr:col>39</xdr:col>
                    <xdr:colOff>406400</xdr:colOff>
                    <xdr:row>107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4" r:id="rId461" name="Button 2130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107</xdr:row>
                    <xdr:rowOff>63500</xdr:rowOff>
                  </from>
                  <to>
                    <xdr:col>39</xdr:col>
                    <xdr:colOff>774700</xdr:colOff>
                    <xdr:row>107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5" r:id="rId462" name="Button 2131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108</xdr:row>
                    <xdr:rowOff>63500</xdr:rowOff>
                  </from>
                  <to>
                    <xdr:col>39</xdr:col>
                    <xdr:colOff>406400</xdr:colOff>
                    <xdr:row>108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6" r:id="rId463" name="Button 2132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108</xdr:row>
                    <xdr:rowOff>63500</xdr:rowOff>
                  </from>
                  <to>
                    <xdr:col>39</xdr:col>
                    <xdr:colOff>774700</xdr:colOff>
                    <xdr:row>108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7" r:id="rId464" name="Button 2133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109</xdr:row>
                    <xdr:rowOff>63500</xdr:rowOff>
                  </from>
                  <to>
                    <xdr:col>39</xdr:col>
                    <xdr:colOff>406400</xdr:colOff>
                    <xdr:row>109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8" r:id="rId465" name="Button 2134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109</xdr:row>
                    <xdr:rowOff>63500</xdr:rowOff>
                  </from>
                  <to>
                    <xdr:col>39</xdr:col>
                    <xdr:colOff>774700</xdr:colOff>
                    <xdr:row>109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9" r:id="rId466" name="Button 2135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110</xdr:row>
                    <xdr:rowOff>63500</xdr:rowOff>
                  </from>
                  <to>
                    <xdr:col>39</xdr:col>
                    <xdr:colOff>406400</xdr:colOff>
                    <xdr:row>110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0" r:id="rId467" name="Button 2136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110</xdr:row>
                    <xdr:rowOff>63500</xdr:rowOff>
                  </from>
                  <to>
                    <xdr:col>39</xdr:col>
                    <xdr:colOff>774700</xdr:colOff>
                    <xdr:row>110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1" r:id="rId468" name="Button 213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111</xdr:row>
                    <xdr:rowOff>63500</xdr:rowOff>
                  </from>
                  <to>
                    <xdr:col>39</xdr:col>
                    <xdr:colOff>406400</xdr:colOff>
                    <xdr:row>111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2" r:id="rId469" name="Button 213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111</xdr:row>
                    <xdr:rowOff>63500</xdr:rowOff>
                  </from>
                  <to>
                    <xdr:col>39</xdr:col>
                    <xdr:colOff>774700</xdr:colOff>
                    <xdr:row>111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3" r:id="rId470" name="Button 2139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112</xdr:row>
                    <xdr:rowOff>63500</xdr:rowOff>
                  </from>
                  <to>
                    <xdr:col>39</xdr:col>
                    <xdr:colOff>406400</xdr:colOff>
                    <xdr:row>112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4" r:id="rId471" name="Button 2140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112</xdr:row>
                    <xdr:rowOff>63500</xdr:rowOff>
                  </from>
                  <to>
                    <xdr:col>39</xdr:col>
                    <xdr:colOff>774700</xdr:colOff>
                    <xdr:row>112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5" r:id="rId472" name="Button 2141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113</xdr:row>
                    <xdr:rowOff>63500</xdr:rowOff>
                  </from>
                  <to>
                    <xdr:col>39</xdr:col>
                    <xdr:colOff>406400</xdr:colOff>
                    <xdr:row>113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6" r:id="rId473" name="Button 2142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113</xdr:row>
                    <xdr:rowOff>63500</xdr:rowOff>
                  </from>
                  <to>
                    <xdr:col>39</xdr:col>
                    <xdr:colOff>774700</xdr:colOff>
                    <xdr:row>113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7" r:id="rId474" name="Button 2143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114</xdr:row>
                    <xdr:rowOff>63500</xdr:rowOff>
                  </from>
                  <to>
                    <xdr:col>39</xdr:col>
                    <xdr:colOff>406400</xdr:colOff>
                    <xdr:row>114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8" r:id="rId475" name="Button 2144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114</xdr:row>
                    <xdr:rowOff>63500</xdr:rowOff>
                  </from>
                  <to>
                    <xdr:col>39</xdr:col>
                    <xdr:colOff>774700</xdr:colOff>
                    <xdr:row>114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9" r:id="rId476" name="Button 2145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115</xdr:row>
                    <xdr:rowOff>63500</xdr:rowOff>
                  </from>
                  <to>
                    <xdr:col>39</xdr:col>
                    <xdr:colOff>406400</xdr:colOff>
                    <xdr:row>115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0" r:id="rId477" name="Button 2146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115</xdr:row>
                    <xdr:rowOff>63500</xdr:rowOff>
                  </from>
                  <to>
                    <xdr:col>39</xdr:col>
                    <xdr:colOff>774700</xdr:colOff>
                    <xdr:row>115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1" r:id="rId478" name="Button 214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116</xdr:row>
                    <xdr:rowOff>63500</xdr:rowOff>
                  </from>
                  <to>
                    <xdr:col>39</xdr:col>
                    <xdr:colOff>203200</xdr:colOff>
                    <xdr:row>116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2" r:id="rId479" name="Button 214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711200</xdr:colOff>
                    <xdr:row>116</xdr:row>
                    <xdr:rowOff>63500</xdr:rowOff>
                  </from>
                  <to>
                    <xdr:col>39</xdr:col>
                    <xdr:colOff>774700</xdr:colOff>
                    <xdr:row>116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3" r:id="rId480" name="Button 2149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117</xdr:row>
                    <xdr:rowOff>63500</xdr:rowOff>
                  </from>
                  <to>
                    <xdr:col>39</xdr:col>
                    <xdr:colOff>406400</xdr:colOff>
                    <xdr:row>117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4" r:id="rId481" name="Button 2150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117</xdr:row>
                    <xdr:rowOff>63500</xdr:rowOff>
                  </from>
                  <to>
                    <xdr:col>39</xdr:col>
                    <xdr:colOff>774700</xdr:colOff>
                    <xdr:row>117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5" r:id="rId482" name="Button 2151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118</xdr:row>
                    <xdr:rowOff>63500</xdr:rowOff>
                  </from>
                  <to>
                    <xdr:col>39</xdr:col>
                    <xdr:colOff>406400</xdr:colOff>
                    <xdr:row>118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6" r:id="rId483" name="Button 2152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118</xdr:row>
                    <xdr:rowOff>63500</xdr:rowOff>
                  </from>
                  <to>
                    <xdr:col>39</xdr:col>
                    <xdr:colOff>774700</xdr:colOff>
                    <xdr:row>118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7" r:id="rId484" name="Button 2153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119</xdr:row>
                    <xdr:rowOff>63500</xdr:rowOff>
                  </from>
                  <to>
                    <xdr:col>39</xdr:col>
                    <xdr:colOff>406400</xdr:colOff>
                    <xdr:row>119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8" r:id="rId485" name="Button 2154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119</xdr:row>
                    <xdr:rowOff>63500</xdr:rowOff>
                  </from>
                  <to>
                    <xdr:col>39</xdr:col>
                    <xdr:colOff>774700</xdr:colOff>
                    <xdr:row>119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9" r:id="rId486" name="Button 2155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120</xdr:row>
                    <xdr:rowOff>63500</xdr:rowOff>
                  </from>
                  <to>
                    <xdr:col>39</xdr:col>
                    <xdr:colOff>406400</xdr:colOff>
                    <xdr:row>120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0" r:id="rId487" name="Button 2156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120</xdr:row>
                    <xdr:rowOff>63500</xdr:rowOff>
                  </from>
                  <to>
                    <xdr:col>39</xdr:col>
                    <xdr:colOff>774700</xdr:colOff>
                    <xdr:row>120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1" r:id="rId488" name="Button 215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121</xdr:row>
                    <xdr:rowOff>63500</xdr:rowOff>
                  </from>
                  <to>
                    <xdr:col>39</xdr:col>
                    <xdr:colOff>406400</xdr:colOff>
                    <xdr:row>121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2" r:id="rId489" name="Button 215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121</xdr:row>
                    <xdr:rowOff>63500</xdr:rowOff>
                  </from>
                  <to>
                    <xdr:col>39</xdr:col>
                    <xdr:colOff>774700</xdr:colOff>
                    <xdr:row>121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3" r:id="rId490" name="Button 2159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122</xdr:row>
                    <xdr:rowOff>63500</xdr:rowOff>
                  </from>
                  <to>
                    <xdr:col>39</xdr:col>
                    <xdr:colOff>406400</xdr:colOff>
                    <xdr:row>122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4" r:id="rId491" name="Button 2160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122</xdr:row>
                    <xdr:rowOff>63500</xdr:rowOff>
                  </from>
                  <to>
                    <xdr:col>39</xdr:col>
                    <xdr:colOff>774700</xdr:colOff>
                    <xdr:row>122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5" r:id="rId492" name="Button 2161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123</xdr:row>
                    <xdr:rowOff>63500</xdr:rowOff>
                  </from>
                  <to>
                    <xdr:col>39</xdr:col>
                    <xdr:colOff>203200</xdr:colOff>
                    <xdr:row>123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6" r:id="rId493" name="Button 2162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711200</xdr:colOff>
                    <xdr:row>123</xdr:row>
                    <xdr:rowOff>63500</xdr:rowOff>
                  </from>
                  <to>
                    <xdr:col>39</xdr:col>
                    <xdr:colOff>774700</xdr:colOff>
                    <xdr:row>123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7" r:id="rId494" name="Button 2163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124</xdr:row>
                    <xdr:rowOff>63500</xdr:rowOff>
                  </from>
                  <to>
                    <xdr:col>39</xdr:col>
                    <xdr:colOff>406400</xdr:colOff>
                    <xdr:row>124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8" r:id="rId495" name="Button 2164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124</xdr:row>
                    <xdr:rowOff>63500</xdr:rowOff>
                  </from>
                  <to>
                    <xdr:col>39</xdr:col>
                    <xdr:colOff>774700</xdr:colOff>
                    <xdr:row>124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9" r:id="rId496" name="Button 2165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125</xdr:row>
                    <xdr:rowOff>63500</xdr:rowOff>
                  </from>
                  <to>
                    <xdr:col>39</xdr:col>
                    <xdr:colOff>406400</xdr:colOff>
                    <xdr:row>125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0" r:id="rId497" name="Button 2166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125</xdr:row>
                    <xdr:rowOff>63500</xdr:rowOff>
                  </from>
                  <to>
                    <xdr:col>39</xdr:col>
                    <xdr:colOff>774700</xdr:colOff>
                    <xdr:row>125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1" r:id="rId498" name="Button 216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126</xdr:row>
                    <xdr:rowOff>63500</xdr:rowOff>
                  </from>
                  <to>
                    <xdr:col>39</xdr:col>
                    <xdr:colOff>203200</xdr:colOff>
                    <xdr:row>126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2" r:id="rId499" name="Button 216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711200</xdr:colOff>
                    <xdr:row>126</xdr:row>
                    <xdr:rowOff>63500</xdr:rowOff>
                  </from>
                  <to>
                    <xdr:col>39</xdr:col>
                    <xdr:colOff>774700</xdr:colOff>
                    <xdr:row>126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3" r:id="rId500" name="Button 2169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127</xdr:row>
                    <xdr:rowOff>63500</xdr:rowOff>
                  </from>
                  <to>
                    <xdr:col>39</xdr:col>
                    <xdr:colOff>406400</xdr:colOff>
                    <xdr:row>127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4" r:id="rId501" name="Button 2170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127</xdr:row>
                    <xdr:rowOff>63500</xdr:rowOff>
                  </from>
                  <to>
                    <xdr:col>39</xdr:col>
                    <xdr:colOff>774700</xdr:colOff>
                    <xdr:row>127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5" r:id="rId502" name="Button 2171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128</xdr:row>
                    <xdr:rowOff>63500</xdr:rowOff>
                  </from>
                  <to>
                    <xdr:col>39</xdr:col>
                    <xdr:colOff>406400</xdr:colOff>
                    <xdr:row>128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6" r:id="rId503" name="Button 2172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128</xdr:row>
                    <xdr:rowOff>63500</xdr:rowOff>
                  </from>
                  <to>
                    <xdr:col>39</xdr:col>
                    <xdr:colOff>774700</xdr:colOff>
                    <xdr:row>128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504" name="Button 2173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129</xdr:row>
                    <xdr:rowOff>63500</xdr:rowOff>
                  </from>
                  <to>
                    <xdr:col>39</xdr:col>
                    <xdr:colOff>406400</xdr:colOff>
                    <xdr:row>129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8" r:id="rId505" name="Button 2174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129</xdr:row>
                    <xdr:rowOff>63500</xdr:rowOff>
                  </from>
                  <to>
                    <xdr:col>39</xdr:col>
                    <xdr:colOff>774700</xdr:colOff>
                    <xdr:row>129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506" name="Button 2197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83</xdr:row>
                    <xdr:rowOff>63500</xdr:rowOff>
                  </from>
                  <to>
                    <xdr:col>36</xdr:col>
                    <xdr:colOff>508000</xdr:colOff>
                    <xdr:row>83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2" r:id="rId507" name="Button 2198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83</xdr:row>
                    <xdr:rowOff>63500</xdr:rowOff>
                  </from>
                  <to>
                    <xdr:col>37</xdr:col>
                    <xdr:colOff>0</xdr:colOff>
                    <xdr:row>83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508" name="Button 2199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711200</xdr:colOff>
                    <xdr:row>85</xdr:row>
                    <xdr:rowOff>63500</xdr:rowOff>
                  </from>
                  <to>
                    <xdr:col>37</xdr:col>
                    <xdr:colOff>0</xdr:colOff>
                    <xdr:row>85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4" r:id="rId509" name="Button 2200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101600</xdr:colOff>
                    <xdr:row>85</xdr:row>
                    <xdr:rowOff>63500</xdr:rowOff>
                  </from>
                  <to>
                    <xdr:col>36</xdr:col>
                    <xdr:colOff>495300</xdr:colOff>
                    <xdr:row>85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510" name="Button 2201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94</xdr:row>
                    <xdr:rowOff>63500</xdr:rowOff>
                  </from>
                  <to>
                    <xdr:col>36</xdr:col>
                    <xdr:colOff>508000</xdr:colOff>
                    <xdr:row>94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6" r:id="rId511" name="Button 2202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94</xdr:row>
                    <xdr:rowOff>63500</xdr:rowOff>
                  </from>
                  <to>
                    <xdr:col>37</xdr:col>
                    <xdr:colOff>0</xdr:colOff>
                    <xdr:row>94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3" r:id="rId512" name="Button 2239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20</xdr:row>
                    <xdr:rowOff>63500</xdr:rowOff>
                  </from>
                  <to>
                    <xdr:col>36</xdr:col>
                    <xdr:colOff>508000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4" r:id="rId513" name="Button 2240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20</xdr:row>
                    <xdr:rowOff>63500</xdr:rowOff>
                  </from>
                  <to>
                    <xdr:col>37</xdr:col>
                    <xdr:colOff>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5" r:id="rId514" name="Button 2241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21</xdr:row>
                    <xdr:rowOff>63500</xdr:rowOff>
                  </from>
                  <to>
                    <xdr:col>36</xdr:col>
                    <xdr:colOff>508000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6" r:id="rId515" name="Button 2242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21</xdr:row>
                    <xdr:rowOff>63500</xdr:rowOff>
                  </from>
                  <to>
                    <xdr:col>37</xdr:col>
                    <xdr:colOff>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7" r:id="rId516" name="Button 2243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22</xdr:row>
                    <xdr:rowOff>63500</xdr:rowOff>
                  </from>
                  <to>
                    <xdr:col>36</xdr:col>
                    <xdr:colOff>508000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8" r:id="rId517" name="Button 2244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22</xdr:row>
                    <xdr:rowOff>63500</xdr:rowOff>
                  </from>
                  <to>
                    <xdr:col>37</xdr:col>
                    <xdr:colOff>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9" r:id="rId518" name="Button 2245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23</xdr:row>
                    <xdr:rowOff>63500</xdr:rowOff>
                  </from>
                  <to>
                    <xdr:col>36</xdr:col>
                    <xdr:colOff>508000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0" r:id="rId519" name="Button 2246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23</xdr:row>
                    <xdr:rowOff>63500</xdr:rowOff>
                  </from>
                  <to>
                    <xdr:col>37</xdr:col>
                    <xdr:colOff>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3" r:id="rId520" name="Button 2249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25</xdr:row>
                    <xdr:rowOff>63500</xdr:rowOff>
                  </from>
                  <to>
                    <xdr:col>36</xdr:col>
                    <xdr:colOff>508000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4" r:id="rId521" name="Button 2250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25</xdr:row>
                    <xdr:rowOff>63500</xdr:rowOff>
                  </from>
                  <to>
                    <xdr:col>37</xdr:col>
                    <xdr:colOff>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1" r:id="rId522" name="Check Box 2267">
              <controlPr defaultSize="0" autoFill="0" autoLine="0" autoPict="0">
                <anchor moveWithCells="1">
                  <from>
                    <xdr:col>4</xdr:col>
                    <xdr:colOff>0</xdr:colOff>
                    <xdr:row>130</xdr:row>
                    <xdr:rowOff>152400</xdr:rowOff>
                  </from>
                  <to>
                    <xdr:col>10</xdr:col>
                    <xdr:colOff>406400</xdr:colOff>
                    <xdr:row>131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2" r:id="rId523" name="Button 2268">
              <controlPr defaultSize="0" print="0" autoFill="0" autoPict="0" macro="[0]!단추_Make_Unit_MODULE_INTERFACE_Click">
                <anchor moveWithCells="1" sizeWithCells="1">
                  <from>
                    <xdr:col>35</xdr:col>
                    <xdr:colOff>457200</xdr:colOff>
                    <xdr:row>130</xdr:row>
                    <xdr:rowOff>76200</xdr:rowOff>
                  </from>
                  <to>
                    <xdr:col>35</xdr:col>
                    <xdr:colOff>876300</xdr:colOff>
                    <xdr:row>130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3" r:id="rId524" name="Button 2269">
              <controlPr defaultSize="0" print="0" autoFill="0" autoPict="0" macro="[0]!단추_Make_Unit_MODULE_INDEX_Click">
                <anchor moveWithCells="1" sizeWithCells="1">
                  <from>
                    <xdr:col>31</xdr:col>
                    <xdr:colOff>12700</xdr:colOff>
                    <xdr:row>130</xdr:row>
                    <xdr:rowOff>76200</xdr:rowOff>
                  </from>
                  <to>
                    <xdr:col>35</xdr:col>
                    <xdr:colOff>431800</xdr:colOff>
                    <xdr:row>130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4" r:id="rId525" name="Button 2270">
              <controlPr defaultSize="0" print="0" autoFill="0" autoPict="0" macro="[0]!단추_Make_Unit_MODULE_CONTROLLER_Click">
                <anchor moveWithCells="1" sizeWithCells="1">
                  <from>
                    <xdr:col>35</xdr:col>
                    <xdr:colOff>889000</xdr:colOff>
                    <xdr:row>130</xdr:row>
                    <xdr:rowOff>76200</xdr:rowOff>
                  </from>
                  <to>
                    <xdr:col>35</xdr:col>
                    <xdr:colOff>1409700</xdr:colOff>
                    <xdr:row>130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5" r:id="rId526" name="Button 2271">
              <controlPr defaultSize="0" print="0" autoFill="0" autoPict="0" macro="[0]!단추_Make_Unit_ALL_Click">
                <anchor moveWithCells="1" sizeWithCells="1">
                  <from>
                    <xdr:col>35</xdr:col>
                    <xdr:colOff>1422400</xdr:colOff>
                    <xdr:row>130</xdr:row>
                    <xdr:rowOff>76200</xdr:rowOff>
                  </from>
                  <to>
                    <xdr:col>36</xdr:col>
                    <xdr:colOff>0</xdr:colOff>
                    <xdr:row>130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6" r:id="rId527" name="Button 2272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130</xdr:row>
                    <xdr:rowOff>63500</xdr:rowOff>
                  </from>
                  <to>
                    <xdr:col>36</xdr:col>
                    <xdr:colOff>508000</xdr:colOff>
                    <xdr:row>130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7" r:id="rId528" name="Button 2273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130</xdr:row>
                    <xdr:rowOff>63500</xdr:rowOff>
                  </from>
                  <to>
                    <xdr:col>37</xdr:col>
                    <xdr:colOff>0</xdr:colOff>
                    <xdr:row>130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8" r:id="rId529" name="Button 2274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131</xdr:row>
                    <xdr:rowOff>63500</xdr:rowOff>
                  </from>
                  <to>
                    <xdr:col>36</xdr:col>
                    <xdr:colOff>508000</xdr:colOff>
                    <xdr:row>131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9" r:id="rId530" name="Button 2275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131</xdr:row>
                    <xdr:rowOff>63500</xdr:rowOff>
                  </from>
                  <to>
                    <xdr:col>37</xdr:col>
                    <xdr:colOff>0</xdr:colOff>
                    <xdr:row>131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0" r:id="rId531" name="Button 2276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132</xdr:row>
                    <xdr:rowOff>63500</xdr:rowOff>
                  </from>
                  <to>
                    <xdr:col>36</xdr:col>
                    <xdr:colOff>508000</xdr:colOff>
                    <xdr:row>132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1" r:id="rId532" name="Button 2277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132</xdr:row>
                    <xdr:rowOff>63500</xdr:rowOff>
                  </from>
                  <to>
                    <xdr:col>37</xdr:col>
                    <xdr:colOff>0</xdr:colOff>
                    <xdr:row>132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2" r:id="rId533" name="Button 2278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130</xdr:row>
                    <xdr:rowOff>63500</xdr:rowOff>
                  </from>
                  <to>
                    <xdr:col>39</xdr:col>
                    <xdr:colOff>406400</xdr:colOff>
                    <xdr:row>130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3" r:id="rId534" name="Button 2279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130</xdr:row>
                    <xdr:rowOff>63500</xdr:rowOff>
                  </from>
                  <to>
                    <xdr:col>39</xdr:col>
                    <xdr:colOff>774700</xdr:colOff>
                    <xdr:row>130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4" r:id="rId535" name="Button 2280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131</xdr:row>
                    <xdr:rowOff>63500</xdr:rowOff>
                  </from>
                  <to>
                    <xdr:col>39</xdr:col>
                    <xdr:colOff>406400</xdr:colOff>
                    <xdr:row>131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5" r:id="rId536" name="Button 2281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131</xdr:row>
                    <xdr:rowOff>63500</xdr:rowOff>
                  </from>
                  <to>
                    <xdr:col>39</xdr:col>
                    <xdr:colOff>774700</xdr:colOff>
                    <xdr:row>131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6" r:id="rId537" name="Button 2282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132</xdr:row>
                    <xdr:rowOff>63500</xdr:rowOff>
                  </from>
                  <to>
                    <xdr:col>39</xdr:col>
                    <xdr:colOff>406400</xdr:colOff>
                    <xdr:row>132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7" r:id="rId538" name="Button 2283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132</xdr:row>
                    <xdr:rowOff>63500</xdr:rowOff>
                  </from>
                  <to>
                    <xdr:col>39</xdr:col>
                    <xdr:colOff>774700</xdr:colOff>
                    <xdr:row>132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9" r:id="rId539" name="Button 2285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88</xdr:row>
                    <xdr:rowOff>63500</xdr:rowOff>
                  </from>
                  <to>
                    <xdr:col>39</xdr:col>
                    <xdr:colOff>406400</xdr:colOff>
                    <xdr:row>88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0" r:id="rId540" name="Button 2286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88</xdr:row>
                    <xdr:rowOff>63500</xdr:rowOff>
                  </from>
                  <to>
                    <xdr:col>39</xdr:col>
                    <xdr:colOff>774700</xdr:colOff>
                    <xdr:row>88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1" r:id="rId541" name="Button 2287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88</xdr:row>
                    <xdr:rowOff>63500</xdr:rowOff>
                  </from>
                  <to>
                    <xdr:col>36</xdr:col>
                    <xdr:colOff>508000</xdr:colOff>
                    <xdr:row>88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2" r:id="rId542" name="Button 2288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88</xdr:row>
                    <xdr:rowOff>63500</xdr:rowOff>
                  </from>
                  <to>
                    <xdr:col>37</xdr:col>
                    <xdr:colOff>0</xdr:colOff>
                    <xdr:row>88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3" r:id="rId543" name="Button 2289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711200</xdr:colOff>
                    <xdr:row>95</xdr:row>
                    <xdr:rowOff>63500</xdr:rowOff>
                  </from>
                  <to>
                    <xdr:col>37</xdr:col>
                    <xdr:colOff>0</xdr:colOff>
                    <xdr:row>95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4" r:id="rId544" name="Button 2290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101600</xdr:colOff>
                    <xdr:row>95</xdr:row>
                    <xdr:rowOff>63500</xdr:rowOff>
                  </from>
                  <to>
                    <xdr:col>36</xdr:col>
                    <xdr:colOff>495300</xdr:colOff>
                    <xdr:row>95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5" r:id="rId545" name="Button 2291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96</xdr:row>
                    <xdr:rowOff>63500</xdr:rowOff>
                  </from>
                  <to>
                    <xdr:col>36</xdr:col>
                    <xdr:colOff>508000</xdr:colOff>
                    <xdr:row>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6" r:id="rId546" name="Button 2292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96</xdr:row>
                    <xdr:rowOff>63500</xdr:rowOff>
                  </from>
                  <to>
                    <xdr:col>37</xdr:col>
                    <xdr:colOff>0</xdr:colOff>
                    <xdr:row>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7" r:id="rId547" name="Button 2293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711200</xdr:colOff>
                    <xdr:row>97</xdr:row>
                    <xdr:rowOff>63500</xdr:rowOff>
                  </from>
                  <to>
                    <xdr:col>37</xdr:col>
                    <xdr:colOff>0</xdr:colOff>
                    <xdr:row>97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8" r:id="rId548" name="Button 2294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101600</xdr:colOff>
                    <xdr:row>97</xdr:row>
                    <xdr:rowOff>63500</xdr:rowOff>
                  </from>
                  <to>
                    <xdr:col>36</xdr:col>
                    <xdr:colOff>495300</xdr:colOff>
                    <xdr:row>97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9" r:id="rId549" name="Button 2295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711200</xdr:colOff>
                    <xdr:row>98</xdr:row>
                    <xdr:rowOff>63500</xdr:rowOff>
                  </from>
                  <to>
                    <xdr:col>37</xdr:col>
                    <xdr:colOff>0</xdr:colOff>
                    <xdr:row>98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0" r:id="rId550" name="Button 2296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101600</xdr:colOff>
                    <xdr:row>98</xdr:row>
                    <xdr:rowOff>63500</xdr:rowOff>
                  </from>
                  <to>
                    <xdr:col>36</xdr:col>
                    <xdr:colOff>495300</xdr:colOff>
                    <xdr:row>98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1" r:id="rId551" name="Button 2297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711200</xdr:colOff>
                    <xdr:row>99</xdr:row>
                    <xdr:rowOff>63500</xdr:rowOff>
                  </from>
                  <to>
                    <xdr:col>37</xdr:col>
                    <xdr:colOff>0</xdr:colOff>
                    <xdr:row>99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2" r:id="rId552" name="Button 2298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101600</xdr:colOff>
                    <xdr:row>99</xdr:row>
                    <xdr:rowOff>63500</xdr:rowOff>
                  </from>
                  <to>
                    <xdr:col>36</xdr:col>
                    <xdr:colOff>495300</xdr:colOff>
                    <xdr:row>99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3" r:id="rId553" name="Button 2299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711200</xdr:colOff>
                    <xdr:row>100</xdr:row>
                    <xdr:rowOff>63500</xdr:rowOff>
                  </from>
                  <to>
                    <xdr:col>37</xdr:col>
                    <xdr:colOff>0</xdr:colOff>
                    <xdr:row>100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4" r:id="rId554" name="Button 2300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101600</xdr:colOff>
                    <xdr:row>100</xdr:row>
                    <xdr:rowOff>63500</xdr:rowOff>
                  </from>
                  <to>
                    <xdr:col>36</xdr:col>
                    <xdr:colOff>495300</xdr:colOff>
                    <xdr:row>100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5" r:id="rId555" name="Button 2301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101</xdr:row>
                    <xdr:rowOff>63500</xdr:rowOff>
                  </from>
                  <to>
                    <xdr:col>36</xdr:col>
                    <xdr:colOff>508000</xdr:colOff>
                    <xdr:row>101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6" r:id="rId556" name="Button 2302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101</xdr:row>
                    <xdr:rowOff>63500</xdr:rowOff>
                  </from>
                  <to>
                    <xdr:col>37</xdr:col>
                    <xdr:colOff>0</xdr:colOff>
                    <xdr:row>101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7" r:id="rId557" name="Button 2303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63</xdr:row>
                    <xdr:rowOff>63500</xdr:rowOff>
                  </from>
                  <to>
                    <xdr:col>36</xdr:col>
                    <xdr:colOff>508000</xdr:colOff>
                    <xdr:row>63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8" r:id="rId558" name="Button 2304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63</xdr:row>
                    <xdr:rowOff>63500</xdr:rowOff>
                  </from>
                  <to>
                    <xdr:col>37</xdr:col>
                    <xdr:colOff>0</xdr:colOff>
                    <xdr:row>63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9" r:id="rId559" name="Button 2305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63</xdr:row>
                    <xdr:rowOff>63500</xdr:rowOff>
                  </from>
                  <to>
                    <xdr:col>39</xdr:col>
                    <xdr:colOff>406400</xdr:colOff>
                    <xdr:row>63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0" r:id="rId560" name="Button 2306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63</xdr:row>
                    <xdr:rowOff>63500</xdr:rowOff>
                  </from>
                  <to>
                    <xdr:col>39</xdr:col>
                    <xdr:colOff>774700</xdr:colOff>
                    <xdr:row>63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561" name="Button 2315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62</xdr:row>
                    <xdr:rowOff>63500</xdr:rowOff>
                  </from>
                  <to>
                    <xdr:col>36</xdr:col>
                    <xdr:colOff>508000</xdr:colOff>
                    <xdr:row>62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562" name="Button 2316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62</xdr:row>
                    <xdr:rowOff>63500</xdr:rowOff>
                  </from>
                  <to>
                    <xdr:col>37</xdr:col>
                    <xdr:colOff>0</xdr:colOff>
                    <xdr:row>62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1" r:id="rId563" name="Button 231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62</xdr:row>
                    <xdr:rowOff>63500</xdr:rowOff>
                  </from>
                  <to>
                    <xdr:col>39</xdr:col>
                    <xdr:colOff>406400</xdr:colOff>
                    <xdr:row>62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564" name="Button 231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62</xdr:row>
                    <xdr:rowOff>63500</xdr:rowOff>
                  </from>
                  <to>
                    <xdr:col>39</xdr:col>
                    <xdr:colOff>774700</xdr:colOff>
                    <xdr:row>62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65" name="Button 2325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60</xdr:row>
                    <xdr:rowOff>63500</xdr:rowOff>
                  </from>
                  <to>
                    <xdr:col>36</xdr:col>
                    <xdr:colOff>508000</xdr:colOff>
                    <xdr:row>60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0" r:id="rId566" name="Button 2326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60</xdr:row>
                    <xdr:rowOff>63500</xdr:rowOff>
                  </from>
                  <to>
                    <xdr:col>37</xdr:col>
                    <xdr:colOff>0</xdr:colOff>
                    <xdr:row>60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67" name="Button 232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60</xdr:row>
                    <xdr:rowOff>63500</xdr:rowOff>
                  </from>
                  <to>
                    <xdr:col>39</xdr:col>
                    <xdr:colOff>406400</xdr:colOff>
                    <xdr:row>60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2" r:id="rId568" name="Button 232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60</xdr:row>
                    <xdr:rowOff>63500</xdr:rowOff>
                  </from>
                  <to>
                    <xdr:col>39</xdr:col>
                    <xdr:colOff>774700</xdr:colOff>
                    <xdr:row>60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69" name="Button 2330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711200</xdr:colOff>
                    <xdr:row>75</xdr:row>
                    <xdr:rowOff>63500</xdr:rowOff>
                  </from>
                  <to>
                    <xdr:col>37</xdr:col>
                    <xdr:colOff>0</xdr:colOff>
                    <xdr:row>75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5" r:id="rId570" name="Button 2331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101600</xdr:colOff>
                    <xdr:row>75</xdr:row>
                    <xdr:rowOff>63500</xdr:rowOff>
                  </from>
                  <to>
                    <xdr:col>36</xdr:col>
                    <xdr:colOff>495300</xdr:colOff>
                    <xdr:row>75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71" name="Button 2332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75</xdr:row>
                    <xdr:rowOff>63500</xdr:rowOff>
                  </from>
                  <to>
                    <xdr:col>39</xdr:col>
                    <xdr:colOff>266700</xdr:colOff>
                    <xdr:row>75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7" r:id="rId572" name="Button 2333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622300</xdr:colOff>
                    <xdr:row>75</xdr:row>
                    <xdr:rowOff>63500</xdr:rowOff>
                  </from>
                  <to>
                    <xdr:col>39</xdr:col>
                    <xdr:colOff>774700</xdr:colOff>
                    <xdr:row>75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9" r:id="rId573" name="Button 2335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61</xdr:row>
                    <xdr:rowOff>63500</xdr:rowOff>
                  </from>
                  <to>
                    <xdr:col>36</xdr:col>
                    <xdr:colOff>508000</xdr:colOff>
                    <xdr:row>61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4" name="Button 2336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61</xdr:row>
                    <xdr:rowOff>63500</xdr:rowOff>
                  </from>
                  <to>
                    <xdr:col>37</xdr:col>
                    <xdr:colOff>0</xdr:colOff>
                    <xdr:row>61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75" name="Button 2337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61</xdr:row>
                    <xdr:rowOff>63500</xdr:rowOff>
                  </from>
                  <to>
                    <xdr:col>39</xdr:col>
                    <xdr:colOff>406400</xdr:colOff>
                    <xdr:row>61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2" r:id="rId576" name="Button 2338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61</xdr:row>
                    <xdr:rowOff>63500</xdr:rowOff>
                  </from>
                  <to>
                    <xdr:col>39</xdr:col>
                    <xdr:colOff>774700</xdr:colOff>
                    <xdr:row>61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77" name="Check Box 2339">
              <controlPr defaultSize="0" autoFill="0" autoLine="0" autoPict="0">
                <anchor moveWithCells="1">
                  <from>
                    <xdr:col>10</xdr:col>
                    <xdr:colOff>101600</xdr:colOff>
                    <xdr:row>70</xdr:row>
                    <xdr:rowOff>50800</xdr:rowOff>
                  </from>
                  <to>
                    <xdr:col>10</xdr:col>
                    <xdr:colOff>508000</xdr:colOff>
                    <xdr:row>71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4" r:id="rId578" name="Button 2340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133</xdr:row>
                    <xdr:rowOff>63500</xdr:rowOff>
                  </from>
                  <to>
                    <xdr:col>36</xdr:col>
                    <xdr:colOff>508000</xdr:colOff>
                    <xdr:row>133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579" name="Button 2341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133</xdr:row>
                    <xdr:rowOff>63500</xdr:rowOff>
                  </from>
                  <to>
                    <xdr:col>37</xdr:col>
                    <xdr:colOff>0</xdr:colOff>
                    <xdr:row>133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6" r:id="rId580" name="Button 2342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133</xdr:row>
                    <xdr:rowOff>63500</xdr:rowOff>
                  </from>
                  <to>
                    <xdr:col>39</xdr:col>
                    <xdr:colOff>406400</xdr:colOff>
                    <xdr:row>133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581" name="Button 2343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133</xdr:row>
                    <xdr:rowOff>63500</xdr:rowOff>
                  </from>
                  <to>
                    <xdr:col>39</xdr:col>
                    <xdr:colOff>774700</xdr:colOff>
                    <xdr:row>133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582" name="Button 2344">
              <controlPr defaultSize="0" print="0" autoFill="0" autoPict="0" macro="[0]!단추_Make_Unit_MODULE_INTERFACE_Click">
                <anchor moveWithCells="1" sizeWithCells="1">
                  <from>
                    <xdr:col>35</xdr:col>
                    <xdr:colOff>457200</xdr:colOff>
                    <xdr:row>64</xdr:row>
                    <xdr:rowOff>76200</xdr:rowOff>
                  </from>
                  <to>
                    <xdr:col>35</xdr:col>
                    <xdr:colOff>876300</xdr:colOff>
                    <xdr:row>64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9" r:id="rId583" name="Button 2345">
              <controlPr defaultSize="0" print="0" autoFill="0" autoPict="0" macro="[0]!단추_Make_Unit_MODULE_INDEX_Click">
                <anchor moveWithCells="1" sizeWithCells="1">
                  <from>
                    <xdr:col>31</xdr:col>
                    <xdr:colOff>12700</xdr:colOff>
                    <xdr:row>64</xdr:row>
                    <xdr:rowOff>76200</xdr:rowOff>
                  </from>
                  <to>
                    <xdr:col>35</xdr:col>
                    <xdr:colOff>431800</xdr:colOff>
                    <xdr:row>64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584" name="Button 2346">
              <controlPr defaultSize="0" print="0" autoFill="0" autoPict="0" macro="[0]!단추_Make_Unit_MODULE_CONTROLLER_Click">
                <anchor moveWithCells="1" sizeWithCells="1">
                  <from>
                    <xdr:col>35</xdr:col>
                    <xdr:colOff>889000</xdr:colOff>
                    <xdr:row>64</xdr:row>
                    <xdr:rowOff>76200</xdr:rowOff>
                  </from>
                  <to>
                    <xdr:col>35</xdr:col>
                    <xdr:colOff>1409700</xdr:colOff>
                    <xdr:row>64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1" r:id="rId585" name="Button 2347">
              <controlPr defaultSize="0" print="0" autoFill="0" autoPict="0" macro="[0]!단추_Make_Unit_ALL_Click">
                <anchor moveWithCells="1" sizeWithCells="1">
                  <from>
                    <xdr:col>35</xdr:col>
                    <xdr:colOff>1422400</xdr:colOff>
                    <xdr:row>64</xdr:row>
                    <xdr:rowOff>76200</xdr:rowOff>
                  </from>
                  <to>
                    <xdr:col>36</xdr:col>
                    <xdr:colOff>0</xdr:colOff>
                    <xdr:row>64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586" name="Button 2348">
              <controlPr defaultSize="0" print="0" autoFill="0" autoPict="0" macro="[0]!단추_Make_Unit_MODULE_INTERFACE_Click">
                <anchor moveWithCells="1" sizeWithCells="1">
                  <from>
                    <xdr:col>35</xdr:col>
                    <xdr:colOff>457200</xdr:colOff>
                    <xdr:row>68</xdr:row>
                    <xdr:rowOff>76200</xdr:rowOff>
                  </from>
                  <to>
                    <xdr:col>35</xdr:col>
                    <xdr:colOff>876300</xdr:colOff>
                    <xdr:row>68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3" r:id="rId587" name="Button 2349">
              <controlPr defaultSize="0" print="0" autoFill="0" autoPict="0" macro="[0]!단추_Make_Unit_MODULE_INDEX_Click">
                <anchor moveWithCells="1" sizeWithCells="1">
                  <from>
                    <xdr:col>31</xdr:col>
                    <xdr:colOff>12700</xdr:colOff>
                    <xdr:row>68</xdr:row>
                    <xdr:rowOff>76200</xdr:rowOff>
                  </from>
                  <to>
                    <xdr:col>35</xdr:col>
                    <xdr:colOff>431800</xdr:colOff>
                    <xdr:row>68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588" name="Button 2350">
              <controlPr defaultSize="0" print="0" autoFill="0" autoPict="0" macro="[0]!단추_Make_Unit_MODULE_CONTROLLER_Click">
                <anchor moveWithCells="1" sizeWithCells="1">
                  <from>
                    <xdr:col>35</xdr:col>
                    <xdr:colOff>889000</xdr:colOff>
                    <xdr:row>68</xdr:row>
                    <xdr:rowOff>76200</xdr:rowOff>
                  </from>
                  <to>
                    <xdr:col>35</xdr:col>
                    <xdr:colOff>1409700</xdr:colOff>
                    <xdr:row>68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589" name="Button 2351">
              <controlPr defaultSize="0" print="0" autoFill="0" autoPict="0" macro="[0]!단추_Make_Unit_ALL_Click">
                <anchor moveWithCells="1" sizeWithCells="1">
                  <from>
                    <xdr:col>35</xdr:col>
                    <xdr:colOff>1422400</xdr:colOff>
                    <xdr:row>68</xdr:row>
                    <xdr:rowOff>76200</xdr:rowOff>
                  </from>
                  <to>
                    <xdr:col>36</xdr:col>
                    <xdr:colOff>0</xdr:colOff>
                    <xdr:row>68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8" r:id="rId590" name="Button 2354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64</xdr:row>
                    <xdr:rowOff>63500</xdr:rowOff>
                  </from>
                  <to>
                    <xdr:col>36</xdr:col>
                    <xdr:colOff>508000</xdr:colOff>
                    <xdr:row>64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591" name="Button 2355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64</xdr:row>
                    <xdr:rowOff>63500</xdr:rowOff>
                  </from>
                  <to>
                    <xdr:col>37</xdr:col>
                    <xdr:colOff>0</xdr:colOff>
                    <xdr:row>64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0" r:id="rId592" name="Button 2356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65</xdr:row>
                    <xdr:rowOff>63500</xdr:rowOff>
                  </from>
                  <to>
                    <xdr:col>36</xdr:col>
                    <xdr:colOff>508000</xdr:colOff>
                    <xdr:row>65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593" name="Button 2357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65</xdr:row>
                    <xdr:rowOff>63500</xdr:rowOff>
                  </from>
                  <to>
                    <xdr:col>37</xdr:col>
                    <xdr:colOff>0</xdr:colOff>
                    <xdr:row>65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594" name="Button 2358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66</xdr:row>
                    <xdr:rowOff>63500</xdr:rowOff>
                  </from>
                  <to>
                    <xdr:col>36</xdr:col>
                    <xdr:colOff>508000</xdr:colOff>
                    <xdr:row>66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3" r:id="rId595" name="Button 2359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66</xdr:row>
                    <xdr:rowOff>63500</xdr:rowOff>
                  </from>
                  <to>
                    <xdr:col>37</xdr:col>
                    <xdr:colOff>0</xdr:colOff>
                    <xdr:row>66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596" name="Button 2360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67</xdr:row>
                    <xdr:rowOff>63500</xdr:rowOff>
                  </from>
                  <to>
                    <xdr:col>36</xdr:col>
                    <xdr:colOff>508000</xdr:colOff>
                    <xdr:row>67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5" r:id="rId597" name="Button 2361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67</xdr:row>
                    <xdr:rowOff>63500</xdr:rowOff>
                  </from>
                  <to>
                    <xdr:col>37</xdr:col>
                    <xdr:colOff>0</xdr:colOff>
                    <xdr:row>67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598" name="Button 2362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68</xdr:row>
                    <xdr:rowOff>63500</xdr:rowOff>
                  </from>
                  <to>
                    <xdr:col>36</xdr:col>
                    <xdr:colOff>508000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7" r:id="rId599" name="Button 2363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68</xdr:row>
                    <xdr:rowOff>63500</xdr:rowOff>
                  </from>
                  <to>
                    <xdr:col>37</xdr:col>
                    <xdr:colOff>0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600" name="Button 2364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69</xdr:row>
                    <xdr:rowOff>63500</xdr:rowOff>
                  </from>
                  <to>
                    <xdr:col>36</xdr:col>
                    <xdr:colOff>508000</xdr:colOff>
                    <xdr:row>69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601" name="Button 2365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69</xdr:row>
                    <xdr:rowOff>63500</xdr:rowOff>
                  </from>
                  <to>
                    <xdr:col>37</xdr:col>
                    <xdr:colOff>0</xdr:colOff>
                    <xdr:row>69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0" r:id="rId602" name="Button 2366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70</xdr:row>
                    <xdr:rowOff>63500</xdr:rowOff>
                  </from>
                  <to>
                    <xdr:col>36</xdr:col>
                    <xdr:colOff>508000</xdr:colOff>
                    <xdr:row>70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603" name="Button 2367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70</xdr:row>
                    <xdr:rowOff>63500</xdr:rowOff>
                  </from>
                  <to>
                    <xdr:col>37</xdr:col>
                    <xdr:colOff>0</xdr:colOff>
                    <xdr:row>70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2" r:id="rId604" name="Button 2368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71</xdr:row>
                    <xdr:rowOff>63500</xdr:rowOff>
                  </from>
                  <to>
                    <xdr:col>36</xdr:col>
                    <xdr:colOff>508000</xdr:colOff>
                    <xdr:row>71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605" name="Button 2369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71</xdr:row>
                    <xdr:rowOff>63500</xdr:rowOff>
                  </from>
                  <to>
                    <xdr:col>37</xdr:col>
                    <xdr:colOff>0</xdr:colOff>
                    <xdr:row>71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4" r:id="rId606" name="Button 2370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72</xdr:row>
                    <xdr:rowOff>63500</xdr:rowOff>
                  </from>
                  <to>
                    <xdr:col>36</xdr:col>
                    <xdr:colOff>508000</xdr:colOff>
                    <xdr:row>72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607" name="Button 2371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72</xdr:row>
                    <xdr:rowOff>63500</xdr:rowOff>
                  </from>
                  <to>
                    <xdr:col>37</xdr:col>
                    <xdr:colOff>0</xdr:colOff>
                    <xdr:row>72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608" name="Button 2372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73</xdr:row>
                    <xdr:rowOff>63500</xdr:rowOff>
                  </from>
                  <to>
                    <xdr:col>36</xdr:col>
                    <xdr:colOff>508000</xdr:colOff>
                    <xdr:row>73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7" r:id="rId609" name="Button 2373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73</xdr:row>
                    <xdr:rowOff>63500</xdr:rowOff>
                  </from>
                  <to>
                    <xdr:col>37</xdr:col>
                    <xdr:colOff>0</xdr:colOff>
                    <xdr:row>73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610" name="Button 2374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128</xdr:row>
                    <xdr:rowOff>63500</xdr:rowOff>
                  </from>
                  <to>
                    <xdr:col>36</xdr:col>
                    <xdr:colOff>508000</xdr:colOff>
                    <xdr:row>128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9" r:id="rId611" name="Button 2375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128</xdr:row>
                    <xdr:rowOff>63500</xdr:rowOff>
                  </from>
                  <to>
                    <xdr:col>37</xdr:col>
                    <xdr:colOff>0</xdr:colOff>
                    <xdr:row>128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612" name="Button 2376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129</xdr:row>
                    <xdr:rowOff>63500</xdr:rowOff>
                  </from>
                  <to>
                    <xdr:col>36</xdr:col>
                    <xdr:colOff>508000</xdr:colOff>
                    <xdr:row>129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1" r:id="rId613" name="Button 2377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129</xdr:row>
                    <xdr:rowOff>63500</xdr:rowOff>
                  </from>
                  <to>
                    <xdr:col>37</xdr:col>
                    <xdr:colOff>0</xdr:colOff>
                    <xdr:row>129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0" r:id="rId614" name="Button 2386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84</xdr:row>
                    <xdr:rowOff>63500</xdr:rowOff>
                  </from>
                  <to>
                    <xdr:col>39</xdr:col>
                    <xdr:colOff>266700</xdr:colOff>
                    <xdr:row>84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1" r:id="rId615" name="Button 2387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622300</xdr:colOff>
                    <xdr:row>84</xdr:row>
                    <xdr:rowOff>63500</xdr:rowOff>
                  </from>
                  <to>
                    <xdr:col>39</xdr:col>
                    <xdr:colOff>774700</xdr:colOff>
                    <xdr:row>84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2" r:id="rId616" name="Button 2388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711200</xdr:colOff>
                    <xdr:row>84</xdr:row>
                    <xdr:rowOff>63500</xdr:rowOff>
                  </from>
                  <to>
                    <xdr:col>37</xdr:col>
                    <xdr:colOff>0</xdr:colOff>
                    <xdr:row>84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3" r:id="rId617" name="Button 2389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101600</xdr:colOff>
                    <xdr:row>84</xdr:row>
                    <xdr:rowOff>63500</xdr:rowOff>
                  </from>
                  <to>
                    <xdr:col>36</xdr:col>
                    <xdr:colOff>495300</xdr:colOff>
                    <xdr:row>84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4" r:id="rId618" name="Button 2390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84</xdr:row>
                    <xdr:rowOff>63500</xdr:rowOff>
                  </from>
                  <to>
                    <xdr:col>36</xdr:col>
                    <xdr:colOff>508000</xdr:colOff>
                    <xdr:row>84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5" r:id="rId619" name="Button 2391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84</xdr:row>
                    <xdr:rowOff>63500</xdr:rowOff>
                  </from>
                  <to>
                    <xdr:col>37</xdr:col>
                    <xdr:colOff>0</xdr:colOff>
                    <xdr:row>84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6" r:id="rId620" name="Button 2392">
              <controlPr defaultSize="0" print="0" autoFill="0" autoPict="0" macro="[0]!단추_Copy_Path_MODULE_Click">
                <anchor moveWithCells="1" sizeWithCells="1">
                  <from>
                    <xdr:col>39</xdr:col>
                    <xdr:colOff>139700</xdr:colOff>
                    <xdr:row>84</xdr:row>
                    <xdr:rowOff>63500</xdr:rowOff>
                  </from>
                  <to>
                    <xdr:col>39</xdr:col>
                    <xdr:colOff>406400</xdr:colOff>
                    <xdr:row>84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7" r:id="rId621" name="Button 2393">
              <controlPr defaultSize="0" print="0" autoFill="0" autoPict="0" macro="[0]!단추_Copy_Path_CONTROLLER_Click">
                <anchor moveWithCells="1" sizeWithCells="1">
                  <from>
                    <xdr:col>39</xdr:col>
                    <xdr:colOff>457200</xdr:colOff>
                    <xdr:row>84</xdr:row>
                    <xdr:rowOff>63500</xdr:rowOff>
                  </from>
                  <to>
                    <xdr:col>39</xdr:col>
                    <xdr:colOff>774700</xdr:colOff>
                    <xdr:row>84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8" r:id="rId622" name="Button 2394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711200</xdr:colOff>
                    <xdr:row>85</xdr:row>
                    <xdr:rowOff>63500</xdr:rowOff>
                  </from>
                  <to>
                    <xdr:col>37</xdr:col>
                    <xdr:colOff>0</xdr:colOff>
                    <xdr:row>85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9" r:id="rId623" name="Button 2395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101600</xdr:colOff>
                    <xdr:row>85</xdr:row>
                    <xdr:rowOff>63500</xdr:rowOff>
                  </from>
                  <to>
                    <xdr:col>36</xdr:col>
                    <xdr:colOff>495300</xdr:colOff>
                    <xdr:row>85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0" r:id="rId624" name="Button 2396">
              <controlPr defaultSize="0" print="0" autoFill="0" autoPict="0" macro="[0]!단추_Make_Empty_MODULE_Click">
                <anchor moveWithCells="1" sizeWithCells="1">
                  <from>
                    <xdr:col>36</xdr:col>
                    <xdr:colOff>101600</xdr:colOff>
                    <xdr:row>85</xdr:row>
                    <xdr:rowOff>63500</xdr:rowOff>
                  </from>
                  <to>
                    <xdr:col>36</xdr:col>
                    <xdr:colOff>508000</xdr:colOff>
                    <xdr:row>85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1" r:id="rId625" name="Button 2397">
              <controlPr defaultSize="0" print="0" autoFill="0" autoPict="0" macro="[0]!단추_Make_Empty_CONTROLLER_Click">
                <anchor moveWithCells="1" sizeWithCells="1">
                  <from>
                    <xdr:col>36</xdr:col>
                    <xdr:colOff>584200</xdr:colOff>
                    <xdr:row>85</xdr:row>
                    <xdr:rowOff>63500</xdr:rowOff>
                  </from>
                  <to>
                    <xdr:col>37</xdr:col>
                    <xdr:colOff>0</xdr:colOff>
                    <xdr:row>85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2" r:id="rId626" name="Check Box 2398">
              <controlPr defaultSize="0" autoFill="0" autoLine="0" autoPict="0">
                <anchor moveWithCells="1">
                  <from>
                    <xdr:col>4</xdr:col>
                    <xdr:colOff>0</xdr:colOff>
                    <xdr:row>83</xdr:row>
                    <xdr:rowOff>50800</xdr:rowOff>
                  </from>
                  <to>
                    <xdr:col>10</xdr:col>
                    <xdr:colOff>406400</xdr:colOff>
                    <xdr:row>84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7" r:id="rId627" name="CheckBox1">
              <controlPr defaultSize="0" autoFill="0" autoLine="0" autoPict="0">
                <anchor moveWithCells="1">
                  <from>
                    <xdr:col>35</xdr:col>
                    <xdr:colOff>1460500</xdr:colOff>
                    <xdr:row>0</xdr:row>
                    <xdr:rowOff>0</xdr:rowOff>
                  </from>
                  <to>
                    <xdr:col>36</xdr:col>
                    <xdr:colOff>266700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9" r:id="rId628" name="Check Box 2405">
              <controlPr defaultSize="0" autoFill="0" autoLine="0" autoPict="0">
                <anchor moveWithCells="1">
                  <from>
                    <xdr:col>30</xdr:col>
                    <xdr:colOff>952500</xdr:colOff>
                    <xdr:row>0</xdr:row>
                    <xdr:rowOff>355600</xdr:rowOff>
                  </from>
                  <to>
                    <xdr:col>35</xdr:col>
                    <xdr:colOff>1511300</xdr:colOff>
                    <xdr:row>0</xdr:row>
                    <xdr:rowOff>508000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33"/>
  <sheetViews>
    <sheetView zoomScale="70" zoomScaleNormal="70" workbookViewId="0">
      <selection activeCell="D20" sqref="D20"/>
    </sheetView>
  </sheetViews>
  <sheetFormatPr baseColWidth="10" defaultColWidth="11.1640625" defaultRowHeight="17"/>
  <cols>
    <col min="3" max="3" width="45.6640625" bestFit="1" customWidth="1"/>
    <col min="4" max="4" width="61.1640625" bestFit="1" customWidth="1"/>
    <col min="5" max="7" width="20.83203125" customWidth="1"/>
    <col min="8" max="8" width="34.33203125" customWidth="1"/>
    <col min="9" max="9" width="33" bestFit="1" customWidth="1"/>
  </cols>
  <sheetData>
    <row r="2" spans="1:9">
      <c r="D2" t="s">
        <v>268</v>
      </c>
    </row>
    <row r="4" spans="1:9">
      <c r="C4" t="s">
        <v>207</v>
      </c>
      <c r="D4" t="s">
        <v>209</v>
      </c>
      <c r="E4" t="s">
        <v>215</v>
      </c>
      <c r="F4" t="s">
        <v>221</v>
      </c>
      <c r="G4" t="s">
        <v>227</v>
      </c>
      <c r="H4" t="s">
        <v>216</v>
      </c>
      <c r="I4" t="s">
        <v>28</v>
      </c>
    </row>
    <row r="5" spans="1:9">
      <c r="A5">
        <v>1</v>
      </c>
      <c r="B5" t="s">
        <v>26</v>
      </c>
      <c r="C5" t="s">
        <v>224</v>
      </c>
      <c r="D5" t="s">
        <v>238</v>
      </c>
      <c r="E5" t="s">
        <v>217</v>
      </c>
      <c r="F5" t="s">
        <v>223</v>
      </c>
      <c r="G5" t="s">
        <v>228</v>
      </c>
    </row>
    <row r="6" spans="1:9">
      <c r="A6">
        <v>2</v>
      </c>
      <c r="C6" t="s">
        <v>230</v>
      </c>
      <c r="D6" t="s">
        <v>242</v>
      </c>
      <c r="E6" t="s">
        <v>217</v>
      </c>
      <c r="F6" t="s">
        <v>223</v>
      </c>
      <c r="G6" t="s">
        <v>229</v>
      </c>
    </row>
    <row r="7" spans="1:9">
      <c r="A7">
        <v>3</v>
      </c>
      <c r="C7" t="s">
        <v>208</v>
      </c>
      <c r="D7" t="s">
        <v>231</v>
      </c>
      <c r="E7" t="s">
        <v>217</v>
      </c>
      <c r="F7" t="s">
        <v>222</v>
      </c>
      <c r="G7" t="s">
        <v>228</v>
      </c>
      <c r="H7" t="s">
        <v>210</v>
      </c>
    </row>
    <row r="8" spans="1:9">
      <c r="A8">
        <v>4</v>
      </c>
      <c r="C8" t="s">
        <v>225</v>
      </c>
      <c r="D8" t="s">
        <v>232</v>
      </c>
      <c r="E8" t="s">
        <v>218</v>
      </c>
      <c r="F8" t="s">
        <v>222</v>
      </c>
      <c r="G8" t="s">
        <v>228</v>
      </c>
      <c r="H8" t="s">
        <v>211</v>
      </c>
    </row>
    <row r="9" spans="1:9" s="19" customFormat="1">
      <c r="A9" s="19">
        <v>5</v>
      </c>
      <c r="C9" s="19" t="s">
        <v>226</v>
      </c>
      <c r="D9" s="19" t="s">
        <v>233</v>
      </c>
      <c r="E9" s="19" t="s">
        <v>217</v>
      </c>
      <c r="F9" s="19" t="s">
        <v>222</v>
      </c>
      <c r="G9" s="19" t="s">
        <v>228</v>
      </c>
      <c r="H9" s="19" t="s">
        <v>212</v>
      </c>
    </row>
    <row r="10" spans="1:9">
      <c r="A10">
        <v>6</v>
      </c>
      <c r="C10" t="s">
        <v>213</v>
      </c>
      <c r="D10" t="s">
        <v>234</v>
      </c>
      <c r="E10" t="s">
        <v>217</v>
      </c>
      <c r="F10" t="s">
        <v>222</v>
      </c>
      <c r="G10" t="s">
        <v>228</v>
      </c>
    </row>
    <row r="11" spans="1:9">
      <c r="A11">
        <v>7</v>
      </c>
      <c r="C11" t="s">
        <v>214</v>
      </c>
      <c r="D11" t="s">
        <v>235</v>
      </c>
      <c r="E11" t="s">
        <v>219</v>
      </c>
      <c r="F11" t="s">
        <v>222</v>
      </c>
      <c r="G11" t="s">
        <v>228</v>
      </c>
    </row>
    <row r="12" spans="1:9">
      <c r="A12">
        <v>8</v>
      </c>
      <c r="C12" t="s">
        <v>220</v>
      </c>
      <c r="D12" t="s">
        <v>280</v>
      </c>
      <c r="E12" t="s">
        <v>219</v>
      </c>
      <c r="F12" t="s">
        <v>222</v>
      </c>
      <c r="G12" t="s">
        <v>229</v>
      </c>
    </row>
    <row r="13" spans="1:9">
      <c r="A13">
        <v>9</v>
      </c>
      <c r="C13" t="s">
        <v>239</v>
      </c>
      <c r="D13" t="s">
        <v>240</v>
      </c>
      <c r="E13" t="s">
        <v>219</v>
      </c>
      <c r="F13" t="s">
        <v>222</v>
      </c>
      <c r="G13" t="s">
        <v>229</v>
      </c>
    </row>
    <row r="14" spans="1:9">
      <c r="A14">
        <v>10</v>
      </c>
      <c r="B14" t="s">
        <v>248</v>
      </c>
      <c r="C14" t="s">
        <v>237</v>
      </c>
      <c r="D14" t="s">
        <v>249</v>
      </c>
      <c r="E14" t="s">
        <v>217</v>
      </c>
      <c r="F14" t="s">
        <v>222</v>
      </c>
      <c r="G14" t="s">
        <v>229</v>
      </c>
      <c r="H14" t="s">
        <v>250</v>
      </c>
    </row>
    <row r="15" spans="1:9">
      <c r="A15">
        <v>11</v>
      </c>
      <c r="C15" t="s">
        <v>236</v>
      </c>
      <c r="D15" t="s">
        <v>251</v>
      </c>
      <c r="E15" t="s">
        <v>217</v>
      </c>
      <c r="F15" t="s">
        <v>222</v>
      </c>
      <c r="G15" t="s">
        <v>229</v>
      </c>
      <c r="H15" t="s">
        <v>250</v>
      </c>
    </row>
    <row r="16" spans="1:9">
      <c r="A16">
        <v>12</v>
      </c>
      <c r="C16" t="s">
        <v>236</v>
      </c>
      <c r="D16" t="s">
        <v>252</v>
      </c>
      <c r="E16" t="s">
        <v>218</v>
      </c>
      <c r="F16" t="s">
        <v>222</v>
      </c>
      <c r="G16" t="s">
        <v>229</v>
      </c>
    </row>
    <row r="17" spans="1:26">
      <c r="A17">
        <v>13</v>
      </c>
      <c r="C17" t="s">
        <v>256</v>
      </c>
      <c r="D17" t="s">
        <v>253</v>
      </c>
      <c r="E17" t="s">
        <v>219</v>
      </c>
      <c r="F17" t="s">
        <v>222</v>
      </c>
      <c r="G17" t="s">
        <v>229</v>
      </c>
    </row>
    <row r="18" spans="1:26">
      <c r="A18">
        <v>14</v>
      </c>
      <c r="C18" t="s">
        <v>257</v>
      </c>
      <c r="D18" t="s">
        <v>254</v>
      </c>
      <c r="E18" t="s">
        <v>255</v>
      </c>
      <c r="F18" t="s">
        <v>223</v>
      </c>
      <c r="G18" t="s">
        <v>229</v>
      </c>
    </row>
    <row r="19" spans="1:26">
      <c r="A19">
        <v>15</v>
      </c>
      <c r="B19" t="s">
        <v>258</v>
      </c>
      <c r="C19" t="s">
        <v>264</v>
      </c>
      <c r="D19" t="s">
        <v>267</v>
      </c>
      <c r="E19" t="s">
        <v>217</v>
      </c>
      <c r="F19" t="s">
        <v>223</v>
      </c>
      <c r="G19" t="s">
        <v>229</v>
      </c>
      <c r="I19" t="s">
        <v>259</v>
      </c>
    </row>
    <row r="20" spans="1:26">
      <c r="A20">
        <v>16</v>
      </c>
      <c r="D20" t="s">
        <v>260</v>
      </c>
      <c r="E20" t="s">
        <v>218</v>
      </c>
      <c r="F20" t="s">
        <v>222</v>
      </c>
      <c r="G20" t="s">
        <v>229</v>
      </c>
    </row>
    <row r="21" spans="1:26">
      <c r="A21">
        <v>17</v>
      </c>
      <c r="D21" t="s">
        <v>261</v>
      </c>
      <c r="E21" t="s">
        <v>219</v>
      </c>
      <c r="F21" t="s">
        <v>222</v>
      </c>
      <c r="G21" t="s">
        <v>229</v>
      </c>
    </row>
    <row r="22" spans="1:26">
      <c r="A22">
        <v>18</v>
      </c>
      <c r="C22" t="s">
        <v>263</v>
      </c>
      <c r="D22" t="s">
        <v>270</v>
      </c>
      <c r="E22" t="s">
        <v>217</v>
      </c>
      <c r="F22" t="s">
        <v>223</v>
      </c>
      <c r="G22" t="s">
        <v>229</v>
      </c>
    </row>
    <row r="23" spans="1:26">
      <c r="A23">
        <v>19</v>
      </c>
      <c r="D23" t="s">
        <v>262</v>
      </c>
      <c r="E23" t="s">
        <v>218</v>
      </c>
      <c r="F23" t="s">
        <v>222</v>
      </c>
      <c r="G23" t="s">
        <v>229</v>
      </c>
    </row>
    <row r="24" spans="1:26">
      <c r="A24">
        <v>20</v>
      </c>
      <c r="D24" t="s">
        <v>266</v>
      </c>
      <c r="E24" t="s">
        <v>219</v>
      </c>
      <c r="F24" t="s">
        <v>222</v>
      </c>
      <c r="G24" t="s">
        <v>229</v>
      </c>
      <c r="Z24" t="s">
        <v>726</v>
      </c>
    </row>
    <row r="25" spans="1:26">
      <c r="A25">
        <v>21</v>
      </c>
      <c r="D25" t="s">
        <v>265</v>
      </c>
      <c r="E25" t="s">
        <v>255</v>
      </c>
      <c r="F25" t="s">
        <v>223</v>
      </c>
      <c r="G25" t="s">
        <v>229</v>
      </c>
    </row>
    <row r="26" spans="1:26">
      <c r="A26">
        <v>22</v>
      </c>
      <c r="D26" t="s">
        <v>271</v>
      </c>
      <c r="E26" t="s">
        <v>219</v>
      </c>
      <c r="F26" t="s">
        <v>222</v>
      </c>
      <c r="G26" t="s">
        <v>229</v>
      </c>
      <c r="H26" t="s">
        <v>278</v>
      </c>
    </row>
    <row r="27" spans="1:26">
      <c r="A27">
        <v>23</v>
      </c>
      <c r="D27" t="s">
        <v>272</v>
      </c>
      <c r="E27" t="s">
        <v>219</v>
      </c>
      <c r="F27" t="s">
        <v>222</v>
      </c>
      <c r="G27" t="s">
        <v>229</v>
      </c>
      <c r="H27" t="s">
        <v>278</v>
      </c>
    </row>
    <row r="28" spans="1:26">
      <c r="A28">
        <v>24</v>
      </c>
      <c r="B28" t="s">
        <v>46</v>
      </c>
      <c r="C28" t="s">
        <v>243</v>
      </c>
      <c r="D28" t="s">
        <v>241</v>
      </c>
      <c r="E28" t="s">
        <v>217</v>
      </c>
      <c r="F28" t="s">
        <v>222</v>
      </c>
      <c r="G28" t="s">
        <v>228</v>
      </c>
      <c r="H28" t="s">
        <v>247</v>
      </c>
    </row>
    <row r="29" spans="1:26">
      <c r="A29">
        <v>25</v>
      </c>
      <c r="C29" t="s">
        <v>273</v>
      </c>
      <c r="D29" t="s">
        <v>269</v>
      </c>
      <c r="E29" t="s">
        <v>217</v>
      </c>
      <c r="F29" t="s">
        <v>222</v>
      </c>
      <c r="G29" t="s">
        <v>228</v>
      </c>
      <c r="H29" t="s">
        <v>247</v>
      </c>
    </row>
    <row r="30" spans="1:26">
      <c r="A30">
        <v>26</v>
      </c>
      <c r="C30" t="s">
        <v>246</v>
      </c>
      <c r="D30" t="s">
        <v>275</v>
      </c>
      <c r="E30" t="s">
        <v>217</v>
      </c>
      <c r="F30" t="s">
        <v>222</v>
      </c>
      <c r="G30" t="s">
        <v>229</v>
      </c>
      <c r="H30" t="s">
        <v>247</v>
      </c>
    </row>
    <row r="31" spans="1:26">
      <c r="A31">
        <v>27</v>
      </c>
      <c r="C31" t="s">
        <v>244</v>
      </c>
      <c r="D31" t="s">
        <v>276</v>
      </c>
      <c r="E31" t="s">
        <v>218</v>
      </c>
      <c r="F31" t="s">
        <v>222</v>
      </c>
      <c r="G31" t="s">
        <v>229</v>
      </c>
    </row>
    <row r="32" spans="1:26">
      <c r="A32">
        <v>28</v>
      </c>
      <c r="C32" t="s">
        <v>245</v>
      </c>
      <c r="D32" t="s">
        <v>277</v>
      </c>
      <c r="E32" t="s">
        <v>219</v>
      </c>
      <c r="F32" t="s">
        <v>222</v>
      </c>
      <c r="G32" t="s">
        <v>229</v>
      </c>
    </row>
    <row r="33" spans="1:4">
      <c r="A33">
        <v>29</v>
      </c>
      <c r="C33" t="s">
        <v>274</v>
      </c>
      <c r="D33" t="s">
        <v>276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Z113"/>
  <sheetViews>
    <sheetView zoomScale="70" zoomScaleNormal="70" workbookViewId="0">
      <pane ySplit="2" topLeftCell="A12" activePane="bottomLeft" state="frozen"/>
      <selection activeCell="Y7" sqref="Y7"/>
      <selection pane="bottomLeft" activeCell="M67" sqref="M67"/>
    </sheetView>
  </sheetViews>
  <sheetFormatPr baseColWidth="10" defaultColWidth="8.83203125" defaultRowHeight="17"/>
  <cols>
    <col min="1" max="1" width="4.33203125" customWidth="1"/>
    <col min="2" max="2" width="4.83203125" bestFit="1" customWidth="1"/>
    <col min="3" max="3" width="6.5" customWidth="1"/>
    <col min="4" max="4" width="11.1640625" bestFit="1" customWidth="1"/>
    <col min="5" max="5" width="13.6640625" bestFit="1" customWidth="1"/>
    <col min="6" max="6" width="15" bestFit="1" customWidth="1"/>
    <col min="7" max="7" width="7.33203125" style="1" bestFit="1" customWidth="1"/>
    <col min="8" max="8" width="5.83203125" style="1" bestFit="1" customWidth="1"/>
    <col min="9" max="9" width="6.1640625" style="1" bestFit="1" customWidth="1"/>
    <col min="10" max="10" width="44.5" bestFit="1" customWidth="1"/>
    <col min="11" max="11" width="6.5" bestFit="1" customWidth="1"/>
    <col min="12" max="12" width="6.5" style="1" bestFit="1" customWidth="1"/>
    <col min="13" max="13" width="41.5" style="4" customWidth="1"/>
    <col min="14" max="14" width="25.6640625" style="4" customWidth="1"/>
  </cols>
  <sheetData>
    <row r="2" spans="2:15">
      <c r="B2" s="9" t="s">
        <v>204</v>
      </c>
      <c r="C2" s="9" t="s">
        <v>3</v>
      </c>
      <c r="D2" s="9" t="s">
        <v>4</v>
      </c>
      <c r="E2" s="9" t="s">
        <v>5</v>
      </c>
      <c r="F2" s="9" t="s">
        <v>0</v>
      </c>
      <c r="G2" s="9" t="s">
        <v>1</v>
      </c>
      <c r="H2" s="9" t="s">
        <v>2</v>
      </c>
      <c r="I2" s="9" t="s">
        <v>205</v>
      </c>
      <c r="J2" s="9" t="s">
        <v>28</v>
      </c>
      <c r="K2" s="9" t="s">
        <v>116</v>
      </c>
      <c r="L2" s="9" t="s">
        <v>136</v>
      </c>
      <c r="M2" s="9" t="s">
        <v>7</v>
      </c>
      <c r="N2" s="9" t="s">
        <v>8</v>
      </c>
    </row>
    <row r="3" spans="2:15">
      <c r="B3" s="10">
        <v>1</v>
      </c>
      <c r="C3" s="2" t="s">
        <v>90</v>
      </c>
      <c r="D3" s="2" t="s">
        <v>26</v>
      </c>
      <c r="E3" s="2"/>
      <c r="F3" s="2" t="s">
        <v>35</v>
      </c>
      <c r="G3" s="2"/>
      <c r="H3" s="2"/>
      <c r="I3" s="3" t="s">
        <v>6</v>
      </c>
      <c r="J3" s="11"/>
      <c r="K3" s="12"/>
      <c r="L3" s="10"/>
      <c r="M3" s="13" t="s">
        <v>9</v>
      </c>
      <c r="N3" s="13" t="s">
        <v>23</v>
      </c>
      <c r="O3" t="s">
        <v>206</v>
      </c>
    </row>
    <row r="4" spans="2:15">
      <c r="B4" s="10">
        <v>2</v>
      </c>
      <c r="C4" s="2" t="s">
        <v>90</v>
      </c>
      <c r="D4" s="2" t="s">
        <v>26</v>
      </c>
      <c r="E4" s="2"/>
      <c r="F4" s="2" t="s">
        <v>33</v>
      </c>
      <c r="G4" s="2"/>
      <c r="H4" s="2"/>
      <c r="I4" s="3" t="s">
        <v>29</v>
      </c>
      <c r="J4" s="11" t="s">
        <v>32</v>
      </c>
      <c r="K4" s="12"/>
      <c r="L4" s="10"/>
      <c r="M4" s="13" t="s">
        <v>30</v>
      </c>
      <c r="N4" s="13"/>
    </row>
    <row r="5" spans="2:15">
      <c r="B5" s="10">
        <v>3</v>
      </c>
      <c r="C5" s="2" t="s">
        <v>90</v>
      </c>
      <c r="D5" s="2" t="s">
        <v>26</v>
      </c>
      <c r="E5" s="2"/>
      <c r="F5" s="2" t="s">
        <v>199</v>
      </c>
      <c r="G5" s="2"/>
      <c r="H5" s="2"/>
      <c r="I5" s="3" t="s">
        <v>42</v>
      </c>
      <c r="J5" s="11"/>
      <c r="K5" s="12"/>
      <c r="L5" s="10"/>
      <c r="M5" s="13"/>
      <c r="N5" s="13"/>
    </row>
    <row r="6" spans="2:15">
      <c r="B6" s="10">
        <v>4</v>
      </c>
      <c r="C6" s="2" t="s">
        <v>90</v>
      </c>
      <c r="D6" s="2" t="s">
        <v>26</v>
      </c>
      <c r="E6" s="2"/>
      <c r="F6" s="2" t="s">
        <v>27</v>
      </c>
      <c r="G6" s="2"/>
      <c r="H6" s="2"/>
      <c r="I6" s="3" t="s">
        <v>25</v>
      </c>
      <c r="J6" s="11"/>
      <c r="K6" s="12"/>
      <c r="L6" s="10"/>
      <c r="M6" s="13" t="s">
        <v>31</v>
      </c>
      <c r="N6" s="13" t="s">
        <v>38</v>
      </c>
    </row>
    <row r="7" spans="2:15">
      <c r="B7" s="10">
        <v>5</v>
      </c>
      <c r="C7" s="2" t="s">
        <v>90</v>
      </c>
      <c r="D7" s="2" t="s">
        <v>26</v>
      </c>
      <c r="E7" s="2"/>
      <c r="F7" s="2" t="s">
        <v>109</v>
      </c>
      <c r="G7" s="2" t="s">
        <v>110</v>
      </c>
      <c r="H7" s="2" t="s">
        <v>111</v>
      </c>
      <c r="I7" s="3" t="s">
        <v>36</v>
      </c>
      <c r="J7" s="11" t="s">
        <v>112</v>
      </c>
      <c r="K7" s="12"/>
      <c r="L7" s="10"/>
      <c r="M7" s="13" t="s">
        <v>9</v>
      </c>
      <c r="N7" s="13"/>
    </row>
    <row r="8" spans="2:15">
      <c r="B8" s="10">
        <v>6</v>
      </c>
      <c r="C8" s="2" t="s">
        <v>90</v>
      </c>
      <c r="D8" s="2" t="s">
        <v>26</v>
      </c>
      <c r="E8" s="2"/>
      <c r="F8" s="2" t="s">
        <v>109</v>
      </c>
      <c r="G8" s="2" t="s">
        <v>110</v>
      </c>
      <c r="H8" s="2" t="s">
        <v>104</v>
      </c>
      <c r="I8" s="3" t="s">
        <v>37</v>
      </c>
      <c r="J8" s="11"/>
      <c r="K8" s="12"/>
      <c r="L8" s="10"/>
      <c r="M8" s="13" t="s">
        <v>24</v>
      </c>
      <c r="N8" s="13"/>
    </row>
    <row r="9" spans="2:15">
      <c r="B9" s="10">
        <v>7</v>
      </c>
      <c r="C9" s="2" t="s">
        <v>90</v>
      </c>
      <c r="D9" s="2" t="s">
        <v>46</v>
      </c>
      <c r="E9" s="2"/>
      <c r="F9" s="2" t="s">
        <v>56</v>
      </c>
      <c r="G9" s="2"/>
      <c r="H9" s="2"/>
      <c r="I9" s="3" t="s">
        <v>40</v>
      </c>
      <c r="J9" s="11"/>
      <c r="K9" s="12"/>
      <c r="L9" s="10"/>
      <c r="M9" s="13" t="s">
        <v>42</v>
      </c>
      <c r="N9" s="13" t="s">
        <v>44</v>
      </c>
    </row>
    <row r="10" spans="2:15">
      <c r="B10" s="10">
        <v>8</v>
      </c>
      <c r="C10" s="2" t="s">
        <v>90</v>
      </c>
      <c r="D10" s="2" t="s">
        <v>46</v>
      </c>
      <c r="E10" s="2"/>
      <c r="F10" s="2" t="s">
        <v>124</v>
      </c>
      <c r="G10" s="2" t="s">
        <v>125</v>
      </c>
      <c r="H10" s="2"/>
      <c r="I10" s="3" t="s">
        <v>40</v>
      </c>
      <c r="J10" s="11" t="s">
        <v>126</v>
      </c>
      <c r="K10" s="12"/>
      <c r="L10" s="10"/>
      <c r="M10" s="13" t="s">
        <v>42</v>
      </c>
      <c r="N10" s="13"/>
    </row>
    <row r="11" spans="2:15">
      <c r="B11" s="10">
        <v>9</v>
      </c>
      <c r="C11" s="2" t="s">
        <v>90</v>
      </c>
      <c r="D11" s="2" t="s">
        <v>46</v>
      </c>
      <c r="E11" s="2"/>
      <c r="F11" s="2" t="s">
        <v>48</v>
      </c>
      <c r="G11" s="2"/>
      <c r="H11" s="2"/>
      <c r="I11" s="3" t="s">
        <v>41</v>
      </c>
      <c r="J11" s="11"/>
      <c r="K11" s="12"/>
      <c r="L11" s="10"/>
      <c r="M11" s="13" t="s">
        <v>43</v>
      </c>
      <c r="N11" s="13" t="s">
        <v>45</v>
      </c>
    </row>
    <row r="12" spans="2:15">
      <c r="B12" s="10">
        <v>10</v>
      </c>
      <c r="C12" s="2" t="s">
        <v>90</v>
      </c>
      <c r="D12" s="2" t="s">
        <v>46</v>
      </c>
      <c r="E12" s="2"/>
      <c r="F12" s="2" t="s">
        <v>47</v>
      </c>
      <c r="G12" s="2"/>
      <c r="H12" s="2"/>
      <c r="I12" s="3" t="s">
        <v>41</v>
      </c>
      <c r="J12" s="11"/>
      <c r="K12" s="12"/>
      <c r="L12" s="10"/>
      <c r="M12" s="13" t="s">
        <v>43</v>
      </c>
      <c r="N12" s="13"/>
    </row>
    <row r="13" spans="2:15">
      <c r="B13" s="10">
        <v>11</v>
      </c>
      <c r="C13" s="2" t="s">
        <v>90</v>
      </c>
      <c r="D13" s="2" t="s">
        <v>46</v>
      </c>
      <c r="E13" s="2"/>
      <c r="F13" s="2" t="s">
        <v>56</v>
      </c>
      <c r="G13" s="2"/>
      <c r="H13" s="2"/>
      <c r="I13" s="3" t="s">
        <v>40</v>
      </c>
      <c r="J13" s="11" t="s">
        <v>58</v>
      </c>
      <c r="K13" s="12"/>
      <c r="L13" s="10"/>
      <c r="M13" s="13" t="s">
        <v>42</v>
      </c>
      <c r="N13" s="13" t="s">
        <v>44</v>
      </c>
    </row>
    <row r="14" spans="2:15">
      <c r="B14" s="10">
        <v>12</v>
      </c>
      <c r="C14" s="2" t="s">
        <v>90</v>
      </c>
      <c r="D14" s="2" t="s">
        <v>46</v>
      </c>
      <c r="E14" s="2"/>
      <c r="F14" s="2" t="s">
        <v>57</v>
      </c>
      <c r="G14" s="2"/>
      <c r="H14" s="2"/>
      <c r="I14" s="3" t="s">
        <v>51</v>
      </c>
      <c r="J14" s="11" t="s">
        <v>65</v>
      </c>
      <c r="K14" s="12"/>
      <c r="L14" s="10"/>
      <c r="M14" s="13"/>
      <c r="N14" s="13"/>
    </row>
    <row r="15" spans="2:15">
      <c r="B15" s="10">
        <v>13</v>
      </c>
      <c r="C15" s="2" t="s">
        <v>90</v>
      </c>
      <c r="D15" s="2" t="s">
        <v>46</v>
      </c>
      <c r="E15" s="2"/>
      <c r="F15" s="2" t="s">
        <v>49</v>
      </c>
      <c r="G15" s="2"/>
      <c r="H15" s="2"/>
      <c r="I15" s="3" t="s">
        <v>51</v>
      </c>
      <c r="J15" s="11"/>
      <c r="K15" s="12"/>
      <c r="L15" s="10"/>
      <c r="M15" s="13"/>
      <c r="N15" s="13"/>
    </row>
    <row r="16" spans="2:15">
      <c r="B16" s="10">
        <v>14</v>
      </c>
      <c r="C16" s="2" t="s">
        <v>90</v>
      </c>
      <c r="D16" s="2" t="s">
        <v>46</v>
      </c>
      <c r="E16" s="2"/>
      <c r="F16" s="2" t="s">
        <v>50</v>
      </c>
      <c r="G16" s="2"/>
      <c r="H16" s="2"/>
      <c r="I16" s="3" t="s">
        <v>52</v>
      </c>
      <c r="J16" s="11"/>
      <c r="K16" s="12"/>
      <c r="L16" s="10"/>
      <c r="M16" s="13"/>
      <c r="N16" s="13"/>
    </row>
    <row r="17" spans="2:26">
      <c r="B17" s="10">
        <v>15</v>
      </c>
      <c r="C17" s="2" t="s">
        <v>90</v>
      </c>
      <c r="D17" s="2" t="s">
        <v>49</v>
      </c>
      <c r="E17" s="2"/>
      <c r="F17" s="2" t="s">
        <v>106</v>
      </c>
      <c r="G17" s="2"/>
      <c r="H17" s="2"/>
      <c r="I17" s="3" t="s">
        <v>54</v>
      </c>
      <c r="J17" s="11" t="s">
        <v>63</v>
      </c>
      <c r="K17" s="12"/>
      <c r="L17" s="10"/>
      <c r="M17" s="13"/>
      <c r="N17" s="13"/>
    </row>
    <row r="18" spans="2:26">
      <c r="B18" s="10">
        <v>16</v>
      </c>
      <c r="C18" s="2" t="s">
        <v>90</v>
      </c>
      <c r="D18" s="2" t="s">
        <v>49</v>
      </c>
      <c r="E18" s="2"/>
      <c r="F18" s="2" t="s">
        <v>59</v>
      </c>
      <c r="G18" s="2"/>
      <c r="H18" s="2"/>
      <c r="I18" s="3" t="s">
        <v>54</v>
      </c>
      <c r="J18" s="11"/>
      <c r="K18" s="12"/>
      <c r="L18" s="10"/>
      <c r="M18" s="13"/>
      <c r="N18" s="13"/>
    </row>
    <row r="19" spans="2:26">
      <c r="B19" s="10">
        <v>17</v>
      </c>
      <c r="C19" s="2" t="s">
        <v>90</v>
      </c>
      <c r="D19" s="2" t="s">
        <v>49</v>
      </c>
      <c r="E19" s="2"/>
      <c r="F19" s="2" t="s">
        <v>62</v>
      </c>
      <c r="G19" s="2"/>
      <c r="H19" s="2"/>
      <c r="I19" s="3" t="s">
        <v>54</v>
      </c>
      <c r="J19" s="11"/>
      <c r="K19" s="12"/>
      <c r="L19" s="10"/>
      <c r="M19" s="13"/>
      <c r="N19" s="13"/>
    </row>
    <row r="20" spans="2:26">
      <c r="B20" s="10">
        <v>18</v>
      </c>
      <c r="C20" s="2" t="s">
        <v>90</v>
      </c>
      <c r="D20" s="2" t="s">
        <v>46</v>
      </c>
      <c r="E20" s="2"/>
      <c r="F20" s="2" t="s">
        <v>64</v>
      </c>
      <c r="G20" s="2"/>
      <c r="H20" s="2"/>
      <c r="I20" s="3" t="s">
        <v>68</v>
      </c>
      <c r="J20" s="11"/>
      <c r="K20" s="12"/>
      <c r="L20" s="10"/>
      <c r="M20" s="13"/>
      <c r="N20" s="13"/>
    </row>
    <row r="21" spans="2:26">
      <c r="B21" s="10">
        <v>19</v>
      </c>
      <c r="C21" s="2" t="s">
        <v>90</v>
      </c>
      <c r="D21" s="2" t="s">
        <v>49</v>
      </c>
      <c r="E21" s="2"/>
      <c r="F21" s="2" t="s">
        <v>66</v>
      </c>
      <c r="G21" s="2"/>
      <c r="H21" s="2"/>
      <c r="I21" s="3" t="s">
        <v>67</v>
      </c>
      <c r="J21" s="11"/>
      <c r="K21" s="12"/>
      <c r="L21" s="10"/>
      <c r="M21" s="13"/>
      <c r="N21" s="13"/>
    </row>
    <row r="22" spans="2:26">
      <c r="B22" s="10">
        <v>20</v>
      </c>
      <c r="C22" s="2" t="s">
        <v>90</v>
      </c>
      <c r="D22" s="2" t="s">
        <v>49</v>
      </c>
      <c r="E22" s="2"/>
      <c r="F22" s="2" t="s">
        <v>53</v>
      </c>
      <c r="G22" s="2"/>
      <c r="H22" s="2"/>
      <c r="I22" s="3" t="s">
        <v>67</v>
      </c>
      <c r="J22" s="11"/>
      <c r="K22" s="12"/>
      <c r="L22" s="10"/>
      <c r="M22" s="13"/>
      <c r="N22" s="13"/>
    </row>
    <row r="23" spans="2:26">
      <c r="B23" s="10">
        <v>21</v>
      </c>
      <c r="C23" s="2" t="s">
        <v>90</v>
      </c>
      <c r="D23" s="2" t="s">
        <v>49</v>
      </c>
      <c r="E23" s="2"/>
      <c r="F23" s="2" t="s">
        <v>69</v>
      </c>
      <c r="G23" s="2"/>
      <c r="H23" s="2"/>
      <c r="I23" s="3" t="s">
        <v>70</v>
      </c>
      <c r="J23" s="11"/>
      <c r="K23" s="12"/>
      <c r="L23" s="10"/>
      <c r="M23" s="13"/>
      <c r="N23" s="13"/>
    </row>
    <row r="24" spans="2:26">
      <c r="B24" s="10">
        <v>22</v>
      </c>
      <c r="C24" s="2" t="s">
        <v>90</v>
      </c>
      <c r="D24" s="2" t="s">
        <v>49</v>
      </c>
      <c r="E24" s="2"/>
      <c r="F24" s="2" t="s">
        <v>81</v>
      </c>
      <c r="G24" s="2"/>
      <c r="H24" s="2"/>
      <c r="I24" s="3" t="s">
        <v>67</v>
      </c>
      <c r="J24" s="11"/>
      <c r="K24" s="12"/>
      <c r="L24" s="10"/>
      <c r="M24" s="13"/>
      <c r="N24" s="13"/>
      <c r="Z24" t="s">
        <v>726</v>
      </c>
    </row>
    <row r="25" spans="2:26">
      <c r="B25" s="10">
        <v>23</v>
      </c>
      <c r="C25" s="2" t="s">
        <v>90</v>
      </c>
      <c r="D25" s="2" t="s">
        <v>49</v>
      </c>
      <c r="E25" s="2"/>
      <c r="F25" s="2" t="s">
        <v>122</v>
      </c>
      <c r="G25" s="2"/>
      <c r="H25" s="2"/>
      <c r="I25" s="3" t="s">
        <v>117</v>
      </c>
      <c r="J25" s="11" t="s">
        <v>123</v>
      </c>
      <c r="K25" s="12"/>
      <c r="L25" s="10"/>
      <c r="M25" s="13"/>
      <c r="N25" s="13"/>
    </row>
    <row r="26" spans="2:26">
      <c r="B26" s="10">
        <v>24</v>
      </c>
      <c r="C26" s="2" t="s">
        <v>90</v>
      </c>
      <c r="D26" s="2" t="s">
        <v>71</v>
      </c>
      <c r="E26" s="2"/>
      <c r="F26" s="2" t="s">
        <v>56</v>
      </c>
      <c r="G26" s="2"/>
      <c r="H26" s="2"/>
      <c r="I26" s="3" t="s">
        <v>72</v>
      </c>
      <c r="J26" s="11"/>
      <c r="K26" s="14"/>
      <c r="L26" s="10"/>
      <c r="M26" s="13"/>
      <c r="N26" s="13"/>
    </row>
    <row r="27" spans="2:26">
      <c r="B27" s="10">
        <v>25</v>
      </c>
      <c r="C27" s="2" t="s">
        <v>90</v>
      </c>
      <c r="D27" s="2" t="s">
        <v>71</v>
      </c>
      <c r="E27" s="2"/>
      <c r="F27" s="2" t="s">
        <v>73</v>
      </c>
      <c r="G27" s="2"/>
      <c r="H27" s="2"/>
      <c r="I27" s="3" t="s">
        <v>74</v>
      </c>
      <c r="J27" s="11"/>
      <c r="K27" s="14"/>
      <c r="L27" s="10"/>
      <c r="M27" s="13"/>
      <c r="N27" s="13"/>
    </row>
    <row r="28" spans="2:26">
      <c r="B28" s="10">
        <v>27</v>
      </c>
      <c r="C28" s="2" t="s">
        <v>90</v>
      </c>
      <c r="D28" s="2" t="s">
        <v>71</v>
      </c>
      <c r="E28" s="2" t="s">
        <v>78</v>
      </c>
      <c r="F28" s="2" t="s">
        <v>56</v>
      </c>
      <c r="G28" s="2"/>
      <c r="H28" s="2"/>
      <c r="I28" s="3" t="s">
        <v>76</v>
      </c>
      <c r="J28" s="11"/>
      <c r="K28" s="14"/>
      <c r="L28" s="10"/>
      <c r="M28" s="13"/>
      <c r="N28" s="13"/>
    </row>
    <row r="29" spans="2:26">
      <c r="B29" s="10">
        <v>28</v>
      </c>
      <c r="C29" s="2" t="s">
        <v>90</v>
      </c>
      <c r="D29" s="2" t="s">
        <v>71</v>
      </c>
      <c r="E29" s="2" t="s">
        <v>78</v>
      </c>
      <c r="F29" s="2" t="s">
        <v>79</v>
      </c>
      <c r="G29" s="2"/>
      <c r="H29" s="2"/>
      <c r="I29" s="3" t="s">
        <v>76</v>
      </c>
      <c r="J29" s="11"/>
      <c r="K29" s="14"/>
      <c r="L29" s="10"/>
      <c r="M29" s="13"/>
      <c r="N29" s="13"/>
    </row>
    <row r="30" spans="2:26">
      <c r="B30" s="10">
        <v>29</v>
      </c>
      <c r="C30" s="2" t="s">
        <v>90</v>
      </c>
      <c r="D30" s="2" t="s">
        <v>49</v>
      </c>
      <c r="E30" s="2"/>
      <c r="F30" s="2" t="s">
        <v>80</v>
      </c>
      <c r="G30" s="2"/>
      <c r="H30" s="2"/>
      <c r="I30" s="3" t="s">
        <v>76</v>
      </c>
      <c r="J30" s="11" t="s">
        <v>77</v>
      </c>
      <c r="K30" s="14"/>
      <c r="L30" s="2"/>
      <c r="M30" s="13"/>
      <c r="N30" s="13"/>
    </row>
    <row r="31" spans="2:26">
      <c r="B31" s="10">
        <v>30</v>
      </c>
      <c r="C31" s="2" t="s">
        <v>90</v>
      </c>
      <c r="D31" s="2" t="s">
        <v>49</v>
      </c>
      <c r="E31" s="2"/>
      <c r="F31" s="2" t="s">
        <v>127</v>
      </c>
      <c r="G31" s="2"/>
      <c r="H31" s="2"/>
      <c r="I31" s="3" t="s">
        <v>76</v>
      </c>
      <c r="J31" s="11" t="s">
        <v>77</v>
      </c>
      <c r="K31" s="14"/>
      <c r="L31" s="2"/>
      <c r="M31" s="13"/>
      <c r="N31" s="13"/>
    </row>
    <row r="32" spans="2:26">
      <c r="B32" s="10">
        <v>31</v>
      </c>
      <c r="C32" s="2" t="s">
        <v>90</v>
      </c>
      <c r="D32" s="2" t="s">
        <v>83</v>
      </c>
      <c r="E32" s="2"/>
      <c r="F32" s="2" t="s">
        <v>84</v>
      </c>
      <c r="G32" s="2"/>
      <c r="H32" s="2"/>
      <c r="I32" s="3" t="s">
        <v>87</v>
      </c>
      <c r="J32" s="11"/>
      <c r="K32" s="14"/>
      <c r="L32" s="10"/>
      <c r="M32" s="13"/>
      <c r="N32" s="13"/>
    </row>
    <row r="33" spans="2:14">
      <c r="B33" s="10">
        <v>32</v>
      </c>
      <c r="C33" s="2" t="s">
        <v>90</v>
      </c>
      <c r="D33" s="2" t="s">
        <v>83</v>
      </c>
      <c r="E33" s="2"/>
      <c r="F33" s="2" t="s">
        <v>86</v>
      </c>
      <c r="G33" s="2"/>
      <c r="H33" s="2"/>
      <c r="I33" s="3" t="s">
        <v>88</v>
      </c>
      <c r="J33" s="11"/>
      <c r="K33" s="14"/>
      <c r="L33" s="10"/>
      <c r="M33" s="3"/>
      <c r="N33" s="13"/>
    </row>
    <row r="34" spans="2:14">
      <c r="B34" s="10">
        <v>33</v>
      </c>
      <c r="C34" s="2" t="s">
        <v>90</v>
      </c>
      <c r="D34" s="2" t="s">
        <v>83</v>
      </c>
      <c r="E34" s="2"/>
      <c r="F34" s="2" t="s">
        <v>85</v>
      </c>
      <c r="G34" s="2"/>
      <c r="H34" s="2"/>
      <c r="I34" s="3" t="s">
        <v>89</v>
      </c>
      <c r="J34" s="11"/>
      <c r="K34" s="14"/>
      <c r="L34" s="10"/>
      <c r="M34" s="13"/>
      <c r="N34" s="13"/>
    </row>
    <row r="35" spans="2:14">
      <c r="B35" s="10">
        <v>34</v>
      </c>
      <c r="C35" s="2" t="s">
        <v>90</v>
      </c>
      <c r="D35" s="2" t="s">
        <v>93</v>
      </c>
      <c r="E35" s="2"/>
      <c r="F35" s="2" t="s">
        <v>91</v>
      </c>
      <c r="G35" s="2" t="s">
        <v>61</v>
      </c>
      <c r="H35" s="2"/>
      <c r="I35" s="3" t="s">
        <v>94</v>
      </c>
      <c r="J35" s="11"/>
      <c r="K35" s="14"/>
      <c r="L35" s="10"/>
      <c r="M35" s="13"/>
      <c r="N35" s="13"/>
    </row>
    <row r="36" spans="2:14">
      <c r="B36" s="10">
        <v>35</v>
      </c>
      <c r="C36" s="2" t="s">
        <v>90</v>
      </c>
      <c r="D36" s="2" t="s">
        <v>93</v>
      </c>
      <c r="E36" s="2"/>
      <c r="F36" s="2" t="s">
        <v>92</v>
      </c>
      <c r="G36" s="2" t="s">
        <v>103</v>
      </c>
      <c r="H36" s="2" t="s">
        <v>104</v>
      </c>
      <c r="I36" s="3" t="s">
        <v>94</v>
      </c>
      <c r="J36" s="11"/>
      <c r="K36" s="14"/>
      <c r="L36" s="10"/>
      <c r="M36" s="13"/>
      <c r="N36" s="13"/>
    </row>
    <row r="37" spans="2:14">
      <c r="B37" s="10">
        <v>36</v>
      </c>
      <c r="C37" s="2" t="s">
        <v>90</v>
      </c>
      <c r="D37" s="2" t="s">
        <v>93</v>
      </c>
      <c r="E37" s="2"/>
      <c r="F37" s="2" t="s">
        <v>92</v>
      </c>
      <c r="G37" s="2" t="s">
        <v>60</v>
      </c>
      <c r="H37" s="2" t="s">
        <v>73</v>
      </c>
      <c r="I37" s="3" t="s">
        <v>94</v>
      </c>
      <c r="J37" s="11"/>
      <c r="K37" s="14"/>
      <c r="L37" s="10"/>
      <c r="M37" s="13"/>
      <c r="N37" s="13"/>
    </row>
    <row r="38" spans="2:14">
      <c r="B38" s="10">
        <v>37</v>
      </c>
      <c r="C38" s="2" t="s">
        <v>90</v>
      </c>
      <c r="D38" s="2" t="s">
        <v>93</v>
      </c>
      <c r="E38" s="2"/>
      <c r="F38" s="2" t="s">
        <v>92</v>
      </c>
      <c r="G38" s="2" t="s">
        <v>60</v>
      </c>
      <c r="H38" s="2" t="s">
        <v>105</v>
      </c>
      <c r="I38" s="3" t="s">
        <v>94</v>
      </c>
      <c r="J38" s="11"/>
      <c r="K38" s="14"/>
      <c r="L38" s="10"/>
      <c r="M38" s="13"/>
      <c r="N38" s="13"/>
    </row>
    <row r="39" spans="2:14">
      <c r="B39" s="10">
        <v>38</v>
      </c>
      <c r="C39" s="2" t="s">
        <v>90</v>
      </c>
      <c r="D39" s="2" t="s">
        <v>93</v>
      </c>
      <c r="E39" s="2" t="s">
        <v>120</v>
      </c>
      <c r="F39" s="2" t="s">
        <v>92</v>
      </c>
      <c r="G39" s="2" t="s">
        <v>108</v>
      </c>
      <c r="H39" s="2" t="s">
        <v>104</v>
      </c>
      <c r="I39" s="3" t="s">
        <v>107</v>
      </c>
      <c r="J39" s="11"/>
      <c r="K39" s="14"/>
      <c r="L39" s="10"/>
      <c r="M39" s="13"/>
      <c r="N39" s="13"/>
    </row>
    <row r="40" spans="2:14">
      <c r="B40" s="10">
        <v>39</v>
      </c>
      <c r="C40" s="2" t="s">
        <v>90</v>
      </c>
      <c r="D40" s="2" t="s">
        <v>93</v>
      </c>
      <c r="E40" s="2" t="s">
        <v>120</v>
      </c>
      <c r="F40" s="2" t="s">
        <v>92</v>
      </c>
      <c r="G40" s="2" t="s">
        <v>109</v>
      </c>
      <c r="H40" s="2" t="s">
        <v>104</v>
      </c>
      <c r="I40" s="3" t="s">
        <v>107</v>
      </c>
      <c r="J40" s="11"/>
      <c r="K40" s="14"/>
      <c r="L40" s="10"/>
      <c r="M40" s="13"/>
      <c r="N40" s="13"/>
    </row>
    <row r="41" spans="2:14">
      <c r="B41" s="10">
        <v>40</v>
      </c>
      <c r="C41" s="2" t="s">
        <v>90</v>
      </c>
      <c r="D41" s="2" t="s">
        <v>93</v>
      </c>
      <c r="E41" s="2" t="s">
        <v>120</v>
      </c>
      <c r="F41" s="2" t="s">
        <v>92</v>
      </c>
      <c r="G41" s="2" t="s">
        <v>113</v>
      </c>
      <c r="H41" s="2" t="s">
        <v>104</v>
      </c>
      <c r="I41" s="3" t="s">
        <v>107</v>
      </c>
      <c r="J41" s="11"/>
      <c r="K41" s="14"/>
      <c r="L41" s="10"/>
      <c r="M41" s="13"/>
      <c r="N41" s="13"/>
    </row>
    <row r="42" spans="2:14">
      <c r="B42" s="10">
        <v>41</v>
      </c>
      <c r="C42" s="2" t="s">
        <v>90</v>
      </c>
      <c r="D42" s="2" t="s">
        <v>93</v>
      </c>
      <c r="E42" s="2" t="s">
        <v>82</v>
      </c>
      <c r="F42" s="2" t="s">
        <v>56</v>
      </c>
      <c r="G42" s="2"/>
      <c r="H42" s="2"/>
      <c r="I42" s="3" t="s">
        <v>114</v>
      </c>
      <c r="J42" s="11"/>
      <c r="K42" s="14"/>
      <c r="L42" s="10"/>
      <c r="M42" s="13"/>
      <c r="N42" s="13"/>
    </row>
    <row r="43" spans="2:14" s="8" customFormat="1">
      <c r="B43" s="10">
        <v>42</v>
      </c>
      <c r="C43" s="5" t="s">
        <v>90</v>
      </c>
      <c r="D43" s="5" t="s">
        <v>93</v>
      </c>
      <c r="E43" s="5" t="s">
        <v>83</v>
      </c>
      <c r="F43" s="6" t="s">
        <v>119</v>
      </c>
      <c r="G43" s="5"/>
      <c r="H43" s="5"/>
      <c r="I43" s="7" t="s">
        <v>114</v>
      </c>
      <c r="J43" s="16"/>
      <c r="K43" s="5" t="s">
        <v>115</v>
      </c>
      <c r="L43" s="5"/>
      <c r="M43" s="17"/>
      <c r="N43" s="17"/>
    </row>
    <row r="44" spans="2:14" s="8" customFormat="1">
      <c r="B44" s="10">
        <v>43</v>
      </c>
      <c r="C44" s="5" t="s">
        <v>90</v>
      </c>
      <c r="D44" s="5" t="s">
        <v>93</v>
      </c>
      <c r="E44" s="5" t="s">
        <v>83</v>
      </c>
      <c r="F44" s="6" t="s">
        <v>128</v>
      </c>
      <c r="G44" s="5"/>
      <c r="H44" s="5"/>
      <c r="I44" s="7" t="s">
        <v>114</v>
      </c>
      <c r="J44" s="16"/>
      <c r="K44" s="5" t="s">
        <v>115</v>
      </c>
      <c r="L44" s="5"/>
      <c r="M44" s="17"/>
      <c r="N44" s="17"/>
    </row>
    <row r="45" spans="2:14">
      <c r="B45" s="10">
        <v>44</v>
      </c>
      <c r="C45" s="2" t="s">
        <v>90</v>
      </c>
      <c r="D45" s="2" t="s">
        <v>93</v>
      </c>
      <c r="E45" s="2" t="s">
        <v>129</v>
      </c>
      <c r="F45" s="2" t="s">
        <v>56</v>
      </c>
      <c r="G45" s="2"/>
      <c r="H45" s="2"/>
      <c r="I45" s="3" t="s">
        <v>130</v>
      </c>
      <c r="J45" s="11"/>
      <c r="K45" s="14"/>
      <c r="L45" s="10"/>
      <c r="M45" s="13"/>
      <c r="N45" s="13"/>
    </row>
    <row r="46" spans="2:14" s="8" customFormat="1">
      <c r="B46" s="10">
        <v>45</v>
      </c>
      <c r="C46" s="5" t="s">
        <v>90</v>
      </c>
      <c r="D46" s="5" t="s">
        <v>93</v>
      </c>
      <c r="E46" s="5" t="s">
        <v>95</v>
      </c>
      <c r="F46" s="6" t="s">
        <v>118</v>
      </c>
      <c r="G46" s="5"/>
      <c r="H46" s="5"/>
      <c r="I46" s="7" t="s">
        <v>117</v>
      </c>
      <c r="J46" s="16"/>
      <c r="K46" s="5" t="s">
        <v>115</v>
      </c>
      <c r="L46" s="5"/>
      <c r="M46" s="17"/>
      <c r="N46" s="17"/>
    </row>
    <row r="47" spans="2:14">
      <c r="B47" s="10">
        <v>46</v>
      </c>
      <c r="C47" s="2" t="s">
        <v>90</v>
      </c>
      <c r="D47" s="2" t="s">
        <v>93</v>
      </c>
      <c r="E47" s="2" t="s">
        <v>95</v>
      </c>
      <c r="F47" s="2" t="s">
        <v>55</v>
      </c>
      <c r="G47" s="2"/>
      <c r="H47" s="2"/>
      <c r="I47" s="3" t="s">
        <v>117</v>
      </c>
      <c r="J47" s="11"/>
      <c r="K47" s="14"/>
      <c r="L47" s="10"/>
      <c r="M47" s="13"/>
      <c r="N47" s="13"/>
    </row>
    <row r="48" spans="2:14">
      <c r="B48" s="10">
        <v>47</v>
      </c>
      <c r="C48" s="2" t="s">
        <v>90</v>
      </c>
      <c r="D48" s="2" t="s">
        <v>93</v>
      </c>
      <c r="E48" s="2" t="s">
        <v>95</v>
      </c>
      <c r="F48" s="2" t="s">
        <v>121</v>
      </c>
      <c r="G48" s="2"/>
      <c r="H48" s="2"/>
      <c r="I48" s="3" t="s">
        <v>117</v>
      </c>
      <c r="J48" s="11"/>
      <c r="K48" s="14"/>
      <c r="L48" s="10"/>
      <c r="M48" s="13"/>
      <c r="N48" s="13"/>
    </row>
    <row r="49" spans="2:15" s="8" customFormat="1">
      <c r="B49" s="10">
        <v>48</v>
      </c>
      <c r="C49" s="5" t="s">
        <v>90</v>
      </c>
      <c r="D49" s="5" t="s">
        <v>93</v>
      </c>
      <c r="E49" s="5" t="s">
        <v>95</v>
      </c>
      <c r="F49" s="6" t="s">
        <v>122</v>
      </c>
      <c r="G49" s="5"/>
      <c r="H49" s="5"/>
      <c r="I49" s="7" t="s">
        <v>117</v>
      </c>
      <c r="J49" s="16" t="s">
        <v>123</v>
      </c>
      <c r="K49" s="5" t="s">
        <v>115</v>
      </c>
      <c r="L49" s="5"/>
      <c r="M49" s="17"/>
      <c r="N49" s="17"/>
    </row>
    <row r="50" spans="2:15">
      <c r="B50" s="10">
        <v>49</v>
      </c>
      <c r="C50" s="2" t="s">
        <v>90</v>
      </c>
      <c r="D50" s="2" t="s">
        <v>93</v>
      </c>
      <c r="E50" s="2" t="s">
        <v>95</v>
      </c>
      <c r="F50" s="2" t="s">
        <v>132</v>
      </c>
      <c r="G50" s="2"/>
      <c r="H50" s="2"/>
      <c r="I50" s="3" t="s">
        <v>131</v>
      </c>
      <c r="J50" s="11"/>
      <c r="K50" s="14"/>
      <c r="L50" s="10"/>
      <c r="M50" s="13"/>
      <c r="N50" s="13"/>
    </row>
    <row r="51" spans="2:15">
      <c r="B51" s="10">
        <v>50</v>
      </c>
      <c r="C51" s="2" t="s">
        <v>90</v>
      </c>
      <c r="D51" s="2" t="s">
        <v>93</v>
      </c>
      <c r="E51" s="2"/>
      <c r="F51" s="2" t="s">
        <v>61</v>
      </c>
      <c r="G51" s="2"/>
      <c r="H51" s="2"/>
      <c r="I51" s="3" t="s">
        <v>133</v>
      </c>
      <c r="J51" s="11"/>
      <c r="K51" s="14"/>
      <c r="L51" s="10"/>
      <c r="M51" s="13"/>
      <c r="N51" s="13"/>
    </row>
    <row r="52" spans="2:15">
      <c r="B52" s="10">
        <v>51</v>
      </c>
      <c r="C52" s="2" t="s">
        <v>90</v>
      </c>
      <c r="D52" s="2" t="s">
        <v>93</v>
      </c>
      <c r="E52" s="2"/>
      <c r="F52" s="2" t="s">
        <v>125</v>
      </c>
      <c r="G52" s="2"/>
      <c r="H52" s="2"/>
      <c r="I52" s="3" t="s">
        <v>133</v>
      </c>
      <c r="J52" s="11"/>
      <c r="K52" s="14"/>
      <c r="L52" s="10"/>
      <c r="M52" s="13"/>
      <c r="N52" s="13"/>
    </row>
    <row r="53" spans="2:15">
      <c r="B53" s="10">
        <v>52</v>
      </c>
      <c r="C53" s="2" t="s">
        <v>90</v>
      </c>
      <c r="D53" s="2" t="s">
        <v>93</v>
      </c>
      <c r="E53" s="2" t="s">
        <v>170</v>
      </c>
      <c r="F53" s="2" t="s">
        <v>61</v>
      </c>
      <c r="G53" s="2"/>
      <c r="H53" s="2"/>
      <c r="I53" s="3" t="s">
        <v>134</v>
      </c>
      <c r="J53" s="15" t="s">
        <v>75</v>
      </c>
      <c r="K53" s="14"/>
      <c r="L53" s="10"/>
      <c r="M53" s="13"/>
      <c r="N53" s="13"/>
    </row>
    <row r="54" spans="2:15">
      <c r="B54" s="10">
        <v>53</v>
      </c>
      <c r="C54" s="2" t="s">
        <v>90</v>
      </c>
      <c r="D54" s="2" t="s">
        <v>93</v>
      </c>
      <c r="E54" s="2" t="s">
        <v>96</v>
      </c>
      <c r="F54" s="2" t="s">
        <v>125</v>
      </c>
      <c r="G54" s="2"/>
      <c r="H54" s="2"/>
      <c r="I54" s="3" t="s">
        <v>134</v>
      </c>
      <c r="J54" s="15" t="s">
        <v>75</v>
      </c>
      <c r="K54" s="14"/>
      <c r="L54" s="10"/>
      <c r="M54" s="13"/>
      <c r="N54" s="13"/>
    </row>
    <row r="55" spans="2:15">
      <c r="B55" s="10">
        <v>54</v>
      </c>
      <c r="C55" s="2" t="s">
        <v>90</v>
      </c>
      <c r="D55" s="2" t="s">
        <v>93</v>
      </c>
      <c r="E55" s="2" t="s">
        <v>97</v>
      </c>
      <c r="F55" s="2" t="s">
        <v>61</v>
      </c>
      <c r="G55" s="2"/>
      <c r="H55" s="2"/>
      <c r="I55" s="3" t="s">
        <v>135</v>
      </c>
      <c r="J55" s="15" t="s">
        <v>75</v>
      </c>
      <c r="K55" s="14"/>
      <c r="L55" s="10"/>
      <c r="M55" s="13"/>
      <c r="N55" s="13"/>
    </row>
    <row r="56" spans="2:15">
      <c r="B56" s="10">
        <v>55</v>
      </c>
      <c r="C56" s="2" t="s">
        <v>90</v>
      </c>
      <c r="D56" s="2" t="s">
        <v>93</v>
      </c>
      <c r="E56" s="2" t="s">
        <v>97</v>
      </c>
      <c r="F56" s="2" t="s">
        <v>125</v>
      </c>
      <c r="G56" s="2"/>
      <c r="H56" s="2"/>
      <c r="I56" s="3" t="s">
        <v>135</v>
      </c>
      <c r="J56" s="15" t="s">
        <v>75</v>
      </c>
      <c r="K56" s="14"/>
      <c r="L56" s="10"/>
      <c r="M56" s="13"/>
      <c r="N56" s="13"/>
    </row>
    <row r="57" spans="2:15">
      <c r="B57" s="10">
        <v>56</v>
      </c>
      <c r="C57" s="2" t="s">
        <v>90</v>
      </c>
      <c r="D57" s="2" t="s">
        <v>93</v>
      </c>
      <c r="E57" s="2" t="s">
        <v>98</v>
      </c>
      <c r="F57" s="2"/>
      <c r="G57" s="2"/>
      <c r="H57" s="2"/>
      <c r="I57" s="3" t="s">
        <v>142</v>
      </c>
      <c r="J57" s="11"/>
      <c r="K57" s="14"/>
      <c r="L57" s="18" t="s">
        <v>115</v>
      </c>
      <c r="M57" s="13"/>
      <c r="N57" s="13"/>
    </row>
    <row r="58" spans="2:15">
      <c r="B58" s="10">
        <v>57</v>
      </c>
      <c r="C58" s="2" t="s">
        <v>90</v>
      </c>
      <c r="D58" s="2" t="s">
        <v>93</v>
      </c>
      <c r="E58" s="2" t="s">
        <v>99</v>
      </c>
      <c r="F58" s="2"/>
      <c r="G58" s="2"/>
      <c r="H58" s="2"/>
      <c r="I58" s="3" t="s">
        <v>143</v>
      </c>
      <c r="J58" s="11"/>
      <c r="K58" s="14"/>
      <c r="L58" s="18" t="s">
        <v>115</v>
      </c>
      <c r="M58" s="13"/>
      <c r="N58" s="13"/>
      <c r="O58" t="s">
        <v>279</v>
      </c>
    </row>
    <row r="59" spans="2:15">
      <c r="B59" s="10">
        <v>58</v>
      </c>
      <c r="C59" s="2" t="s">
        <v>90</v>
      </c>
      <c r="D59" s="2" t="s">
        <v>93</v>
      </c>
      <c r="E59" s="2" t="s">
        <v>100</v>
      </c>
      <c r="F59" s="2"/>
      <c r="G59" s="2"/>
      <c r="H59" s="2"/>
      <c r="I59" s="3" t="s">
        <v>144</v>
      </c>
      <c r="J59" s="11"/>
      <c r="K59" s="14"/>
      <c r="L59" s="18" t="s">
        <v>115</v>
      </c>
      <c r="M59" s="13"/>
      <c r="N59" s="13"/>
    </row>
    <row r="60" spans="2:15">
      <c r="B60" s="10">
        <v>59</v>
      </c>
      <c r="C60" s="2" t="s">
        <v>90</v>
      </c>
      <c r="D60" s="2" t="s">
        <v>93</v>
      </c>
      <c r="E60" s="2" t="s">
        <v>101</v>
      </c>
      <c r="F60" s="2"/>
      <c r="G60" s="2"/>
      <c r="H60" s="2"/>
      <c r="I60" s="3" t="s">
        <v>145</v>
      </c>
      <c r="J60" s="11"/>
      <c r="K60" s="14"/>
      <c r="L60" s="18" t="s">
        <v>115</v>
      </c>
      <c r="M60" s="13"/>
      <c r="N60" s="13"/>
    </row>
    <row r="61" spans="2:15">
      <c r="B61" s="10">
        <v>60</v>
      </c>
      <c r="C61" s="2" t="s">
        <v>90</v>
      </c>
      <c r="D61" s="2" t="s">
        <v>93</v>
      </c>
      <c r="E61" s="2" t="s">
        <v>102</v>
      </c>
      <c r="F61" s="2"/>
      <c r="G61" s="2"/>
      <c r="H61" s="2"/>
      <c r="I61" s="3" t="s">
        <v>146</v>
      </c>
      <c r="J61" s="11"/>
      <c r="K61" s="14"/>
      <c r="L61" s="18" t="s">
        <v>115</v>
      </c>
      <c r="M61" s="13"/>
      <c r="N61" s="13"/>
    </row>
    <row r="62" spans="2:15">
      <c r="B62" s="10">
        <v>61</v>
      </c>
      <c r="C62" s="2" t="s">
        <v>90</v>
      </c>
      <c r="D62" s="2" t="s">
        <v>137</v>
      </c>
      <c r="E62" s="2"/>
      <c r="F62" s="2" t="s">
        <v>140</v>
      </c>
      <c r="G62" s="2"/>
      <c r="H62" s="2"/>
      <c r="I62" s="3" t="s">
        <v>138</v>
      </c>
      <c r="J62" s="11"/>
      <c r="K62" s="14"/>
      <c r="L62" s="10"/>
      <c r="M62" s="13"/>
      <c r="N62" s="13"/>
    </row>
    <row r="63" spans="2:15">
      <c r="B63" s="10">
        <v>62</v>
      </c>
      <c r="C63" s="2" t="s">
        <v>90</v>
      </c>
      <c r="D63" s="2" t="s">
        <v>137</v>
      </c>
      <c r="E63" s="2"/>
      <c r="F63" s="2" t="s">
        <v>34</v>
      </c>
      <c r="G63" s="2"/>
      <c r="H63" s="2"/>
      <c r="I63" s="3" t="s">
        <v>139</v>
      </c>
      <c r="J63" s="11"/>
      <c r="K63" s="14"/>
      <c r="L63" s="10"/>
      <c r="M63" s="13"/>
      <c r="N63" s="13"/>
    </row>
    <row r="64" spans="2:15">
      <c r="B64" s="10">
        <v>63</v>
      </c>
      <c r="C64" s="2" t="s">
        <v>141</v>
      </c>
      <c r="D64" s="2" t="s">
        <v>137</v>
      </c>
      <c r="E64" s="2"/>
      <c r="F64" s="2" t="s">
        <v>140</v>
      </c>
      <c r="G64" s="2"/>
      <c r="H64" s="2"/>
      <c r="I64" s="3" t="s">
        <v>138</v>
      </c>
      <c r="J64" s="11"/>
      <c r="K64" s="14"/>
      <c r="L64" s="10"/>
      <c r="M64" s="13"/>
      <c r="N64" s="13"/>
    </row>
    <row r="65" spans="2:14">
      <c r="B65" s="10">
        <v>64</v>
      </c>
      <c r="C65" s="2" t="s">
        <v>141</v>
      </c>
      <c r="D65" s="2" t="s">
        <v>137</v>
      </c>
      <c r="E65" s="2"/>
      <c r="F65" s="2" t="s">
        <v>34</v>
      </c>
      <c r="G65" s="2"/>
      <c r="H65" s="2"/>
      <c r="I65" s="3" t="s">
        <v>139</v>
      </c>
      <c r="J65" s="11"/>
      <c r="K65" s="14"/>
      <c r="L65" s="10"/>
      <c r="M65" s="13"/>
      <c r="N65" s="13"/>
    </row>
    <row r="66" spans="2:14">
      <c r="B66" s="10">
        <v>65</v>
      </c>
      <c r="C66" s="2" t="s">
        <v>141</v>
      </c>
      <c r="D66" s="2" t="s">
        <v>26</v>
      </c>
      <c r="E66" s="2"/>
      <c r="F66" s="2" t="s">
        <v>147</v>
      </c>
      <c r="G66" s="2"/>
      <c r="H66" s="2"/>
      <c r="I66" s="3" t="s">
        <v>148</v>
      </c>
      <c r="J66" s="11"/>
      <c r="K66" s="14"/>
      <c r="L66" s="10"/>
      <c r="M66" s="13"/>
      <c r="N66" s="13"/>
    </row>
    <row r="67" spans="2:14">
      <c r="B67" s="10">
        <v>66</v>
      </c>
      <c r="C67" s="2" t="s">
        <v>141</v>
      </c>
      <c r="D67" s="2" t="s">
        <v>26</v>
      </c>
      <c r="E67" s="2"/>
      <c r="F67" s="2" t="s">
        <v>33</v>
      </c>
      <c r="G67" s="2"/>
      <c r="H67" s="2"/>
      <c r="I67" s="3" t="s">
        <v>149</v>
      </c>
      <c r="J67" s="11" t="s">
        <v>32</v>
      </c>
      <c r="K67" s="14"/>
      <c r="L67" s="10"/>
      <c r="M67" s="13" t="s">
        <v>30</v>
      </c>
      <c r="N67" s="13"/>
    </row>
    <row r="68" spans="2:14">
      <c r="B68" s="10">
        <v>67</v>
      </c>
      <c r="C68" s="2" t="s">
        <v>141</v>
      </c>
      <c r="D68" s="2" t="s">
        <v>26</v>
      </c>
      <c r="E68" s="2"/>
      <c r="F68" s="2" t="s">
        <v>27</v>
      </c>
      <c r="G68" s="2"/>
      <c r="H68" s="2"/>
      <c r="I68" s="3" t="s">
        <v>149</v>
      </c>
      <c r="J68" s="11"/>
      <c r="K68" s="14"/>
      <c r="L68" s="10"/>
      <c r="M68" s="13" t="s">
        <v>31</v>
      </c>
      <c r="N68" s="13" t="s">
        <v>38</v>
      </c>
    </row>
    <row r="69" spans="2:14">
      <c r="B69" s="10">
        <v>68</v>
      </c>
      <c r="C69" s="2" t="s">
        <v>141</v>
      </c>
      <c r="D69" s="2" t="s">
        <v>26</v>
      </c>
      <c r="E69" s="2"/>
      <c r="F69" s="2" t="s">
        <v>109</v>
      </c>
      <c r="G69" s="2" t="s">
        <v>110</v>
      </c>
      <c r="H69" s="2" t="s">
        <v>111</v>
      </c>
      <c r="I69" s="3" t="s">
        <v>29</v>
      </c>
      <c r="J69" s="11" t="s">
        <v>112</v>
      </c>
      <c r="K69" s="14"/>
      <c r="L69" s="10"/>
      <c r="M69" s="13" t="s">
        <v>9</v>
      </c>
      <c r="N69" s="13"/>
    </row>
    <row r="70" spans="2:14">
      <c r="B70" s="10">
        <v>69</v>
      </c>
      <c r="C70" s="2" t="s">
        <v>141</v>
      </c>
      <c r="D70" s="2" t="s">
        <v>26</v>
      </c>
      <c r="E70" s="2"/>
      <c r="F70" s="2" t="s">
        <v>109</v>
      </c>
      <c r="G70" s="2" t="s">
        <v>110</v>
      </c>
      <c r="H70" s="2" t="s">
        <v>104</v>
      </c>
      <c r="I70" s="3" t="s">
        <v>150</v>
      </c>
      <c r="J70" s="11"/>
      <c r="K70" s="14"/>
      <c r="L70" s="10"/>
      <c r="M70" s="13" t="s">
        <v>24</v>
      </c>
      <c r="N70" s="13"/>
    </row>
    <row r="71" spans="2:14">
      <c r="B71" s="10">
        <v>70</v>
      </c>
      <c r="C71" s="2" t="s">
        <v>141</v>
      </c>
      <c r="D71" s="2" t="s">
        <v>39</v>
      </c>
      <c r="E71" s="2" t="s">
        <v>46</v>
      </c>
      <c r="F71" s="2" t="s">
        <v>155</v>
      </c>
      <c r="G71" s="2"/>
      <c r="H71" s="2"/>
      <c r="I71" s="3" t="s">
        <v>153</v>
      </c>
      <c r="J71" s="11"/>
      <c r="K71" s="14"/>
      <c r="L71" s="10"/>
      <c r="M71" s="13"/>
      <c r="N71" s="13"/>
    </row>
    <row r="72" spans="2:14">
      <c r="B72" s="10">
        <v>71</v>
      </c>
      <c r="C72" s="2" t="s">
        <v>141</v>
      </c>
      <c r="D72" s="2" t="s">
        <v>39</v>
      </c>
      <c r="E72" s="2" t="s">
        <v>46</v>
      </c>
      <c r="F72" s="2" t="s">
        <v>73</v>
      </c>
      <c r="G72" s="2"/>
      <c r="H72" s="2"/>
      <c r="I72" s="3" t="s">
        <v>153</v>
      </c>
      <c r="J72" s="11"/>
      <c r="K72" s="14"/>
      <c r="L72" s="10"/>
      <c r="M72" s="13"/>
      <c r="N72" s="13"/>
    </row>
    <row r="73" spans="2:14">
      <c r="B73" s="10">
        <v>72</v>
      </c>
      <c r="C73" s="2" t="s">
        <v>141</v>
      </c>
      <c r="D73" s="2" t="s">
        <v>39</v>
      </c>
      <c r="E73" s="2" t="s">
        <v>46</v>
      </c>
      <c r="F73" s="2" t="s">
        <v>164</v>
      </c>
      <c r="G73" s="2"/>
      <c r="H73" s="2"/>
      <c r="I73" s="3" t="s">
        <v>153</v>
      </c>
      <c r="J73" s="11"/>
      <c r="K73" s="14"/>
      <c r="L73" s="10"/>
      <c r="M73" s="13"/>
      <c r="N73" s="13"/>
    </row>
    <row r="74" spans="2:14">
      <c r="B74" s="10">
        <v>73</v>
      </c>
      <c r="C74" s="2" t="s">
        <v>141</v>
      </c>
      <c r="D74" s="2" t="s">
        <v>39</v>
      </c>
      <c r="E74" s="2" t="s">
        <v>46</v>
      </c>
      <c r="F74" s="2" t="s">
        <v>156</v>
      </c>
      <c r="G74" s="2"/>
      <c r="H74" s="2"/>
      <c r="I74" s="3" t="s">
        <v>152</v>
      </c>
      <c r="J74" s="11"/>
      <c r="K74" s="14"/>
      <c r="L74" s="10"/>
      <c r="M74" s="13"/>
      <c r="N74" s="13"/>
    </row>
    <row r="75" spans="2:14">
      <c r="B75" s="10">
        <v>74</v>
      </c>
      <c r="C75" s="2" t="s">
        <v>141</v>
      </c>
      <c r="D75" s="2" t="s">
        <v>39</v>
      </c>
      <c r="E75" s="2" t="s">
        <v>46</v>
      </c>
      <c r="F75" s="2" t="s">
        <v>160</v>
      </c>
      <c r="G75" s="2"/>
      <c r="H75" s="2"/>
      <c r="I75" s="3" t="s">
        <v>161</v>
      </c>
      <c r="J75" s="11"/>
      <c r="K75" s="14"/>
      <c r="L75" s="10"/>
      <c r="M75" s="13"/>
      <c r="N75" s="13"/>
    </row>
    <row r="76" spans="2:14">
      <c r="B76" s="10">
        <v>75</v>
      </c>
      <c r="C76" s="2" t="s">
        <v>141</v>
      </c>
      <c r="D76" s="2" t="s">
        <v>39</v>
      </c>
      <c r="E76" s="2" t="s">
        <v>46</v>
      </c>
      <c r="F76" s="2" t="s">
        <v>157</v>
      </c>
      <c r="G76" s="2"/>
      <c r="H76" s="2"/>
      <c r="I76" s="3" t="s">
        <v>162</v>
      </c>
      <c r="J76" s="11"/>
      <c r="K76" s="14"/>
      <c r="L76" s="10"/>
      <c r="M76" s="13"/>
      <c r="N76" s="13"/>
    </row>
    <row r="77" spans="2:14">
      <c r="B77" s="10">
        <v>76</v>
      </c>
      <c r="C77" s="2" t="s">
        <v>141</v>
      </c>
      <c r="D77" s="2" t="s">
        <v>39</v>
      </c>
      <c r="E77" s="2" t="s">
        <v>46</v>
      </c>
      <c r="F77" s="2" t="s">
        <v>158</v>
      </c>
      <c r="G77" s="2"/>
      <c r="H77" s="2"/>
      <c r="I77" s="3" t="s">
        <v>163</v>
      </c>
      <c r="J77" s="11"/>
      <c r="K77" s="14"/>
      <c r="L77" s="10"/>
      <c r="M77" s="13"/>
      <c r="N77" s="13"/>
    </row>
    <row r="78" spans="2:14">
      <c r="B78" s="10">
        <v>77</v>
      </c>
      <c r="C78" s="2" t="s">
        <v>141</v>
      </c>
      <c r="D78" s="2" t="s">
        <v>39</v>
      </c>
      <c r="E78" s="2" t="s">
        <v>46</v>
      </c>
      <c r="F78" s="2" t="s">
        <v>159</v>
      </c>
      <c r="G78" s="2"/>
      <c r="H78" s="2"/>
      <c r="I78" s="3" t="s">
        <v>151</v>
      </c>
      <c r="J78" s="11"/>
      <c r="K78" s="14"/>
      <c r="L78" s="10"/>
      <c r="M78" s="13"/>
      <c r="N78" s="13"/>
    </row>
    <row r="79" spans="2:14">
      <c r="B79" s="10">
        <v>78</v>
      </c>
      <c r="C79" s="2" t="s">
        <v>141</v>
      </c>
      <c r="D79" s="2" t="s">
        <v>39</v>
      </c>
      <c r="E79" s="2" t="s">
        <v>154</v>
      </c>
      <c r="F79" s="2" t="s">
        <v>56</v>
      </c>
      <c r="G79" s="2"/>
      <c r="H79" s="2"/>
      <c r="I79" s="3" t="s">
        <v>165</v>
      </c>
      <c r="J79" s="11"/>
      <c r="K79" s="14"/>
      <c r="L79" s="10"/>
      <c r="M79" s="13"/>
      <c r="N79" s="13"/>
    </row>
    <row r="80" spans="2:14">
      <c r="B80" s="10">
        <v>79</v>
      </c>
      <c r="C80" s="2" t="s">
        <v>141</v>
      </c>
      <c r="D80" s="2" t="s">
        <v>39</v>
      </c>
      <c r="E80" s="2" t="s">
        <v>154</v>
      </c>
      <c r="F80" s="2" t="s">
        <v>46</v>
      </c>
      <c r="G80" s="2" t="s">
        <v>166</v>
      </c>
      <c r="H80" s="2"/>
      <c r="I80" s="3" t="s">
        <v>165</v>
      </c>
      <c r="J80" s="11"/>
      <c r="K80" s="14"/>
      <c r="L80" s="10"/>
      <c r="M80" s="13"/>
      <c r="N80" s="13"/>
    </row>
    <row r="81" spans="2:14">
      <c r="B81" s="10">
        <v>80</v>
      </c>
      <c r="C81" s="2" t="s">
        <v>141</v>
      </c>
      <c r="D81" s="2" t="s">
        <v>39</v>
      </c>
      <c r="E81" s="2" t="s">
        <v>154</v>
      </c>
      <c r="F81" s="2" t="s">
        <v>57</v>
      </c>
      <c r="G81" s="2"/>
      <c r="H81" s="2"/>
      <c r="I81" s="3" t="s">
        <v>169</v>
      </c>
      <c r="J81" s="11"/>
      <c r="K81" s="14"/>
      <c r="L81" s="10"/>
      <c r="M81" s="13"/>
      <c r="N81" s="13"/>
    </row>
    <row r="82" spans="2:14">
      <c r="B82" s="10">
        <v>81</v>
      </c>
      <c r="C82" s="2" t="s">
        <v>141</v>
      </c>
      <c r="D82" s="2" t="s">
        <v>82</v>
      </c>
      <c r="E82" s="2"/>
      <c r="F82" s="2" t="s">
        <v>56</v>
      </c>
      <c r="G82" s="2"/>
      <c r="H82" s="2"/>
      <c r="I82" s="3" t="s">
        <v>175</v>
      </c>
      <c r="J82" s="11"/>
      <c r="K82" s="14"/>
      <c r="L82" s="10"/>
      <c r="M82" s="13"/>
      <c r="N82" s="13"/>
    </row>
    <row r="83" spans="2:14">
      <c r="B83" s="10">
        <v>82</v>
      </c>
      <c r="C83" s="2" t="s">
        <v>141</v>
      </c>
      <c r="D83" s="2" t="s">
        <v>82</v>
      </c>
      <c r="E83" s="2"/>
      <c r="F83" s="2" t="s">
        <v>57</v>
      </c>
      <c r="G83" s="2"/>
      <c r="H83" s="2"/>
      <c r="I83" s="3" t="s">
        <v>176</v>
      </c>
      <c r="J83" s="11"/>
      <c r="K83" s="14"/>
      <c r="L83" s="10"/>
      <c r="M83" s="13"/>
      <c r="N83" s="13"/>
    </row>
    <row r="84" spans="2:14">
      <c r="B84" s="10">
        <v>83</v>
      </c>
      <c r="C84" s="2" t="s">
        <v>141</v>
      </c>
      <c r="D84" s="2" t="s">
        <v>82</v>
      </c>
      <c r="E84" s="2"/>
      <c r="F84" s="2" t="s">
        <v>178</v>
      </c>
      <c r="G84" s="2"/>
      <c r="H84" s="2"/>
      <c r="I84" s="3" t="s">
        <v>185</v>
      </c>
      <c r="J84" s="11"/>
      <c r="K84" s="14"/>
      <c r="L84" s="10"/>
      <c r="M84" s="13"/>
      <c r="N84" s="13"/>
    </row>
    <row r="85" spans="2:14">
      <c r="B85" s="10">
        <v>84</v>
      </c>
      <c r="C85" s="2" t="s">
        <v>141</v>
      </c>
      <c r="D85" s="2" t="s">
        <v>82</v>
      </c>
      <c r="E85" s="2"/>
      <c r="F85" s="2" t="s">
        <v>171</v>
      </c>
      <c r="G85" s="2"/>
      <c r="H85" s="2"/>
      <c r="I85" s="3" t="s">
        <v>167</v>
      </c>
      <c r="J85" s="11"/>
      <c r="K85" s="14"/>
      <c r="L85" s="10"/>
      <c r="M85" s="13"/>
      <c r="N85" s="13"/>
    </row>
    <row r="86" spans="2:14">
      <c r="B86" s="10">
        <v>85</v>
      </c>
      <c r="C86" s="2" t="s">
        <v>141</v>
      </c>
      <c r="D86" s="2" t="s">
        <v>82</v>
      </c>
      <c r="E86" s="2"/>
      <c r="F86" s="2" t="s">
        <v>177</v>
      </c>
      <c r="G86" s="2" t="s">
        <v>178</v>
      </c>
      <c r="H86" s="2"/>
      <c r="I86" s="3" t="s">
        <v>176</v>
      </c>
      <c r="J86" s="11"/>
      <c r="K86" s="14"/>
      <c r="L86" s="10"/>
      <c r="M86" s="13"/>
      <c r="N86" s="13"/>
    </row>
    <row r="87" spans="2:14">
      <c r="B87" s="10">
        <v>86</v>
      </c>
      <c r="C87" s="2" t="s">
        <v>141</v>
      </c>
      <c r="D87" s="2" t="s">
        <v>82</v>
      </c>
      <c r="E87" s="2"/>
      <c r="F87" s="2" t="s">
        <v>128</v>
      </c>
      <c r="G87" s="2"/>
      <c r="H87" s="2"/>
      <c r="I87" s="3" t="s">
        <v>176</v>
      </c>
      <c r="J87" s="11"/>
      <c r="K87" s="14"/>
      <c r="L87" s="10"/>
      <c r="M87" s="13"/>
      <c r="N87" s="13"/>
    </row>
    <row r="88" spans="2:14">
      <c r="B88" s="10">
        <v>87</v>
      </c>
      <c r="C88" s="2" t="s">
        <v>141</v>
      </c>
      <c r="D88" s="2" t="s">
        <v>82</v>
      </c>
      <c r="E88" s="2"/>
      <c r="F88" s="2" t="s">
        <v>172</v>
      </c>
      <c r="G88" s="2"/>
      <c r="H88" s="2"/>
      <c r="I88" s="3" t="s">
        <v>179</v>
      </c>
      <c r="J88" s="11"/>
      <c r="K88" s="14"/>
      <c r="L88" s="10"/>
      <c r="M88" s="13"/>
      <c r="N88" s="13"/>
    </row>
    <row r="89" spans="2:14">
      <c r="B89" s="10">
        <v>88</v>
      </c>
      <c r="C89" s="2" t="s">
        <v>141</v>
      </c>
      <c r="D89" s="2" t="s">
        <v>82</v>
      </c>
      <c r="E89" s="2"/>
      <c r="F89" s="2" t="s">
        <v>173</v>
      </c>
      <c r="G89" s="2"/>
      <c r="H89" s="2"/>
      <c r="I89" s="3" t="s">
        <v>180</v>
      </c>
      <c r="J89" s="11"/>
      <c r="K89" s="14"/>
      <c r="L89" s="10"/>
      <c r="M89" s="13"/>
      <c r="N89" s="13"/>
    </row>
    <row r="90" spans="2:14">
      <c r="B90" s="10">
        <v>89</v>
      </c>
      <c r="C90" s="2" t="s">
        <v>141</v>
      </c>
      <c r="D90" s="2" t="s">
        <v>82</v>
      </c>
      <c r="E90" s="2"/>
      <c r="F90" s="2" t="s">
        <v>174</v>
      </c>
      <c r="G90" s="2"/>
      <c r="H90" s="2"/>
      <c r="I90" s="3" t="s">
        <v>181</v>
      </c>
      <c r="J90" s="11"/>
      <c r="K90" s="14"/>
      <c r="L90" s="10"/>
      <c r="M90" s="13"/>
      <c r="N90" s="13"/>
    </row>
    <row r="91" spans="2:14">
      <c r="B91" s="10">
        <v>90</v>
      </c>
      <c r="C91" s="2" t="s">
        <v>141</v>
      </c>
      <c r="D91" s="2" t="s">
        <v>182</v>
      </c>
      <c r="E91" s="2"/>
      <c r="F91" s="2" t="s">
        <v>56</v>
      </c>
      <c r="G91" s="2"/>
      <c r="H91" s="2"/>
      <c r="I91" s="3" t="s">
        <v>183</v>
      </c>
      <c r="J91" s="11"/>
      <c r="K91" s="14"/>
      <c r="L91" s="10"/>
      <c r="M91" s="13"/>
      <c r="N91" s="13"/>
    </row>
    <row r="92" spans="2:14">
      <c r="B92" s="10">
        <v>91</v>
      </c>
      <c r="C92" s="2" t="s">
        <v>141</v>
      </c>
      <c r="D92" s="2" t="s">
        <v>182</v>
      </c>
      <c r="E92" s="2"/>
      <c r="F92" s="2" t="s">
        <v>184</v>
      </c>
      <c r="G92" s="2"/>
      <c r="H92" s="2"/>
      <c r="I92" s="3" t="s">
        <v>185</v>
      </c>
      <c r="J92" s="11" t="s">
        <v>186</v>
      </c>
      <c r="K92" s="14"/>
      <c r="L92" s="10"/>
      <c r="M92" s="13"/>
      <c r="N92" s="13"/>
    </row>
    <row r="93" spans="2:14">
      <c r="B93" s="10">
        <v>92</v>
      </c>
      <c r="C93" s="2" t="s">
        <v>141</v>
      </c>
      <c r="D93" s="2" t="s">
        <v>50</v>
      </c>
      <c r="E93" s="2"/>
      <c r="F93" s="2" t="s">
        <v>57</v>
      </c>
      <c r="G93" s="2"/>
      <c r="H93" s="2"/>
      <c r="I93" s="3" t="s">
        <v>187</v>
      </c>
      <c r="J93" s="11"/>
      <c r="K93" s="14"/>
      <c r="L93" s="10"/>
      <c r="M93" s="13"/>
      <c r="N93" s="13"/>
    </row>
    <row r="94" spans="2:14">
      <c r="B94" s="10">
        <v>93</v>
      </c>
      <c r="C94" s="2" t="s">
        <v>141</v>
      </c>
      <c r="D94" s="2" t="s">
        <v>50</v>
      </c>
      <c r="E94" s="2"/>
      <c r="F94" s="2" t="s">
        <v>189</v>
      </c>
      <c r="G94" s="2" t="s">
        <v>190</v>
      </c>
      <c r="H94" s="2"/>
      <c r="I94" s="3" t="s">
        <v>187</v>
      </c>
      <c r="J94" s="11"/>
      <c r="K94" s="14"/>
      <c r="L94" s="10"/>
      <c r="M94" s="13"/>
      <c r="N94" s="13"/>
    </row>
    <row r="95" spans="2:14">
      <c r="B95" s="10">
        <v>94</v>
      </c>
      <c r="C95" s="2" t="s">
        <v>141</v>
      </c>
      <c r="D95" s="2" t="s">
        <v>50</v>
      </c>
      <c r="E95" s="2"/>
      <c r="F95" s="2" t="s">
        <v>178</v>
      </c>
      <c r="G95" s="2"/>
      <c r="H95" s="2"/>
      <c r="I95" s="3" t="s">
        <v>188</v>
      </c>
      <c r="J95" s="11"/>
      <c r="K95" s="14"/>
      <c r="L95" s="10"/>
      <c r="M95" s="13"/>
      <c r="N95" s="13"/>
    </row>
    <row r="96" spans="2:14">
      <c r="B96" s="10">
        <v>95</v>
      </c>
      <c r="C96" s="2" t="s">
        <v>141</v>
      </c>
      <c r="D96" s="2" t="s">
        <v>191</v>
      </c>
      <c r="E96" s="2"/>
      <c r="F96" s="2" t="s">
        <v>56</v>
      </c>
      <c r="G96" s="2"/>
      <c r="H96" s="2"/>
      <c r="I96" s="3" t="s">
        <v>194</v>
      </c>
      <c r="J96" s="11"/>
      <c r="K96" s="14"/>
      <c r="L96" s="10"/>
      <c r="M96" s="13"/>
      <c r="N96" s="13"/>
    </row>
    <row r="97" spans="2:14">
      <c r="B97" s="10">
        <v>96</v>
      </c>
      <c r="C97" s="2" t="s">
        <v>141</v>
      </c>
      <c r="D97" s="2" t="s">
        <v>191</v>
      </c>
      <c r="E97" s="2"/>
      <c r="F97" s="2" t="s">
        <v>73</v>
      </c>
      <c r="G97" s="2"/>
      <c r="H97" s="2"/>
      <c r="I97" s="3" t="s">
        <v>194</v>
      </c>
      <c r="J97" s="11"/>
      <c r="K97" s="14"/>
      <c r="L97" s="10"/>
      <c r="M97" s="13"/>
      <c r="N97" s="13"/>
    </row>
    <row r="98" spans="2:14">
      <c r="B98" s="10">
        <v>97</v>
      </c>
      <c r="C98" s="2" t="s">
        <v>141</v>
      </c>
      <c r="D98" s="2" t="s">
        <v>191</v>
      </c>
      <c r="E98" s="2"/>
      <c r="F98" s="2" t="s">
        <v>193</v>
      </c>
      <c r="G98" s="2" t="s">
        <v>104</v>
      </c>
      <c r="H98" s="2"/>
      <c r="I98" s="3" t="s">
        <v>194</v>
      </c>
      <c r="J98" s="11"/>
      <c r="K98" s="14"/>
      <c r="L98" s="10"/>
      <c r="M98" s="13"/>
      <c r="N98" s="13"/>
    </row>
    <row r="99" spans="2:14">
      <c r="B99" s="10">
        <v>98</v>
      </c>
      <c r="C99" s="2" t="s">
        <v>141</v>
      </c>
      <c r="D99" s="2" t="s">
        <v>191</v>
      </c>
      <c r="E99" s="2"/>
      <c r="F99" s="2" t="s">
        <v>192</v>
      </c>
      <c r="G99" s="2"/>
      <c r="H99" s="2"/>
      <c r="I99" s="3" t="s">
        <v>195</v>
      </c>
      <c r="J99" s="11"/>
      <c r="K99" s="14"/>
      <c r="L99" s="10"/>
      <c r="M99" s="13"/>
      <c r="N99" s="13"/>
    </row>
    <row r="100" spans="2:14">
      <c r="B100" s="10">
        <v>99</v>
      </c>
      <c r="C100" s="2" t="s">
        <v>141</v>
      </c>
      <c r="D100" s="2" t="s">
        <v>193</v>
      </c>
      <c r="E100" s="2"/>
      <c r="F100" s="2" t="s">
        <v>56</v>
      </c>
      <c r="G100" s="2"/>
      <c r="H100" s="2"/>
      <c r="I100" s="3" t="s">
        <v>196</v>
      </c>
      <c r="J100" s="11"/>
      <c r="K100" s="14"/>
      <c r="L100" s="10"/>
      <c r="M100" s="13"/>
      <c r="N100" s="13"/>
    </row>
    <row r="101" spans="2:14">
      <c r="B101" s="10">
        <v>100</v>
      </c>
      <c r="C101" s="2" t="s">
        <v>141</v>
      </c>
      <c r="D101" s="2" t="s">
        <v>193</v>
      </c>
      <c r="E101" s="2"/>
      <c r="F101" s="2" t="s">
        <v>73</v>
      </c>
      <c r="G101" s="2"/>
      <c r="H101" s="2"/>
      <c r="I101" s="3" t="s">
        <v>196</v>
      </c>
      <c r="J101" s="11"/>
      <c r="K101" s="14"/>
      <c r="L101" s="10"/>
      <c r="M101" s="13"/>
      <c r="N101" s="13"/>
    </row>
    <row r="102" spans="2:14">
      <c r="B102" s="10">
        <v>101</v>
      </c>
      <c r="C102" s="2" t="s">
        <v>141</v>
      </c>
      <c r="D102" s="2" t="s">
        <v>193</v>
      </c>
      <c r="E102" s="2"/>
      <c r="F102" s="2" t="s">
        <v>171</v>
      </c>
      <c r="G102" s="2"/>
      <c r="H102" s="2"/>
      <c r="I102" s="3" t="s">
        <v>197</v>
      </c>
      <c r="J102" s="11"/>
      <c r="K102" s="14"/>
      <c r="L102" s="10"/>
      <c r="M102" s="13"/>
      <c r="N102" s="13"/>
    </row>
    <row r="103" spans="2:14">
      <c r="B103" s="10">
        <v>102</v>
      </c>
      <c r="C103" s="2" t="s">
        <v>141</v>
      </c>
      <c r="D103" s="2" t="s">
        <v>193</v>
      </c>
      <c r="E103" s="2"/>
      <c r="F103" s="2" t="s">
        <v>57</v>
      </c>
      <c r="G103" s="2"/>
      <c r="H103" s="2"/>
      <c r="I103" s="3" t="s">
        <v>198</v>
      </c>
      <c r="J103" s="11"/>
      <c r="K103" s="14"/>
      <c r="L103" s="10"/>
      <c r="M103" s="13"/>
      <c r="N103" s="13"/>
    </row>
    <row r="104" spans="2:14">
      <c r="B104" s="10">
        <v>103</v>
      </c>
      <c r="C104" s="2" t="s">
        <v>141</v>
      </c>
      <c r="D104" s="2" t="s">
        <v>193</v>
      </c>
      <c r="E104" s="2"/>
      <c r="F104" s="2" t="s">
        <v>178</v>
      </c>
      <c r="G104" s="2"/>
      <c r="H104" s="2"/>
      <c r="I104" s="3" t="s">
        <v>198</v>
      </c>
      <c r="J104" s="11"/>
      <c r="K104" s="14"/>
      <c r="L104" s="10"/>
      <c r="M104" s="13"/>
      <c r="N104" s="13"/>
    </row>
    <row r="105" spans="2:14">
      <c r="B105" s="10">
        <v>104</v>
      </c>
      <c r="C105" s="2" t="s">
        <v>141</v>
      </c>
      <c r="D105" s="2" t="s">
        <v>71</v>
      </c>
      <c r="E105" s="2"/>
      <c r="F105" s="2" t="s">
        <v>56</v>
      </c>
      <c r="G105" s="2"/>
      <c r="H105" s="2"/>
      <c r="I105" s="3" t="s">
        <v>72</v>
      </c>
      <c r="J105" s="11"/>
      <c r="K105" s="14"/>
      <c r="L105" s="10"/>
      <c r="M105" s="13"/>
      <c r="N105" s="13"/>
    </row>
    <row r="106" spans="2:14">
      <c r="B106" s="10">
        <v>105</v>
      </c>
      <c r="C106" s="2" t="s">
        <v>141</v>
      </c>
      <c r="D106" s="2" t="s">
        <v>71</v>
      </c>
      <c r="E106" s="2"/>
      <c r="F106" s="2" t="s">
        <v>166</v>
      </c>
      <c r="G106" s="2"/>
      <c r="H106" s="2"/>
      <c r="I106" s="3" t="s">
        <v>72</v>
      </c>
      <c r="J106" s="11"/>
      <c r="K106" s="14"/>
      <c r="L106" s="10"/>
      <c r="M106" s="13"/>
      <c r="N106" s="13"/>
    </row>
    <row r="107" spans="2:14">
      <c r="B107" s="10">
        <v>106</v>
      </c>
      <c r="C107" s="2" t="s">
        <v>141</v>
      </c>
      <c r="D107" s="2" t="s">
        <v>71</v>
      </c>
      <c r="E107" s="2"/>
      <c r="F107" s="2" t="s">
        <v>78</v>
      </c>
      <c r="G107" s="2"/>
      <c r="H107" s="2"/>
      <c r="I107" s="3" t="s">
        <v>168</v>
      </c>
      <c r="J107" s="11"/>
      <c r="K107" s="14"/>
      <c r="L107" s="10"/>
      <c r="M107" s="13"/>
      <c r="N107" s="13"/>
    </row>
    <row r="108" spans="2:14">
      <c r="B108" s="10">
        <v>107</v>
      </c>
      <c r="C108" s="2" t="s">
        <v>141</v>
      </c>
      <c r="D108" s="2" t="s">
        <v>71</v>
      </c>
      <c r="E108" s="2"/>
      <c r="F108" s="2" t="s">
        <v>73</v>
      </c>
      <c r="G108" s="2"/>
      <c r="H108" s="2"/>
      <c r="I108" s="3" t="s">
        <v>72</v>
      </c>
      <c r="J108" s="11"/>
      <c r="K108" s="14"/>
      <c r="L108" s="10"/>
      <c r="M108" s="13"/>
      <c r="N108" s="13"/>
    </row>
    <row r="109" spans="2:14">
      <c r="B109" s="10">
        <v>108</v>
      </c>
      <c r="C109" s="2" t="s">
        <v>141</v>
      </c>
      <c r="D109" s="2" t="s">
        <v>71</v>
      </c>
      <c r="E109" s="2"/>
      <c r="F109" s="2" t="s">
        <v>79</v>
      </c>
      <c r="G109" s="2"/>
      <c r="H109" s="2"/>
      <c r="I109" s="3" t="s">
        <v>72</v>
      </c>
      <c r="J109" s="11"/>
      <c r="K109" s="14"/>
      <c r="L109" s="10"/>
      <c r="M109" s="13"/>
      <c r="N109" s="13"/>
    </row>
    <row r="110" spans="2:14">
      <c r="B110" s="10">
        <v>109</v>
      </c>
      <c r="C110" s="2" t="s">
        <v>141</v>
      </c>
      <c r="D110" s="2" t="s">
        <v>93</v>
      </c>
      <c r="E110" s="2" t="s">
        <v>92</v>
      </c>
      <c r="F110" s="2" t="s">
        <v>57</v>
      </c>
      <c r="G110" s="2"/>
      <c r="H110" s="2"/>
      <c r="I110" s="3" t="s">
        <v>94</v>
      </c>
      <c r="J110" s="11"/>
      <c r="K110" s="14"/>
      <c r="L110" s="10"/>
      <c r="M110" s="13"/>
      <c r="N110" s="13"/>
    </row>
    <row r="111" spans="2:14">
      <c r="B111" s="10">
        <v>110</v>
      </c>
      <c r="C111" s="2" t="s">
        <v>141</v>
      </c>
      <c r="D111" s="2" t="s">
        <v>93</v>
      </c>
      <c r="E111" s="2" t="s">
        <v>92</v>
      </c>
      <c r="F111" s="2" t="s">
        <v>178</v>
      </c>
      <c r="G111" s="2"/>
      <c r="H111" s="2"/>
      <c r="I111" s="3" t="s">
        <v>107</v>
      </c>
      <c r="J111" s="11"/>
      <c r="K111" s="14"/>
      <c r="L111" s="10"/>
      <c r="M111" s="13"/>
      <c r="N111" s="13"/>
    </row>
    <row r="112" spans="2:14">
      <c r="B112" s="10">
        <v>111</v>
      </c>
      <c r="C112" s="2" t="s">
        <v>141</v>
      </c>
      <c r="D112" s="2" t="s">
        <v>93</v>
      </c>
      <c r="E112" s="2" t="s">
        <v>92</v>
      </c>
      <c r="F112" s="2" t="s">
        <v>203</v>
      </c>
      <c r="G112" s="2" t="s">
        <v>202</v>
      </c>
      <c r="H112" s="2"/>
      <c r="I112" s="3" t="s">
        <v>107</v>
      </c>
      <c r="J112" s="11"/>
      <c r="K112" s="14"/>
      <c r="L112" s="10"/>
      <c r="M112" s="13"/>
      <c r="N112" s="13"/>
    </row>
    <row r="113" spans="2:14">
      <c r="B113" s="10">
        <v>112</v>
      </c>
      <c r="C113" s="2" t="s">
        <v>141</v>
      </c>
      <c r="D113" s="2" t="s">
        <v>93</v>
      </c>
      <c r="E113" s="2" t="s">
        <v>92</v>
      </c>
      <c r="F113" s="2" t="s">
        <v>200</v>
      </c>
      <c r="G113" s="2"/>
      <c r="H113" s="2"/>
      <c r="I113" s="3" t="s">
        <v>201</v>
      </c>
      <c r="J113" s="11"/>
      <c r="K113" s="14"/>
      <c r="L113" s="18" t="s">
        <v>115</v>
      </c>
      <c r="M113" s="13"/>
      <c r="N113" s="13"/>
    </row>
  </sheetData>
  <phoneticPr fontId="1" type="noConversion"/>
  <hyperlinks>
    <hyperlink ref="F43" location="라이브_인터뷰_확정" display="라이브_인터뷰_확정" xr:uid="{00000000-0004-0000-0200-000000000000}"/>
    <hyperlink ref="F46" location="공고상세" display="공고상세정보" xr:uid="{00000000-0004-0000-0200-000001000000}"/>
    <hyperlink ref="F44" location="라이브_인터뷰_취소" display="확정" xr:uid="{00000000-0004-0000-0200-000002000000}"/>
    <hyperlink ref="F49" location="인터뷰_목록" display="인터뷰_목록" xr:uid="{00000000-0004-0000-0200-000003000000}"/>
  </hyperlink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단추_ALL_Click">
                <anchor moveWithCells="1" sizeWithCells="1">
                  <from>
                    <xdr:col>9</xdr:col>
                    <xdr:colOff>2222500</xdr:colOff>
                    <xdr:row>0</xdr:row>
                    <xdr:rowOff>76200</xdr:rowOff>
                  </from>
                  <to>
                    <xdr:col>9</xdr:col>
                    <xdr:colOff>2908300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단추_CONTROLLER_Click">
                <anchor moveWithCells="1" sizeWithCells="1">
                  <from>
                    <xdr:col>9</xdr:col>
                    <xdr:colOff>1447800</xdr:colOff>
                    <xdr:row>0</xdr:row>
                    <xdr:rowOff>76200</xdr:rowOff>
                  </from>
                  <to>
                    <xdr:col>9</xdr:col>
                    <xdr:colOff>2222500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단추_MODULE_INTERFACE_Click">
                <anchor moveWithCells="1" sizeWithCells="1">
                  <from>
                    <xdr:col>9</xdr:col>
                    <xdr:colOff>254000</xdr:colOff>
                    <xdr:row>0</xdr:row>
                    <xdr:rowOff>76200</xdr:rowOff>
                  </from>
                  <to>
                    <xdr:col>9</xdr:col>
                    <xdr:colOff>1447800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단추_MODULE_INDEX_Click">
                <anchor moveWithCells="1" sizeWithCells="1">
                  <from>
                    <xdr:col>7</xdr:col>
                    <xdr:colOff>190500</xdr:colOff>
                    <xdr:row>0</xdr:row>
                    <xdr:rowOff>50800</xdr:rowOff>
                  </from>
                  <to>
                    <xdr:col>9</xdr:col>
                    <xdr:colOff>266700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1:F18"/>
  <sheetViews>
    <sheetView workbookViewId="0">
      <selection activeCell="F17" sqref="A1:XFD1048576"/>
    </sheetView>
  </sheetViews>
  <sheetFormatPr baseColWidth="10" defaultColWidth="8.83203125" defaultRowHeight="17"/>
  <cols>
    <col min="4" max="4" width="11" bestFit="1" customWidth="1"/>
  </cols>
  <sheetData>
    <row r="1" spans="2:6">
      <c r="B1" t="s">
        <v>10</v>
      </c>
    </row>
    <row r="2" spans="2:6">
      <c r="C2" t="s">
        <v>11</v>
      </c>
      <c r="D2" t="s">
        <v>10</v>
      </c>
    </row>
    <row r="3" spans="2:6">
      <c r="D3" t="s">
        <v>12</v>
      </c>
      <c r="E3" t="s">
        <v>13</v>
      </c>
      <c r="F3" t="s">
        <v>14</v>
      </c>
    </row>
    <row r="4" spans="2:6">
      <c r="D4" t="s">
        <v>15</v>
      </c>
      <c r="E4" t="s">
        <v>13</v>
      </c>
      <c r="F4" t="s">
        <v>14</v>
      </c>
    </row>
    <row r="5" spans="2:6">
      <c r="D5" t="s">
        <v>16</v>
      </c>
      <c r="E5" t="s">
        <v>17</v>
      </c>
    </row>
    <row r="6" spans="2:6">
      <c r="E6" t="s">
        <v>18</v>
      </c>
      <c r="F6" t="s">
        <v>14</v>
      </c>
    </row>
    <row r="7" spans="2:6">
      <c r="E7" t="s">
        <v>18</v>
      </c>
    </row>
    <row r="8" spans="2:6">
      <c r="D8" t="s">
        <v>19</v>
      </c>
    </row>
    <row r="9" spans="2:6">
      <c r="D9" t="s">
        <v>20</v>
      </c>
      <c r="E9" t="s">
        <v>17</v>
      </c>
    </row>
    <row r="10" spans="2:6">
      <c r="E10" t="s">
        <v>18</v>
      </c>
      <c r="F10" t="s">
        <v>14</v>
      </c>
    </row>
    <row r="11" spans="2:6">
      <c r="E11" t="s">
        <v>18</v>
      </c>
    </row>
    <row r="12" spans="2:6">
      <c r="D12" t="s">
        <v>19</v>
      </c>
    </row>
    <row r="13" spans="2:6">
      <c r="D13" t="s">
        <v>21</v>
      </c>
      <c r="E13" t="s">
        <v>17</v>
      </c>
    </row>
    <row r="14" spans="2:6">
      <c r="E14" t="s">
        <v>18</v>
      </c>
      <c r="F14" t="s">
        <v>14</v>
      </c>
    </row>
    <row r="15" spans="2:6">
      <c r="E15" t="s">
        <v>18</v>
      </c>
    </row>
    <row r="16" spans="2:6">
      <c r="D16" t="s">
        <v>19</v>
      </c>
    </row>
    <row r="17" spans="2:3">
      <c r="C17" t="s">
        <v>22</v>
      </c>
    </row>
    <row r="18" spans="2:3">
      <c r="B18" t="s">
        <v>22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H11" sqref="H11"/>
    </sheetView>
  </sheetViews>
  <sheetFormatPr baseColWidth="10" defaultColWidth="8.83203125" defaultRowHeight="17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단추_ALL_Click">
                <anchor moveWithCells="1" sizeWithCells="1">
                  <from>
                    <xdr:col>5</xdr:col>
                    <xdr:colOff>215900</xdr:colOff>
                    <xdr:row>3</xdr:row>
                    <xdr:rowOff>50800</xdr:rowOff>
                  </from>
                  <to>
                    <xdr:col>6</xdr:col>
                    <xdr:colOff>228600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단추_CONTROLLER_Click">
                <anchor moveWithCells="1" sizeWithCells="1">
                  <from>
                    <xdr:col>4</xdr:col>
                    <xdr:colOff>114300</xdr:colOff>
                    <xdr:row>3</xdr:row>
                    <xdr:rowOff>50800</xdr:rowOff>
                  </from>
                  <to>
                    <xdr:col>5</xdr:col>
                    <xdr:colOff>215900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단추_MODULE_INTERFACE_Click">
                <anchor moveWithCells="1" sizeWithCells="1">
                  <from>
                    <xdr:col>2</xdr:col>
                    <xdr:colOff>254000</xdr:colOff>
                    <xdr:row>3</xdr:row>
                    <xdr:rowOff>50800</xdr:rowOff>
                  </from>
                  <to>
                    <xdr:col>4</xdr:col>
                    <xdr:colOff>114300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" name="Button 8">
              <controlPr defaultSize="0" print="0" autoFill="0" autoPict="0" macro="[0]!단추_MODULE_INDEX_Click">
                <anchor moveWithCells="1" sizeWithCells="1">
                  <from>
                    <xdr:col>0</xdr:col>
                    <xdr:colOff>609600</xdr:colOff>
                    <xdr:row>3</xdr:row>
                    <xdr:rowOff>25400</xdr:rowOff>
                  </from>
                  <to>
                    <xdr:col>2</xdr:col>
                    <xdr:colOff>266700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7" name="Button 9">
              <controlPr defaultSize="0" print="0" autoFill="0" autoPict="0" macro="[0]!GetData">
                <anchor moveWithCells="1" sizeWithCells="1">
                  <from>
                    <xdr:col>7</xdr:col>
                    <xdr:colOff>215900</xdr:colOff>
                    <xdr:row>6</xdr:row>
                    <xdr:rowOff>76200</xdr:rowOff>
                  </from>
                  <to>
                    <xdr:col>9</xdr:col>
                    <xdr:colOff>215900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101"/>
  <sheetViews>
    <sheetView workbookViewId="0">
      <selection sqref="A1:A101"/>
    </sheetView>
  </sheetViews>
  <sheetFormatPr baseColWidth="10" defaultColWidth="8.83203125" defaultRowHeight="17"/>
  <cols>
    <col min="1" max="1" width="8.83203125" style="1"/>
  </cols>
  <sheetData>
    <row r="1" spans="1:1">
      <c r="A1" s="1" t="s">
        <v>623</v>
      </c>
    </row>
    <row r="2" spans="1:1">
      <c r="A2" s="1" t="s">
        <v>633</v>
      </c>
    </row>
    <row r="3" spans="1:1">
      <c r="A3" s="1" t="s">
        <v>618</v>
      </c>
    </row>
    <row r="4" spans="1:1">
      <c r="A4" s="1" t="s">
        <v>626</v>
      </c>
    </row>
    <row r="5" spans="1:1">
      <c r="A5" s="1" t="s">
        <v>619</v>
      </c>
    </row>
    <row r="6" spans="1:1">
      <c r="A6" s="1" t="s">
        <v>622</v>
      </c>
    </row>
    <row r="7" spans="1:1">
      <c r="A7" s="1" t="s">
        <v>630</v>
      </c>
    </row>
    <row r="8" spans="1:1">
      <c r="A8" s="1" t="s">
        <v>625</v>
      </c>
    </row>
    <row r="9" spans="1:1">
      <c r="A9" s="1" t="s">
        <v>301</v>
      </c>
    </row>
    <row r="10" spans="1:1">
      <c r="A10" s="1" t="s">
        <v>635</v>
      </c>
    </row>
    <row r="11" spans="1:1">
      <c r="A11" s="1" t="s">
        <v>632</v>
      </c>
    </row>
    <row r="12" spans="1:1">
      <c r="A12" s="1" t="s">
        <v>627</v>
      </c>
    </row>
    <row r="13" spans="1:1">
      <c r="A13" s="1" t="s">
        <v>631</v>
      </c>
    </row>
    <row r="14" spans="1:1">
      <c r="A14" s="1" t="s">
        <v>620</v>
      </c>
    </row>
    <row r="15" spans="1:1">
      <c r="A15" s="1" t="s">
        <v>606</v>
      </c>
    </row>
    <row r="16" spans="1:1">
      <c r="A16" s="1" t="s">
        <v>621</v>
      </c>
    </row>
    <row r="17" spans="1:1">
      <c r="A17" s="1" t="s">
        <v>634</v>
      </c>
    </row>
    <row r="18" spans="1:1">
      <c r="A18" s="1" t="s">
        <v>624</v>
      </c>
    </row>
    <row r="19" spans="1:1">
      <c r="A19" s="1" t="s">
        <v>629</v>
      </c>
    </row>
    <row r="20" spans="1:1">
      <c r="A20" s="1" t="s">
        <v>605</v>
      </c>
    </row>
    <row r="21" spans="1:1">
      <c r="A21" s="1" t="s">
        <v>628</v>
      </c>
    </row>
    <row r="22" spans="1:1">
      <c r="A22" s="1" t="s">
        <v>617</v>
      </c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</sheetData>
  <sortState xmlns:xlrd2="http://schemas.microsoft.com/office/spreadsheetml/2017/richdata2" ref="A1:A132">
    <sortCondition ref="A1"/>
  </sortState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8</vt:i4>
      </vt:variant>
    </vt:vector>
  </HeadingPairs>
  <TitlesOfParts>
    <vt:vector size="14" baseType="lpstr">
      <vt:lpstr>API정의</vt:lpstr>
      <vt:lpstr>프로토콜 목록</vt:lpstr>
      <vt:lpstr>기능정의_</vt:lpstr>
      <vt:lpstr>data  structure</vt:lpstr>
      <vt:lpstr>Sheet1</vt:lpstr>
      <vt:lpstr>Data</vt:lpstr>
      <vt:lpstr>기능정의_!공고상세</vt:lpstr>
      <vt:lpstr>공고상세</vt:lpstr>
      <vt:lpstr>기능정의_!라이브_인터뷰_취소</vt:lpstr>
      <vt:lpstr>라이브_인터뷰_취소</vt:lpstr>
      <vt:lpstr>기능정의_!라이브_인터뷰_확정</vt:lpstr>
      <vt:lpstr>라이브_인터뷰_확정</vt:lpstr>
      <vt:lpstr>기능정의_!인터뷰_목록</vt:lpstr>
      <vt:lpstr>인터뷰_목록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지훈 김</cp:lastModifiedBy>
  <dcterms:created xsi:type="dcterms:W3CDTF">2020-10-06T11:31:49Z</dcterms:created>
  <dcterms:modified xsi:type="dcterms:W3CDTF">2023-10-19T02:32:02Z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32cb2f6e-894c-4b6f-9cdd-93ce7c434a85</vt:lpwstr>
  </property>
</Properties>
</file>